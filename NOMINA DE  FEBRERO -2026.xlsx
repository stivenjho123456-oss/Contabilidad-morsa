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ictures\VICTORIA\KEVIN\"/>
    </mc:Choice>
  </mc:AlternateContent>
  <bookViews>
    <workbookView xWindow="-120" yWindow="-120" windowWidth="19440" windowHeight="15000" tabRatio="849" activeTab="3"/>
  </bookViews>
  <sheets>
    <sheet name="Asistencia" sheetId="55" r:id="rId1"/>
    <sheet name="Desprendible FIJOS" sheetId="57" r:id="rId2"/>
    <sheet name="NOM_FIJOS" sheetId="2" r:id="rId3"/>
    <sheet name="SEG SOCIAL" sheetId="62" r:id="rId4"/>
  </sheets>
  <externalReferences>
    <externalReference r:id="rId5"/>
  </externalReferences>
  <definedNames>
    <definedName name="_xlnm._FilterDatabase" localSheetId="0" hidden="1">Asistencia!$B$2:$AI$2</definedName>
    <definedName name="Lt_Empleados">[1]Datos!$P$12:$P$26</definedName>
  </definedNames>
  <calcPr calcId="152511"/>
  <fileRecoveryPr autoRecover="0"/>
</workbook>
</file>

<file path=xl/calcChain.xml><?xml version="1.0" encoding="utf-8"?>
<calcChain xmlns="http://schemas.openxmlformats.org/spreadsheetml/2006/main">
  <c r="D20" i="62" l="1"/>
  <c r="O6" i="57"/>
  <c r="Q10" i="2"/>
  <c r="Q11" i="2"/>
  <c r="Q12" i="2"/>
  <c r="Q13" i="2"/>
  <c r="Q14" i="2"/>
  <c r="Q9" i="2"/>
  <c r="P10" i="2"/>
  <c r="P11" i="2"/>
  <c r="P12" i="2"/>
  <c r="P13" i="2"/>
  <c r="P14" i="2"/>
  <c r="P9" i="2"/>
  <c r="C10" i="2"/>
  <c r="C11" i="2"/>
  <c r="C12" i="2"/>
  <c r="C13" i="2"/>
  <c r="C14" i="2"/>
  <c r="C9" i="2"/>
  <c r="B10" i="2"/>
  <c r="B11" i="2"/>
  <c r="B12" i="2"/>
  <c r="B13" i="2"/>
  <c r="B14" i="2"/>
  <c r="B9" i="2"/>
  <c r="C23" i="2"/>
  <c r="C22" i="2"/>
  <c r="U16" i="2"/>
  <c r="X16" i="2"/>
  <c r="W14" i="2"/>
  <c r="V14" i="2"/>
  <c r="S14" i="2"/>
  <c r="R14" i="2"/>
  <c r="E7" i="57"/>
  <c r="I30" i="57"/>
  <c r="D72" i="57"/>
  <c r="D58" i="57"/>
  <c r="D44" i="57"/>
  <c r="D30" i="57"/>
  <c r="D17" i="57"/>
  <c r="D3" i="57"/>
  <c r="S4" i="55"/>
  <c r="Y14" i="2" l="1"/>
  <c r="Z14" i="2" s="1"/>
  <c r="D9" i="62" l="1"/>
  <c r="G15" i="2" l="1"/>
  <c r="J15" i="2"/>
  <c r="S3" i="55" l="1"/>
  <c r="E32" i="57" s="1"/>
  <c r="AI3" i="55"/>
  <c r="J32" i="57" s="1"/>
  <c r="T9" i="2" l="1"/>
  <c r="R9" i="2"/>
  <c r="F9" i="2"/>
  <c r="D9" i="2"/>
  <c r="AI4" i="55" l="1"/>
  <c r="AI5" i="55"/>
  <c r="J74" i="57" s="1"/>
  <c r="AI6" i="55"/>
  <c r="J60" i="57" s="1"/>
  <c r="T13" i="2" s="1"/>
  <c r="AI7" i="55"/>
  <c r="J19" i="57" s="1"/>
  <c r="AI8" i="55"/>
  <c r="J46" i="57" s="1"/>
  <c r="E5" i="57"/>
  <c r="S5" i="55"/>
  <c r="S6" i="55"/>
  <c r="S7" i="55"/>
  <c r="E19" i="57" s="1"/>
  <c r="S8" i="55"/>
  <c r="E46" i="57" s="1"/>
  <c r="H74" i="57"/>
  <c r="I73" i="57"/>
  <c r="I72" i="57"/>
  <c r="I59" i="57"/>
  <c r="I58" i="57"/>
  <c r="I45" i="57"/>
  <c r="I44" i="57"/>
  <c r="I18" i="57"/>
  <c r="I17" i="57"/>
  <c r="I4" i="57"/>
  <c r="I3" i="57"/>
  <c r="J47" i="57" l="1"/>
  <c r="J5" i="57"/>
  <c r="D11" i="2"/>
  <c r="E60" i="57"/>
  <c r="O63" i="57" s="1"/>
  <c r="E6" i="57"/>
  <c r="E10" i="2" s="1"/>
  <c r="H10" i="2" s="1"/>
  <c r="E74" i="57"/>
  <c r="O77" i="57" s="1"/>
  <c r="E47" i="57"/>
  <c r="E49" i="57" s="1"/>
  <c r="O49" i="57"/>
  <c r="O35" i="57"/>
  <c r="T12" i="2"/>
  <c r="J33" i="57"/>
  <c r="S9" i="2" s="1"/>
  <c r="D10" i="2"/>
  <c r="E20" i="57"/>
  <c r="E11" i="2" s="1"/>
  <c r="J61" i="57"/>
  <c r="J64" i="57" s="1"/>
  <c r="J75" i="57"/>
  <c r="D12" i="2"/>
  <c r="O20" i="57"/>
  <c r="J20" i="57"/>
  <c r="S11" i="2" s="1"/>
  <c r="R11" i="2"/>
  <c r="R13" i="2"/>
  <c r="J50" i="57"/>
  <c r="S12" i="2"/>
  <c r="R12" i="2"/>
  <c r="E33" i="57"/>
  <c r="E9" i="2" s="1"/>
  <c r="J49" i="57"/>
  <c r="J77" i="57" l="1"/>
  <c r="E75" i="57"/>
  <c r="E14" i="2" s="1"/>
  <c r="H14" i="2" s="1"/>
  <c r="E9" i="57"/>
  <c r="D13" i="2"/>
  <c r="T10" i="2"/>
  <c r="T16" i="2" s="1"/>
  <c r="D14" i="2"/>
  <c r="R10" i="2"/>
  <c r="J6" i="57"/>
  <c r="J9" i="57" s="1"/>
  <c r="I10" i="2"/>
  <c r="K10" i="2" s="1"/>
  <c r="E8" i="57"/>
  <c r="E61" i="57"/>
  <c r="E13" i="2" s="1"/>
  <c r="I13" i="2" s="1"/>
  <c r="H11" i="2"/>
  <c r="I11" i="2"/>
  <c r="H9" i="2"/>
  <c r="I9" i="2"/>
  <c r="V11" i="2"/>
  <c r="W11" i="2"/>
  <c r="J36" i="57"/>
  <c r="E36" i="57"/>
  <c r="M49" i="57"/>
  <c r="E12" i="2"/>
  <c r="E50" i="57"/>
  <c r="E51" i="57" s="1"/>
  <c r="S13" i="2"/>
  <c r="W13" i="2" s="1"/>
  <c r="J63" i="57"/>
  <c r="J65" i="57" s="1"/>
  <c r="J35" i="57"/>
  <c r="M36" i="57"/>
  <c r="F10" i="2"/>
  <c r="M50" i="57"/>
  <c r="F12" i="2"/>
  <c r="E22" i="57"/>
  <c r="E21" i="57"/>
  <c r="J76" i="57"/>
  <c r="J78" i="57" s="1"/>
  <c r="M20" i="57"/>
  <c r="J22" i="57"/>
  <c r="E35" i="57"/>
  <c r="J21" i="57"/>
  <c r="V12" i="2"/>
  <c r="W12" i="2"/>
  <c r="J51" i="57"/>
  <c r="I14" i="2" l="1"/>
  <c r="K14" i="2" s="1"/>
  <c r="L14" i="2" s="1"/>
  <c r="E76" i="57"/>
  <c r="E77" i="57"/>
  <c r="M78" i="57" s="1"/>
  <c r="M77" i="57"/>
  <c r="M7" i="57"/>
  <c r="E15" i="2"/>
  <c r="M64" i="57"/>
  <c r="F13" i="2"/>
  <c r="F15" i="2" s="1"/>
  <c r="E64" i="57"/>
  <c r="M63" i="57"/>
  <c r="M54" i="57"/>
  <c r="H13" i="2"/>
  <c r="K13" i="2" s="1"/>
  <c r="J8" i="57"/>
  <c r="S10" i="2"/>
  <c r="S16" i="2" s="1"/>
  <c r="Q23" i="2" s="1"/>
  <c r="E63" i="57"/>
  <c r="L10" i="2"/>
  <c r="K11" i="2"/>
  <c r="L11" i="2" s="1"/>
  <c r="H12" i="2"/>
  <c r="I12" i="2"/>
  <c r="I15" i="2" s="1"/>
  <c r="E37" i="57"/>
  <c r="K9" i="2"/>
  <c r="Y11" i="2"/>
  <c r="Z11" i="2" s="1"/>
  <c r="V9" i="2"/>
  <c r="W9" i="2"/>
  <c r="M51" i="57"/>
  <c r="V13" i="2"/>
  <c r="Y13" i="2" s="1"/>
  <c r="Z13" i="2" s="1"/>
  <c r="E23" i="57"/>
  <c r="J23" i="57"/>
  <c r="M21" i="57"/>
  <c r="Y12" i="2"/>
  <c r="Z12" i="2" s="1"/>
  <c r="E78" i="57" l="1"/>
  <c r="M81" i="57" s="1"/>
  <c r="H15" i="2"/>
  <c r="M68" i="57"/>
  <c r="L13" i="2"/>
  <c r="E65" i="57"/>
  <c r="M65" i="57"/>
  <c r="W10" i="2"/>
  <c r="W16" i="2" s="1"/>
  <c r="V10" i="2"/>
  <c r="V16" i="2" s="1"/>
  <c r="K12" i="2"/>
  <c r="L12" i="2" s="1"/>
  <c r="L9" i="2"/>
  <c r="Y9" i="2"/>
  <c r="M24" i="57"/>
  <c r="Y10" i="2" l="1"/>
  <c r="Z10" i="2" s="1"/>
  <c r="L15" i="2"/>
  <c r="K15" i="2"/>
  <c r="Z9" i="2"/>
  <c r="Z16" i="2" l="1"/>
  <c r="Q24" i="2" s="1"/>
  <c r="Y16" i="2"/>
  <c r="E10" i="57" l="1"/>
  <c r="J37" i="57"/>
  <c r="M35" i="57"/>
  <c r="M40" i="57" l="1"/>
  <c r="M37" i="57"/>
  <c r="M6" i="57"/>
  <c r="J10" i="57"/>
  <c r="M11" i="57" l="1"/>
  <c r="M8" i="57"/>
</calcChain>
</file>

<file path=xl/sharedStrings.xml><?xml version="1.0" encoding="utf-8"?>
<sst xmlns="http://schemas.openxmlformats.org/spreadsheetml/2006/main" count="298" uniqueCount="75">
  <si>
    <t>PRESTAMO</t>
  </si>
  <si>
    <t>NETO PAGADO</t>
  </si>
  <si>
    <t>PLANILLA DE PAGO</t>
  </si>
  <si>
    <t>PERIODO DE PAGO:</t>
  </si>
  <si>
    <t>NOMBRE EMPLEADO</t>
  </si>
  <si>
    <t>DEVENGOS</t>
  </si>
  <si>
    <t xml:space="preserve">DEDUCCION </t>
  </si>
  <si>
    <t>TOTAL DEDUCIDO</t>
  </si>
  <si>
    <t>SUELDO</t>
  </si>
  <si>
    <t>PENSION</t>
  </si>
  <si>
    <t>SALUD</t>
  </si>
  <si>
    <t>VALOR TOTAL</t>
  </si>
  <si>
    <t>ELABORADO POR</t>
  </si>
  <si>
    <t>APROBADO POR</t>
  </si>
  <si>
    <t>REVISADO POR</t>
  </si>
  <si>
    <t>CEDULA DE CIUDADANIA</t>
  </si>
  <si>
    <t xml:space="preserve"> </t>
  </si>
  <si>
    <t>AUX TRA</t>
  </si>
  <si>
    <t>DT</t>
  </si>
  <si>
    <t>TOTAL DIAS</t>
  </si>
  <si>
    <t>IN/CIDAD</t>
  </si>
  <si>
    <t>TOTAL QUINCENA</t>
  </si>
  <si>
    <t>REVISADO</t>
  </si>
  <si>
    <t>01 QUINCENA</t>
  </si>
  <si>
    <t>02 QUINCENA</t>
  </si>
  <si>
    <t>VALOR DIA</t>
  </si>
  <si>
    <t>DEVENGADO</t>
  </si>
  <si>
    <t>CEDULA</t>
  </si>
  <si>
    <t>AUXILIO DE TRANSPORTE</t>
  </si>
  <si>
    <t>DOMINGOS Y FESTIVOS</t>
  </si>
  <si>
    <t>NO FUE</t>
  </si>
  <si>
    <t>INCAPACIDAD</t>
  </si>
  <si>
    <t>PERMISO NO REMUNERADO</t>
  </si>
  <si>
    <t xml:space="preserve">NOVEDADES:          </t>
  </si>
  <si>
    <t>HECTAREAS</t>
  </si>
  <si>
    <t>CITA MEDICA</t>
  </si>
  <si>
    <t>DESPRENDIBLE DE PAGO</t>
  </si>
  <si>
    <t>DIAS LABORADOS</t>
  </si>
  <si>
    <t>DEDUCCIONES</t>
  </si>
  <si>
    <t xml:space="preserve">NOMBRE </t>
  </si>
  <si>
    <t>PENSIÓN</t>
  </si>
  <si>
    <t>DEDUCCION</t>
  </si>
  <si>
    <t>DESCUENTO</t>
  </si>
  <si>
    <t>TOTAL MES</t>
  </si>
  <si>
    <t>AUX TRANSP</t>
  </si>
  <si>
    <t>1RA QUINCENA</t>
  </si>
  <si>
    <t>2DA QUINCENA</t>
  </si>
  <si>
    <t>NOMBRE</t>
  </si>
  <si>
    <t>EPS</t>
  </si>
  <si>
    <t>VACACIONES</t>
  </si>
  <si>
    <t>CAJA</t>
  </si>
  <si>
    <t>ARL</t>
  </si>
  <si>
    <t>ADMINISTRATIVO</t>
  </si>
  <si>
    <t>SALARIO AÑO-2026</t>
  </si>
  <si>
    <t>FEBRERO   -   SEGUNDA QUINCENA</t>
  </si>
  <si>
    <t xml:space="preserve">  FEBRERO  - PRIMERA QUINCENA</t>
  </si>
  <si>
    <t xml:space="preserve"> 01-15  FEBRERO 2026</t>
  </si>
  <si>
    <t>16-30 FEBRERO 2026</t>
  </si>
  <si>
    <t>LA MORSA FOODS SAS</t>
  </si>
  <si>
    <t xml:space="preserve"> LA MORSA FOODS SAS</t>
  </si>
  <si>
    <t>FEBRERO  DE 2026</t>
  </si>
  <si>
    <t>NIT 902024494-0</t>
  </si>
  <si>
    <t>ANDRES FELIPE CHAUX TASCON</t>
  </si>
  <si>
    <t>JOSE MANUEL OCAMPO VILLADA</t>
  </si>
  <si>
    <t>KEVIN JOHAN HURTADO CAÑAVERAL</t>
  </si>
  <si>
    <t>VICTORIA MONTENEGRO MONTAÑO</t>
  </si>
  <si>
    <t>LEANDRO ANTONIO POPAYAN MELO</t>
  </si>
  <si>
    <t>CHRISTIAN STIVEN GIRON POSADA</t>
  </si>
  <si>
    <t>cristian</t>
  </si>
  <si>
    <t>jose manuel</t>
  </si>
  <si>
    <t>leandro melo</t>
  </si>
  <si>
    <t>OPERATIVO</t>
  </si>
  <si>
    <t xml:space="preserve">KEVIN </t>
  </si>
  <si>
    <t>FELIPE</t>
  </si>
  <si>
    <t>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</si>
</sst>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6" formatCode="&quot;$&quot;\ #,##0;[Red]\-&quot;$&quot;\ #,##0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#,##0;[Red]#,##0"/>
    <numFmt numFmtId="174" formatCode="_(* #,##0.0_);_(* \(#,##0.0\);_(* &quot;-&quot;??_);_(@_)"/>
    <numFmt numFmtId="176" formatCode="&quot;$&quot;\ #,##0.0;[Red]\-&quot;$&quot;\ #,##0.0"/>
  </numFmts>
  <fonts count="16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sz val="11"/>
      <name val="Trebuchet MS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rebuchet MS"/>
      <family val="2"/>
    </font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0"/>
      <name val="Trebuchet MS"/>
      <family val="2"/>
    </font>
    <font>
      <i/>
      <sz val="10"/>
      <name val="Trebuchet MS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6" tint="-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0" borderId="0"/>
    <xf numFmtId="0" fontId="3" fillId="0" borderId="0"/>
  </cellStyleXfs>
  <cellXfs count="17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3" fontId="6" fillId="0" borderId="2" xfId="0" applyNumberFormat="1" applyFont="1" applyBorder="1" applyAlignment="1">
      <alignment horizontal="center"/>
    </xf>
    <xf numFmtId="6" fontId="6" fillId="0" borderId="7" xfId="0" applyNumberFormat="1" applyFont="1" applyBorder="1" applyAlignment="1">
      <alignment horizontal="center"/>
    </xf>
    <xf numFmtId="166" fontId="6" fillId="0" borderId="7" xfId="2" applyNumberFormat="1" applyFont="1" applyFill="1" applyBorder="1" applyAlignment="1"/>
    <xf numFmtId="0" fontId="6" fillId="0" borderId="6" xfId="0" applyFont="1" applyBorder="1" applyAlignment="1">
      <alignment horizontal="center"/>
    </xf>
    <xf numFmtId="3" fontId="6" fillId="0" borderId="7" xfId="0" applyNumberFormat="1" applyFont="1" applyBorder="1"/>
    <xf numFmtId="3" fontId="6" fillId="0" borderId="6" xfId="0" applyNumberFormat="1" applyFont="1" applyBorder="1"/>
    <xf numFmtId="9" fontId="6" fillId="0" borderId="7" xfId="4" applyFont="1" applyFill="1" applyBorder="1" applyAlignment="1"/>
    <xf numFmtId="0" fontId="6" fillId="0" borderId="7" xfId="0" applyFont="1" applyBorder="1"/>
    <xf numFmtId="166" fontId="6" fillId="0" borderId="2" xfId="2" applyNumberFormat="1" applyFont="1" applyBorder="1" applyAlignment="1"/>
    <xf numFmtId="166" fontId="6" fillId="0" borderId="2" xfId="2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6" fillId="0" borderId="9" xfId="0" applyFont="1" applyBorder="1"/>
    <xf numFmtId="166" fontId="9" fillId="0" borderId="11" xfId="2" applyNumberFormat="1" applyFont="1" applyBorder="1" applyAlignment="1">
      <alignment vertical="center"/>
    </xf>
    <xf numFmtId="166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left"/>
    </xf>
    <xf numFmtId="0" fontId="6" fillId="0" borderId="6" xfId="0" applyFont="1" applyBorder="1"/>
    <xf numFmtId="3" fontId="6" fillId="0" borderId="7" xfId="0" applyNumberFormat="1" applyFont="1" applyBorder="1" applyAlignment="1">
      <alignment horizontal="right"/>
    </xf>
    <xf numFmtId="0" fontId="6" fillId="0" borderId="7" xfId="0" applyFont="1" applyBorder="1" applyAlignment="1">
      <alignment horizontal="left"/>
    </xf>
    <xf numFmtId="3" fontId="6" fillId="0" borderId="2" xfId="0" applyNumberFormat="1" applyFont="1" applyBorder="1" applyAlignment="1">
      <alignment horizontal="right"/>
    </xf>
    <xf numFmtId="0" fontId="6" fillId="0" borderId="11" xfId="0" applyFont="1" applyBorder="1" applyAlignment="1">
      <alignment horizontal="left"/>
    </xf>
    <xf numFmtId="0" fontId="6" fillId="0" borderId="4" xfId="0" applyFont="1" applyBorder="1"/>
    <xf numFmtId="6" fontId="6" fillId="0" borderId="13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6" fillId="0" borderId="13" xfId="0" applyNumberFormat="1" applyFont="1" applyBorder="1" applyAlignment="1">
      <alignment horizontal="right"/>
    </xf>
    <xf numFmtId="3" fontId="6" fillId="0" borderId="3" xfId="0" applyNumberFormat="1" applyFont="1" applyBorder="1"/>
    <xf numFmtId="0" fontId="8" fillId="0" borderId="2" xfId="0" applyFont="1" applyBorder="1" applyAlignment="1">
      <alignment vertical="center"/>
    </xf>
    <xf numFmtId="0" fontId="11" fillId="0" borderId="0" xfId="0" applyFont="1"/>
    <xf numFmtId="0" fontId="11" fillId="7" borderId="0" xfId="0" applyFont="1" applyFill="1"/>
    <xf numFmtId="0" fontId="11" fillId="7" borderId="2" xfId="0" applyFont="1" applyFill="1" applyBorder="1" applyAlignment="1">
      <alignment horizontal="center"/>
    </xf>
    <xf numFmtId="0" fontId="11" fillId="8" borderId="0" xfId="0" applyFont="1" applyFill="1"/>
    <xf numFmtId="0" fontId="11" fillId="3" borderId="0" xfId="0" applyFont="1" applyFill="1"/>
    <xf numFmtId="0" fontId="11" fillId="9" borderId="0" xfId="0" applyFont="1" applyFill="1"/>
    <xf numFmtId="0" fontId="11" fillId="10" borderId="0" xfId="0" applyFont="1" applyFill="1"/>
    <xf numFmtId="0" fontId="11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0" borderId="14" xfId="0" applyFont="1" applyBorder="1" applyAlignment="1">
      <alignment horizontal="left"/>
    </xf>
    <xf numFmtId="0" fontId="13" fillId="0" borderId="0" xfId="0" applyFont="1" applyAlignment="1">
      <alignment horizontal="left"/>
    </xf>
    <xf numFmtId="167" fontId="1" fillId="0" borderId="0" xfId="1" applyNumberFormat="1" applyFont="1" applyAlignment="1">
      <alignment horizontal="left"/>
    </xf>
    <xf numFmtId="167" fontId="1" fillId="0" borderId="2" xfId="1" applyNumberFormat="1" applyFont="1" applyBorder="1" applyAlignment="1">
      <alignment horizontal="left" vertical="center" wrapText="1"/>
    </xf>
    <xf numFmtId="167" fontId="1" fillId="0" borderId="2" xfId="1" applyNumberFormat="1" applyFont="1" applyBorder="1" applyAlignment="1">
      <alignment horizontal="left" vertical="center"/>
    </xf>
    <xf numFmtId="167" fontId="1" fillId="0" borderId="0" xfId="0" applyNumberFormat="1" applyFont="1" applyAlignment="1">
      <alignment horizontal="left"/>
    </xf>
    <xf numFmtId="167" fontId="1" fillId="0" borderId="1" xfId="1" applyNumberFormat="1" applyFont="1" applyBorder="1" applyAlignment="1">
      <alignment horizontal="left" vertical="center" wrapText="1"/>
    </xf>
    <xf numFmtId="167" fontId="1" fillId="0" borderId="2" xfId="1" applyNumberFormat="1" applyFont="1" applyBorder="1" applyAlignment="1">
      <alignment horizontal="left" wrapText="1"/>
    </xf>
    <xf numFmtId="167" fontId="1" fillId="0" borderId="11" xfId="1" applyNumberFormat="1" applyFont="1" applyBorder="1" applyAlignment="1">
      <alignment horizontal="left" vertical="center"/>
    </xf>
    <xf numFmtId="167" fontId="1" fillId="0" borderId="1" xfId="1" applyNumberFormat="1" applyFont="1" applyBorder="1" applyAlignment="1">
      <alignment horizontal="left" vertical="center"/>
    </xf>
    <xf numFmtId="166" fontId="1" fillId="0" borderId="2" xfId="2" applyNumberFormat="1" applyFont="1" applyFill="1" applyBorder="1" applyAlignment="1">
      <alignment horizontal="left" vertical="center" wrapText="1"/>
    </xf>
    <xf numFmtId="166" fontId="1" fillId="0" borderId="2" xfId="2" applyNumberFormat="1" applyFont="1" applyFill="1" applyBorder="1" applyAlignment="1">
      <alignment horizontal="left" wrapText="1"/>
    </xf>
    <xf numFmtId="166" fontId="1" fillId="0" borderId="11" xfId="2" applyNumberFormat="1" applyFont="1" applyFill="1" applyBorder="1" applyAlignment="1">
      <alignment horizontal="left" vertical="center" wrapText="1"/>
    </xf>
    <xf numFmtId="167" fontId="1" fillId="0" borderId="1" xfId="1" applyNumberFormat="1" applyFont="1" applyBorder="1" applyAlignment="1">
      <alignment horizontal="left" wrapText="1"/>
    </xf>
    <xf numFmtId="167" fontId="1" fillId="0" borderId="1" xfId="1" applyNumberFormat="1" applyFont="1" applyFill="1" applyBorder="1" applyAlignment="1">
      <alignment horizontal="left" vertical="center" wrapText="1"/>
    </xf>
    <xf numFmtId="166" fontId="1" fillId="0" borderId="1" xfId="2" applyNumberFormat="1" applyFont="1" applyBorder="1" applyAlignment="1">
      <alignment horizontal="left"/>
    </xf>
    <xf numFmtId="166" fontId="1" fillId="0" borderId="1" xfId="2" applyNumberFormat="1" applyFont="1" applyFill="1" applyBorder="1" applyAlignment="1">
      <alignment horizontal="left" vertical="center" wrapText="1"/>
    </xf>
    <xf numFmtId="166" fontId="1" fillId="0" borderId="1" xfId="2" applyNumberFormat="1" applyFont="1" applyFill="1" applyBorder="1" applyAlignment="1">
      <alignment horizontal="left" wrapText="1"/>
    </xf>
    <xf numFmtId="168" fontId="1" fillId="0" borderId="2" xfId="1" applyNumberFormat="1" applyFont="1" applyBorder="1" applyAlignment="1">
      <alignment horizontal="left" vertical="center" wrapText="1"/>
    </xf>
    <xf numFmtId="166" fontId="1" fillId="0" borderId="2" xfId="2" applyNumberFormat="1" applyFont="1" applyBorder="1" applyAlignment="1">
      <alignment horizontal="left" vertical="center" wrapText="1"/>
    </xf>
    <xf numFmtId="167" fontId="1" fillId="0" borderId="0" xfId="1" applyNumberFormat="1" applyFont="1" applyFill="1" applyAlignment="1">
      <alignment horizontal="left" vertical="center" wrapText="1"/>
    </xf>
    <xf numFmtId="166" fontId="1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left"/>
    </xf>
    <xf numFmtId="166" fontId="1" fillId="0" borderId="17" xfId="0" applyNumberFormat="1" applyFont="1" applyBorder="1" applyAlignment="1">
      <alignment horizontal="left" vertical="center"/>
    </xf>
    <xf numFmtId="167" fontId="1" fillId="0" borderId="0" xfId="1" applyNumberFormat="1" applyFont="1" applyAlignment="1">
      <alignment horizontal="left" vertical="center"/>
    </xf>
    <xf numFmtId="166" fontId="1" fillId="3" borderId="17" xfId="2" applyNumberFormat="1" applyFont="1" applyFill="1" applyBorder="1" applyAlignment="1">
      <alignment horizontal="left"/>
    </xf>
    <xf numFmtId="168" fontId="5" fillId="3" borderId="17" xfId="0" applyNumberFormat="1" applyFont="1" applyFill="1" applyBorder="1" applyAlignment="1">
      <alignment horizontal="left"/>
    </xf>
    <xf numFmtId="166" fontId="1" fillId="3" borderId="17" xfId="2" applyNumberFormat="1" applyFont="1" applyFill="1" applyBorder="1" applyAlignment="1">
      <alignment horizontal="left" vertical="center" wrapText="1"/>
    </xf>
    <xf numFmtId="166" fontId="1" fillId="0" borderId="0" xfId="2" applyNumberFormat="1" applyFont="1" applyFill="1" applyBorder="1" applyAlignment="1">
      <alignment horizontal="left"/>
    </xf>
    <xf numFmtId="167" fontId="1" fillId="0" borderId="0" xfId="1" applyNumberFormat="1" applyFont="1" applyBorder="1" applyAlignment="1">
      <alignment horizontal="left"/>
    </xf>
    <xf numFmtId="167" fontId="1" fillId="0" borderId="0" xfId="1" applyNumberFormat="1" applyFont="1" applyBorder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67" fontId="1" fillId="0" borderId="0" xfId="1" applyNumberFormat="1" applyFont="1" applyBorder="1" applyAlignment="1">
      <alignment horizontal="left" vertical="center" wrapText="1"/>
    </xf>
    <xf numFmtId="168" fontId="1" fillId="6" borderId="0" xfId="0" applyNumberFormat="1" applyFont="1" applyFill="1" applyAlignment="1">
      <alignment horizontal="left"/>
    </xf>
    <xf numFmtId="168" fontId="1" fillId="0" borderId="2" xfId="1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11" fillId="11" borderId="0" xfId="0" applyFont="1" applyFill="1"/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12" borderId="0" xfId="0" applyFont="1" applyFill="1"/>
    <xf numFmtId="0" fontId="6" fillId="0" borderId="2" xfId="0" applyFont="1" applyBorder="1" applyAlignment="1">
      <alignment horizontal="center"/>
    </xf>
    <xf numFmtId="0" fontId="8" fillId="0" borderId="0" xfId="0" applyFont="1" applyAlignment="1">
      <alignment vertical="top"/>
    </xf>
    <xf numFmtId="3" fontId="6" fillId="0" borderId="2" xfId="0" applyNumberFormat="1" applyFont="1" applyBorder="1"/>
    <xf numFmtId="6" fontId="6" fillId="0" borderId="2" xfId="0" applyNumberFormat="1" applyFont="1" applyBorder="1" applyAlignment="1">
      <alignment horizontal="center"/>
    </xf>
    <xf numFmtId="166" fontId="6" fillId="0" borderId="2" xfId="2" applyNumberFormat="1" applyFont="1" applyFill="1" applyBorder="1" applyAlignment="1"/>
    <xf numFmtId="9" fontId="6" fillId="0" borderId="2" xfId="4" applyFont="1" applyFill="1" applyBorder="1" applyAlignment="1"/>
    <xf numFmtId="166" fontId="9" fillId="0" borderId="2" xfId="2" applyNumberFormat="1" applyFont="1" applyBorder="1" applyAlignment="1">
      <alignment vertical="center"/>
    </xf>
    <xf numFmtId="3" fontId="1" fillId="0" borderId="1" xfId="1" applyNumberFormat="1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center" vertical="center" wrapText="1"/>
    </xf>
    <xf numFmtId="0" fontId="11" fillId="8" borderId="2" xfId="0" applyFont="1" applyFill="1" applyBorder="1"/>
    <xf numFmtId="174" fontId="6" fillId="0" borderId="7" xfId="1" applyNumberFormat="1" applyFont="1" applyBorder="1" applyAlignment="1">
      <alignment horizontal="center"/>
    </xf>
    <xf numFmtId="0" fontId="0" fillId="0" borderId="2" xfId="0" applyBorder="1"/>
    <xf numFmtId="166" fontId="0" fillId="0" borderId="2" xfId="2" applyNumberFormat="1" applyFont="1" applyBorder="1"/>
    <xf numFmtId="166" fontId="0" fillId="3" borderId="2" xfId="2" applyNumberFormat="1" applyFont="1" applyFill="1" applyBorder="1"/>
    <xf numFmtId="0" fontId="0" fillId="0" borderId="1" xfId="0" applyBorder="1"/>
    <xf numFmtId="166" fontId="0" fillId="0" borderId="1" xfId="2" applyNumberFormat="1" applyFont="1" applyBorder="1"/>
    <xf numFmtId="166" fontId="0" fillId="0" borderId="16" xfId="2" applyNumberFormat="1" applyFont="1" applyBorder="1"/>
    <xf numFmtId="167" fontId="1" fillId="0" borderId="1" xfId="1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9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167" fontId="1" fillId="0" borderId="11" xfId="1" applyNumberFormat="1" applyFont="1" applyBorder="1" applyAlignment="1">
      <alignment horizontal="left" vertical="center" wrapText="1"/>
    </xf>
    <xf numFmtId="167" fontId="1" fillId="0" borderId="1" xfId="1" applyNumberFormat="1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67" fontId="1" fillId="0" borderId="2" xfId="1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7" fontId="1" fillId="0" borderId="2" xfId="1" applyNumberFormat="1" applyFont="1" applyBorder="1" applyAlignment="1">
      <alignment horizontal="left" vertical="center"/>
    </xf>
    <xf numFmtId="167" fontId="1" fillId="0" borderId="12" xfId="1" applyNumberFormat="1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7" fontId="1" fillId="0" borderId="7" xfId="1" applyNumberFormat="1" applyFont="1" applyBorder="1" applyAlignment="1">
      <alignment horizontal="left" vertical="center"/>
    </xf>
    <xf numFmtId="167" fontId="1" fillId="0" borderId="8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167" fontId="2" fillId="0" borderId="7" xfId="1" applyNumberFormat="1" applyFont="1" applyBorder="1" applyAlignment="1">
      <alignment horizontal="center" vertical="center" wrapText="1"/>
    </xf>
    <xf numFmtId="3" fontId="2" fillId="0" borderId="7" xfId="1" applyNumberFormat="1" applyFont="1" applyFill="1" applyBorder="1" applyAlignment="1">
      <alignment horizontal="right"/>
    </xf>
    <xf numFmtId="0" fontId="11" fillId="7" borderId="6" xfId="0" applyFont="1" applyFill="1" applyBorder="1" applyAlignment="1">
      <alignment horizontal="center"/>
    </xf>
    <xf numFmtId="0" fontId="11" fillId="0" borderId="2" xfId="0" applyFont="1" applyFill="1" applyBorder="1" applyAlignment="1"/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/>
    <xf numFmtId="0" fontId="11" fillId="8" borderId="2" xfId="0" applyFont="1" applyFill="1" applyBorder="1" applyAlignment="1"/>
    <xf numFmtId="176" fontId="6" fillId="0" borderId="7" xfId="0" applyNumberFormat="1" applyFont="1" applyBorder="1" applyAlignment="1">
      <alignment horizontal="center"/>
    </xf>
    <xf numFmtId="0" fontId="15" fillId="0" borderId="0" xfId="0" applyFont="1"/>
  </cellXfs>
  <cellStyles count="7">
    <cellStyle name="Millares" xfId="1" builtinId="3"/>
    <cellStyle name="Millares 2" xfId="3"/>
    <cellStyle name="Moneda" xfId="2" builtinId="4"/>
    <cellStyle name="Normal" xfId="0" builtinId="0"/>
    <cellStyle name="Normal 2" xfId="5"/>
    <cellStyle name="Normal 2 2" xfId="6"/>
    <cellStyle name="Porcentaje" xfId="4" builtinId="5"/>
  </cellStyles>
  <dxfs count="0"/>
  <tableStyles count="0" defaultTableStyle="TableStyleMedium9" defaultPivotStyle="PivotStyleLight16"/>
  <colors>
    <mruColors>
      <color rgb="FFFCA6DF"/>
      <color rgb="FFFF7C80"/>
      <color rgb="FFFF0000"/>
      <color rgb="FFFF5050"/>
      <color rgb="FFFB77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2</xdr:row>
      <xdr:rowOff>19050</xdr:rowOff>
    </xdr:from>
    <xdr:to>
      <xdr:col>2</xdr:col>
      <xdr:colOff>409575</xdr:colOff>
      <xdr:row>4</xdr:row>
      <xdr:rowOff>104775</xdr:rowOff>
    </xdr:to>
    <xdr:pic>
      <xdr:nvPicPr>
        <xdr:cNvPr id="5137" name="7 Imagen" descr="D:\Doc Personales\Escritorio\LOGO NUEVO - copia (2).jpg">
          <a:extLst>
            <a:ext uri="{FF2B5EF4-FFF2-40B4-BE49-F238E27FC236}">
              <a16:creationId xmlns="" xmlns:a16="http://schemas.microsoft.com/office/drawing/2014/main" id="{00000000-0008-0000-04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523875"/>
          <a:ext cx="25050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133350</xdr:colOff>
      <xdr:row>1</xdr:row>
      <xdr:rowOff>104775</xdr:rowOff>
    </xdr:from>
    <xdr:to>
      <xdr:col>16</xdr:col>
      <xdr:colOff>228600</xdr:colOff>
      <xdr:row>4</xdr:row>
      <xdr:rowOff>66675</xdr:rowOff>
    </xdr:to>
    <xdr:pic>
      <xdr:nvPicPr>
        <xdr:cNvPr id="5139" name="17 Imagen" descr="D:\Doc Personales\Escritorio\LOGO NUEVO - copia (2).jpg">
          <a:extLst>
            <a:ext uri="{FF2B5EF4-FFF2-40B4-BE49-F238E27FC236}">
              <a16:creationId xmlns="" xmlns:a16="http://schemas.microsoft.com/office/drawing/2014/main" id="{00000000-0008-0000-04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3275" y="419100"/>
          <a:ext cx="2286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tho\Dropbox\DEBIENES%20LABORAL\Nomina%20Bienes%20Inmobiliaria%20marzo%2016-31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Pasos"/>
      <sheetName val="Datos"/>
      <sheetName val="Nómina"/>
      <sheetName val="LIQUI CESANTIAS E INTERESES "/>
      <sheetName val="NOTAS"/>
      <sheetName val="HR"/>
      <sheetName val="Recibo Pago"/>
      <sheetName val="RC"/>
      <sheetName val="NO"/>
      <sheetName val="Hoja2"/>
    </sheetNames>
    <sheetDataSet>
      <sheetData sheetId="0"/>
      <sheetData sheetId="1"/>
      <sheetData sheetId="2">
        <row r="12">
          <cell r="P12" t="str">
            <v>0038671694 Ana Maria Hurtado  Cabrera</v>
          </cell>
        </row>
        <row r="13">
          <cell r="P13" t="str">
            <v>0066924913 Gina Lizeth Navia Dusan</v>
          </cell>
        </row>
        <row r="14">
          <cell r="P14" t="str">
            <v>0029180592 Claudia  Burbano Hoyos</v>
          </cell>
        </row>
        <row r="15">
          <cell r="P15" t="str">
            <v>0014992356 Carlos Enrique Hurtado  Acevedo</v>
          </cell>
        </row>
        <row r="16">
          <cell r="P16" t="str">
            <v>1144033592 Claudia marcela  Hurtado  Cabrera</v>
          </cell>
        </row>
        <row r="17">
          <cell r="P17" t="str">
            <v xml:space="preserve">0000000000    </v>
          </cell>
        </row>
        <row r="18">
          <cell r="P18" t="str">
            <v xml:space="preserve">0000000000    </v>
          </cell>
        </row>
        <row r="19">
          <cell r="P19" t="str">
            <v xml:space="preserve">0000000000    </v>
          </cell>
        </row>
        <row r="20">
          <cell r="P20" t="str">
            <v xml:space="preserve">0000000000    </v>
          </cell>
        </row>
        <row r="21">
          <cell r="P21" t="str">
            <v xml:space="preserve">0000000000    </v>
          </cell>
        </row>
        <row r="22">
          <cell r="P22" t="str">
            <v xml:space="preserve">0000000000    </v>
          </cell>
        </row>
        <row r="23">
          <cell r="P23" t="str">
            <v xml:space="preserve">0000000000    </v>
          </cell>
        </row>
        <row r="24">
          <cell r="P24" t="str">
            <v xml:space="preserve">0000000000    </v>
          </cell>
        </row>
        <row r="25">
          <cell r="P25" t="str">
            <v xml:space="preserve">0000000000    </v>
          </cell>
        </row>
        <row r="26">
          <cell r="P26" t="str">
            <v xml:space="preserve">0000000000   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I15"/>
  <sheetViews>
    <sheetView zoomScale="90" zoomScaleNormal="90" workbookViewId="0">
      <selection activeCell="C4" sqref="C4"/>
    </sheetView>
  </sheetViews>
  <sheetFormatPr baseColWidth="10" defaultRowHeight="16.5" x14ac:dyDescent="0.3"/>
  <cols>
    <col min="1" max="1" width="4.42578125" style="40" customWidth="1"/>
    <col min="2" max="2" width="41.140625" style="40" customWidth="1"/>
    <col min="3" max="3" width="16.5703125" style="40" bestFit="1" customWidth="1"/>
    <col min="4" max="4" width="3.5703125" style="40" customWidth="1"/>
    <col min="5" max="5" width="3.140625" style="40" customWidth="1"/>
    <col min="6" max="6" width="2.7109375" style="40" customWidth="1"/>
    <col min="7" max="7" width="3" style="40" customWidth="1"/>
    <col min="8" max="8" width="3.140625" style="40" customWidth="1"/>
    <col min="9" max="10" width="3.7109375" style="40" customWidth="1"/>
    <col min="11" max="11" width="3.140625" style="40" customWidth="1"/>
    <col min="12" max="12" width="3.5703125" style="40" customWidth="1"/>
    <col min="13" max="13" width="3.28515625" style="40" customWidth="1"/>
    <col min="14" max="14" width="3.42578125" style="40" customWidth="1"/>
    <col min="15" max="15" width="3" style="40" customWidth="1"/>
    <col min="16" max="16" width="4.140625" style="40" customWidth="1"/>
    <col min="17" max="17" width="3.5703125" style="40" customWidth="1"/>
    <col min="18" max="18" width="3.140625" style="40" customWidth="1"/>
    <col min="19" max="19" width="15.5703125" style="41" customWidth="1"/>
    <col min="20" max="20" width="4" style="40" customWidth="1"/>
    <col min="21" max="27" width="3.42578125" style="40" customWidth="1"/>
    <col min="28" max="29" width="3.28515625" style="40" customWidth="1"/>
    <col min="30" max="33" width="3.42578125" style="40" bestFit="1" customWidth="1"/>
    <col min="34" max="34" width="4" style="40" customWidth="1"/>
    <col min="35" max="35" width="15.5703125" style="41" bestFit="1" customWidth="1"/>
    <col min="36" max="16384" width="11.42578125" style="40"/>
  </cols>
  <sheetData>
    <row r="1" spans="1:35" s="47" customFormat="1" x14ac:dyDescent="0.3">
      <c r="S1" s="48" t="s">
        <v>45</v>
      </c>
      <c r="AI1" s="48" t="s">
        <v>46</v>
      </c>
    </row>
    <row r="2" spans="1:35" s="47" customFormat="1" x14ac:dyDescent="0.3">
      <c r="B2" s="47" t="s">
        <v>47</v>
      </c>
      <c r="C2" s="47" t="s">
        <v>27</v>
      </c>
      <c r="D2" s="98">
        <v>1</v>
      </c>
      <c r="E2" s="166">
        <v>2</v>
      </c>
      <c r="F2" s="166">
        <v>3</v>
      </c>
      <c r="G2" s="166">
        <v>4</v>
      </c>
      <c r="H2" s="166">
        <v>5</v>
      </c>
      <c r="I2" s="166">
        <v>6</v>
      </c>
      <c r="J2" s="166">
        <v>7</v>
      </c>
      <c r="K2" s="98">
        <v>8</v>
      </c>
      <c r="L2" s="166">
        <v>9</v>
      </c>
      <c r="M2" s="166">
        <v>10</v>
      </c>
      <c r="N2" s="166">
        <v>11</v>
      </c>
      <c r="O2" s="166">
        <v>12</v>
      </c>
      <c r="P2" s="166">
        <v>13</v>
      </c>
      <c r="Q2" s="166">
        <v>14</v>
      </c>
      <c r="R2" s="98">
        <v>15</v>
      </c>
      <c r="S2" s="42" t="s">
        <v>19</v>
      </c>
      <c r="T2" s="166">
        <v>16</v>
      </c>
      <c r="U2" s="166">
        <v>17</v>
      </c>
      <c r="V2" s="166">
        <v>18</v>
      </c>
      <c r="W2" s="166">
        <v>19</v>
      </c>
      <c r="X2" s="166">
        <v>20</v>
      </c>
      <c r="Y2" s="166">
        <v>21</v>
      </c>
      <c r="Z2" s="98">
        <v>22</v>
      </c>
      <c r="AA2" s="166">
        <v>23</v>
      </c>
      <c r="AB2" s="166">
        <v>24</v>
      </c>
      <c r="AC2" s="166">
        <v>25</v>
      </c>
      <c r="AD2" s="166">
        <v>26</v>
      </c>
      <c r="AE2" s="166">
        <v>27</v>
      </c>
      <c r="AF2" s="166">
        <v>28</v>
      </c>
      <c r="AG2" s="166">
        <v>29</v>
      </c>
      <c r="AH2" s="166">
        <v>30</v>
      </c>
      <c r="AI2" s="48" t="s">
        <v>19</v>
      </c>
    </row>
    <row r="3" spans="1:35" x14ac:dyDescent="0.3">
      <c r="A3" s="40">
        <v>1</v>
      </c>
      <c r="B3" s="49" t="s">
        <v>62</v>
      </c>
      <c r="C3" s="162">
        <v>1107514369</v>
      </c>
      <c r="D3" s="98"/>
      <c r="E3" s="166"/>
      <c r="F3" s="166"/>
      <c r="G3" s="166"/>
      <c r="H3" s="166"/>
      <c r="I3" s="166"/>
      <c r="J3" s="166"/>
      <c r="K3" s="98"/>
      <c r="L3" s="166"/>
      <c r="M3" s="166"/>
      <c r="N3" s="166"/>
      <c r="O3" s="166"/>
      <c r="P3" s="166"/>
      <c r="Q3" s="166"/>
      <c r="R3" s="98"/>
      <c r="S3" s="42">
        <f t="shared" ref="S3:S8" si="0">SUM(D3:R3)</f>
        <v>0</v>
      </c>
      <c r="T3" s="166"/>
      <c r="U3" s="166"/>
      <c r="V3" s="166">
        <v>1</v>
      </c>
      <c r="W3" s="166">
        <v>1</v>
      </c>
      <c r="X3" s="166">
        <v>1</v>
      </c>
      <c r="Y3" s="166">
        <v>1</v>
      </c>
      <c r="Z3" s="98">
        <v>1</v>
      </c>
      <c r="AA3" s="166">
        <v>1</v>
      </c>
      <c r="AB3" s="166">
        <v>1</v>
      </c>
      <c r="AC3" s="166">
        <v>1</v>
      </c>
      <c r="AD3" s="166">
        <v>1</v>
      </c>
      <c r="AE3" s="166">
        <v>1</v>
      </c>
      <c r="AF3" s="166">
        <v>1</v>
      </c>
      <c r="AG3" s="166">
        <v>1</v>
      </c>
      <c r="AH3" s="166">
        <v>1</v>
      </c>
      <c r="AI3" s="164">
        <f t="shared" ref="AI3:AI8" si="1">SUM(T3:AH3)</f>
        <v>13</v>
      </c>
    </row>
    <row r="4" spans="1:35" x14ac:dyDescent="0.3">
      <c r="A4" s="40">
        <v>2</v>
      </c>
      <c r="B4" s="49" t="s">
        <v>63</v>
      </c>
      <c r="C4" s="163">
        <v>1006216897</v>
      </c>
      <c r="D4" s="98"/>
      <c r="E4" s="166"/>
      <c r="F4" s="166"/>
      <c r="G4" s="166"/>
      <c r="H4" s="166"/>
      <c r="I4" s="166"/>
      <c r="J4" s="166"/>
      <c r="K4" s="98"/>
      <c r="L4" s="166"/>
      <c r="M4" s="166"/>
      <c r="N4" s="166"/>
      <c r="O4" s="166"/>
      <c r="P4" s="166"/>
      <c r="Q4" s="166"/>
      <c r="R4" s="98"/>
      <c r="S4" s="42">
        <f t="shared" si="0"/>
        <v>0</v>
      </c>
      <c r="T4" s="166"/>
      <c r="U4" s="166"/>
      <c r="V4" s="166">
        <v>1</v>
      </c>
      <c r="W4" s="166">
        <v>1</v>
      </c>
      <c r="X4" s="166">
        <v>1</v>
      </c>
      <c r="Y4" s="166">
        <v>1</v>
      </c>
      <c r="Z4" s="98">
        <v>1</v>
      </c>
      <c r="AA4" s="166">
        <v>1</v>
      </c>
      <c r="AB4" s="166">
        <v>1</v>
      </c>
      <c r="AC4" s="166">
        <v>1</v>
      </c>
      <c r="AD4" s="166">
        <v>1</v>
      </c>
      <c r="AE4" s="166">
        <v>1</v>
      </c>
      <c r="AF4" s="166">
        <v>1</v>
      </c>
      <c r="AG4" s="166">
        <v>1</v>
      </c>
      <c r="AH4" s="166">
        <v>1</v>
      </c>
      <c r="AI4" s="164">
        <f t="shared" si="1"/>
        <v>13</v>
      </c>
    </row>
    <row r="5" spans="1:35" x14ac:dyDescent="0.3">
      <c r="A5" s="40">
        <v>3</v>
      </c>
      <c r="B5" s="49" t="s">
        <v>64</v>
      </c>
      <c r="C5" s="163">
        <v>1086279269</v>
      </c>
      <c r="D5" s="98"/>
      <c r="E5" s="166"/>
      <c r="F5" s="166"/>
      <c r="G5" s="166"/>
      <c r="H5" s="166"/>
      <c r="I5" s="166"/>
      <c r="J5" s="166"/>
      <c r="K5" s="98"/>
      <c r="L5" s="166"/>
      <c r="M5" s="166"/>
      <c r="N5" s="166"/>
      <c r="O5" s="166"/>
      <c r="P5" s="166"/>
      <c r="Q5" s="166"/>
      <c r="R5" s="98"/>
      <c r="S5" s="42">
        <f t="shared" si="0"/>
        <v>0</v>
      </c>
      <c r="T5" s="166"/>
      <c r="U5" s="166"/>
      <c r="V5" s="166">
        <v>1</v>
      </c>
      <c r="W5" s="166">
        <v>1</v>
      </c>
      <c r="X5" s="166">
        <v>1</v>
      </c>
      <c r="Y5" s="166">
        <v>1</v>
      </c>
      <c r="Z5" s="98">
        <v>1</v>
      </c>
      <c r="AA5" s="166">
        <v>1</v>
      </c>
      <c r="AB5" s="166">
        <v>1</v>
      </c>
      <c r="AC5" s="166">
        <v>1</v>
      </c>
      <c r="AD5" s="166">
        <v>1</v>
      </c>
      <c r="AE5" s="166">
        <v>1</v>
      </c>
      <c r="AF5" s="166">
        <v>1</v>
      </c>
      <c r="AG5" s="166">
        <v>1</v>
      </c>
      <c r="AH5" s="166">
        <v>1</v>
      </c>
      <c r="AI5" s="164">
        <f t="shared" si="1"/>
        <v>13</v>
      </c>
    </row>
    <row r="6" spans="1:35" x14ac:dyDescent="0.3">
      <c r="A6" s="40">
        <v>4</v>
      </c>
      <c r="B6" s="93" t="s">
        <v>65</v>
      </c>
      <c r="C6" s="163">
        <v>1112226821</v>
      </c>
      <c r="D6" s="109"/>
      <c r="E6" s="167"/>
      <c r="F6" s="167"/>
      <c r="G6" s="167"/>
      <c r="H6" s="167"/>
      <c r="I6" s="166"/>
      <c r="J6" s="166"/>
      <c r="K6" s="98"/>
      <c r="L6" s="166"/>
      <c r="M6" s="166"/>
      <c r="N6" s="166"/>
      <c r="O6" s="166"/>
      <c r="P6" s="166"/>
      <c r="Q6" s="166"/>
      <c r="R6" s="98"/>
      <c r="S6" s="42">
        <f t="shared" si="0"/>
        <v>0</v>
      </c>
      <c r="T6" s="166"/>
      <c r="U6" s="166"/>
      <c r="V6" s="166">
        <v>1</v>
      </c>
      <c r="W6" s="166">
        <v>1</v>
      </c>
      <c r="X6" s="166">
        <v>1</v>
      </c>
      <c r="Y6" s="166">
        <v>1</v>
      </c>
      <c r="Z6" s="98">
        <v>1</v>
      </c>
      <c r="AA6" s="166">
        <v>1</v>
      </c>
      <c r="AB6" s="166">
        <v>1</v>
      </c>
      <c r="AC6" s="166">
        <v>1</v>
      </c>
      <c r="AD6" s="166">
        <v>1</v>
      </c>
      <c r="AE6" s="166">
        <v>1</v>
      </c>
      <c r="AF6" s="166">
        <v>1</v>
      </c>
      <c r="AG6" s="166">
        <v>1</v>
      </c>
      <c r="AH6" s="166">
        <v>1</v>
      </c>
      <c r="AI6" s="164">
        <f t="shared" si="1"/>
        <v>13</v>
      </c>
    </row>
    <row r="7" spans="1:35" x14ac:dyDescent="0.3">
      <c r="A7" s="40">
        <v>5</v>
      </c>
      <c r="B7" s="93" t="s">
        <v>66</v>
      </c>
      <c r="C7" s="163">
        <v>1113676974</v>
      </c>
      <c r="D7" s="168"/>
      <c r="E7" s="165"/>
      <c r="F7" s="165"/>
      <c r="G7" s="165"/>
      <c r="H7" s="165"/>
      <c r="I7" s="165"/>
      <c r="J7" s="165"/>
      <c r="K7" s="168"/>
      <c r="L7" s="165"/>
      <c r="M7" s="165"/>
      <c r="N7" s="165"/>
      <c r="O7" s="165"/>
      <c r="P7" s="165"/>
      <c r="Q7" s="165"/>
      <c r="R7" s="168"/>
      <c r="S7" s="42">
        <f t="shared" si="0"/>
        <v>0</v>
      </c>
      <c r="T7" s="165"/>
      <c r="U7" s="165"/>
      <c r="V7" s="166">
        <v>1</v>
      </c>
      <c r="W7" s="166">
        <v>1</v>
      </c>
      <c r="X7" s="166">
        <v>1</v>
      </c>
      <c r="Y7" s="166">
        <v>1</v>
      </c>
      <c r="Z7" s="98">
        <v>1</v>
      </c>
      <c r="AA7" s="166">
        <v>1</v>
      </c>
      <c r="AB7" s="166">
        <v>1</v>
      </c>
      <c r="AC7" s="166">
        <v>1</v>
      </c>
      <c r="AD7" s="166">
        <v>1</v>
      </c>
      <c r="AE7" s="166">
        <v>1</v>
      </c>
      <c r="AF7" s="166">
        <v>1</v>
      </c>
      <c r="AG7" s="166">
        <v>1</v>
      </c>
      <c r="AH7" s="166">
        <v>1</v>
      </c>
      <c r="AI7" s="164">
        <f t="shared" si="1"/>
        <v>13</v>
      </c>
    </row>
    <row r="8" spans="1:35" x14ac:dyDescent="0.3">
      <c r="A8" s="40">
        <v>6</v>
      </c>
      <c r="B8" s="49" t="s">
        <v>67</v>
      </c>
      <c r="C8" s="163">
        <v>1114620530</v>
      </c>
      <c r="D8" s="98"/>
      <c r="E8" s="166"/>
      <c r="F8" s="166"/>
      <c r="G8" s="166"/>
      <c r="H8" s="166"/>
      <c r="I8" s="166"/>
      <c r="J8" s="166"/>
      <c r="K8" s="98"/>
      <c r="L8" s="166"/>
      <c r="M8" s="166"/>
      <c r="N8" s="166"/>
      <c r="O8" s="166"/>
      <c r="P8" s="166"/>
      <c r="Q8" s="166"/>
      <c r="R8" s="98"/>
      <c r="S8" s="42">
        <f t="shared" si="0"/>
        <v>0</v>
      </c>
      <c r="T8" s="166"/>
      <c r="U8" s="166"/>
      <c r="V8" s="166">
        <v>1</v>
      </c>
      <c r="W8" s="166">
        <v>1</v>
      </c>
      <c r="X8" s="166">
        <v>1</v>
      </c>
      <c r="Y8" s="166">
        <v>1</v>
      </c>
      <c r="Z8" s="98">
        <v>1</v>
      </c>
      <c r="AA8" s="166">
        <v>1</v>
      </c>
      <c r="AB8" s="166">
        <v>1</v>
      </c>
      <c r="AC8" s="166">
        <v>1</v>
      </c>
      <c r="AD8" s="166">
        <v>1</v>
      </c>
      <c r="AE8" s="166">
        <v>1</v>
      </c>
      <c r="AF8" s="166">
        <v>1</v>
      </c>
      <c r="AG8" s="166">
        <v>1</v>
      </c>
      <c r="AH8" s="166">
        <v>1</v>
      </c>
      <c r="AI8" s="164">
        <f t="shared" si="1"/>
        <v>13</v>
      </c>
    </row>
    <row r="10" spans="1:35" x14ac:dyDescent="0.3">
      <c r="B10" s="40" t="s">
        <v>29</v>
      </c>
      <c r="C10" s="43"/>
    </row>
    <row r="11" spans="1:35" x14ac:dyDescent="0.3">
      <c r="B11" s="40" t="s">
        <v>30</v>
      </c>
      <c r="C11" s="94"/>
    </row>
    <row r="12" spans="1:35" x14ac:dyDescent="0.3">
      <c r="B12" s="40" t="s">
        <v>31</v>
      </c>
      <c r="C12" s="44"/>
    </row>
    <row r="13" spans="1:35" x14ac:dyDescent="0.3">
      <c r="B13" s="40" t="s">
        <v>32</v>
      </c>
      <c r="C13" s="45"/>
    </row>
    <row r="14" spans="1:35" x14ac:dyDescent="0.3">
      <c r="B14" s="40" t="s">
        <v>35</v>
      </c>
      <c r="C14" s="46"/>
    </row>
    <row r="15" spans="1:35" x14ac:dyDescent="0.3">
      <c r="B15" s="40" t="s">
        <v>49</v>
      </c>
      <c r="C15" s="99"/>
    </row>
  </sheetData>
  <sortState ref="B4:C8">
    <sortCondition ref="B3:B8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1:O81"/>
  <sheetViews>
    <sheetView topLeftCell="C1" workbookViewId="0">
      <selection activeCell="J47" sqref="J47"/>
    </sheetView>
  </sheetViews>
  <sheetFormatPr baseColWidth="10" defaultRowHeight="15" x14ac:dyDescent="0.25"/>
  <cols>
    <col min="2" max="2" width="15.140625" customWidth="1"/>
    <col min="3" max="3" width="10.42578125" bestFit="1" customWidth="1"/>
    <col min="4" max="4" width="21.140625" customWidth="1"/>
    <col min="5" max="5" width="17.7109375" customWidth="1"/>
    <col min="7" max="7" width="13.7109375" bestFit="1" customWidth="1"/>
    <col min="8" max="8" width="10.42578125" bestFit="1" customWidth="1"/>
    <col min="9" max="9" width="21.7109375" bestFit="1" customWidth="1"/>
    <col min="10" max="10" width="15.140625" customWidth="1"/>
  </cols>
  <sheetData>
    <row r="1" spans="2:15" x14ac:dyDescent="0.25">
      <c r="B1" s="131" t="s">
        <v>58</v>
      </c>
      <c r="C1" s="131"/>
      <c r="D1" s="131"/>
      <c r="E1" s="131"/>
      <c r="G1" s="131" t="s">
        <v>58</v>
      </c>
      <c r="H1" s="131"/>
      <c r="I1" s="131"/>
      <c r="J1" s="131"/>
      <c r="L1" s="27"/>
      <c r="M1" s="27"/>
      <c r="N1" s="25"/>
      <c r="O1" s="25"/>
    </row>
    <row r="2" spans="2:15" x14ac:dyDescent="0.25">
      <c r="B2" s="120" t="s">
        <v>36</v>
      </c>
      <c r="C2" s="122"/>
      <c r="D2" s="120" t="s">
        <v>56</v>
      </c>
      <c r="E2" s="122"/>
      <c r="G2" s="120" t="s">
        <v>36</v>
      </c>
      <c r="H2" s="122"/>
      <c r="I2" s="120" t="s">
        <v>57</v>
      </c>
      <c r="J2" s="122"/>
      <c r="L2" s="27"/>
      <c r="M2" s="27"/>
      <c r="N2" s="25"/>
      <c r="O2" s="25"/>
    </row>
    <row r="3" spans="2:15" x14ac:dyDescent="0.25">
      <c r="B3" s="134" t="s">
        <v>39</v>
      </c>
      <c r="C3" s="134"/>
      <c r="D3" s="12" t="str">
        <f>+Asistencia!B3</f>
        <v>ANDRES FELIPE CHAUX TASCON</v>
      </c>
      <c r="E3" s="29"/>
      <c r="G3" s="134" t="s">
        <v>39</v>
      </c>
      <c r="H3" s="134"/>
      <c r="I3" s="12" t="str">
        <f>+D3</f>
        <v>ANDRES FELIPE CHAUX TASCON</v>
      </c>
      <c r="J3" s="29"/>
      <c r="L3" s="27"/>
      <c r="M3" s="27"/>
      <c r="N3" s="25"/>
      <c r="O3" s="25"/>
    </row>
    <row r="4" spans="2:15" x14ac:dyDescent="0.25">
      <c r="B4" s="135" t="s">
        <v>27</v>
      </c>
      <c r="C4" s="136"/>
      <c r="D4" s="9">
        <v>94300332</v>
      </c>
      <c r="E4" s="10"/>
      <c r="G4" s="135" t="s">
        <v>27</v>
      </c>
      <c r="H4" s="137"/>
      <c r="I4" s="9">
        <f>+D4</f>
        <v>94300332</v>
      </c>
      <c r="J4" s="10"/>
      <c r="L4" s="27"/>
      <c r="M4" s="27"/>
      <c r="N4" s="25"/>
      <c r="O4" s="25"/>
    </row>
    <row r="5" spans="2:15" x14ac:dyDescent="0.25">
      <c r="B5" s="4" t="s">
        <v>25</v>
      </c>
      <c r="C5" s="110">
        <v>58363.5</v>
      </c>
      <c r="D5" s="35" t="s">
        <v>37</v>
      </c>
      <c r="E5" s="36">
        <f>+Asistencia!S4</f>
        <v>0</v>
      </c>
      <c r="G5" s="4" t="s">
        <v>25</v>
      </c>
      <c r="H5" s="110">
        <v>58363.5</v>
      </c>
      <c r="I5" s="6" t="s">
        <v>37</v>
      </c>
      <c r="J5" s="5">
        <f>+Asistencia!AI4</f>
        <v>13</v>
      </c>
      <c r="L5" s="27"/>
      <c r="M5" s="27"/>
      <c r="N5" s="25"/>
      <c r="O5" s="25"/>
    </row>
    <row r="6" spans="2:15" x14ac:dyDescent="0.25">
      <c r="B6" s="120" t="s">
        <v>21</v>
      </c>
      <c r="C6" s="121"/>
      <c r="D6" s="122"/>
      <c r="E6" s="13">
        <f>+$E$5*$C$5</f>
        <v>0</v>
      </c>
      <c r="G6" s="120" t="s">
        <v>21</v>
      </c>
      <c r="H6" s="121"/>
      <c r="I6" s="122"/>
      <c r="J6" s="13">
        <f>+H5*$J$5</f>
        <v>758725.5</v>
      </c>
      <c r="L6" s="27" t="s">
        <v>26</v>
      </c>
      <c r="M6" s="28">
        <f>+E6+J6</f>
        <v>758725.5</v>
      </c>
      <c r="N6" s="25" t="s">
        <v>19</v>
      </c>
      <c r="O6" s="26">
        <f>+$E$5+$J$5</f>
        <v>13</v>
      </c>
    </row>
    <row r="7" spans="2:15" x14ac:dyDescent="0.25">
      <c r="B7" s="120" t="s">
        <v>28</v>
      </c>
      <c r="C7" s="121"/>
      <c r="D7" s="122"/>
      <c r="E7" s="13">
        <f>+$E$5*$C$5</f>
        <v>0</v>
      </c>
      <c r="G7" s="120" t="s">
        <v>28</v>
      </c>
      <c r="H7" s="121"/>
      <c r="I7" s="122"/>
      <c r="J7" s="13">
        <v>0</v>
      </c>
      <c r="L7" s="24" t="s">
        <v>44</v>
      </c>
      <c r="M7" s="23">
        <f>+E7+J7</f>
        <v>0</v>
      </c>
    </row>
    <row r="8" spans="2:15" x14ac:dyDescent="0.25">
      <c r="B8" s="123" t="s">
        <v>38</v>
      </c>
      <c r="C8" s="7" t="s">
        <v>10</v>
      </c>
      <c r="D8" s="11">
        <v>0.04</v>
      </c>
      <c r="E8" s="14">
        <f>+E6*$D$8</f>
        <v>0</v>
      </c>
      <c r="G8" s="123" t="s">
        <v>38</v>
      </c>
      <c r="H8" s="7" t="s">
        <v>10</v>
      </c>
      <c r="I8" s="11">
        <v>0.04</v>
      </c>
      <c r="J8" s="14">
        <f>+J6*$I$8</f>
        <v>30349.02</v>
      </c>
      <c r="L8" s="27" t="s">
        <v>41</v>
      </c>
      <c r="M8" s="28">
        <f>+E8+J8+E9+J9</f>
        <v>60698.04</v>
      </c>
      <c r="N8" s="25"/>
      <c r="O8" s="25"/>
    </row>
    <row r="9" spans="2:15" x14ac:dyDescent="0.25">
      <c r="B9" s="124"/>
      <c r="C9" s="7" t="s">
        <v>40</v>
      </c>
      <c r="D9" s="11">
        <v>0.04</v>
      </c>
      <c r="E9" s="14">
        <f>+E6*$D$9</f>
        <v>0</v>
      </c>
      <c r="G9" s="124"/>
      <c r="H9" s="7" t="s">
        <v>40</v>
      </c>
      <c r="I9" s="11">
        <v>0.04</v>
      </c>
      <c r="J9" s="14">
        <f>+J6*$I$9</f>
        <v>30349.02</v>
      </c>
      <c r="L9" s="27" t="s">
        <v>31</v>
      </c>
      <c r="M9" s="27"/>
      <c r="N9" s="25"/>
      <c r="O9" s="25"/>
    </row>
    <row r="10" spans="2:15" x14ac:dyDescent="0.25">
      <c r="B10" s="125" t="s">
        <v>1</v>
      </c>
      <c r="C10" s="126"/>
      <c r="D10" s="127"/>
      <c r="E10" s="22">
        <f>+E6+E7-E8-E9</f>
        <v>0</v>
      </c>
      <c r="G10" s="125" t="s">
        <v>1</v>
      </c>
      <c r="H10" s="126"/>
      <c r="I10" s="127"/>
      <c r="J10" s="22">
        <f>+J6+J7-J8-J9</f>
        <v>698027.46</v>
      </c>
      <c r="L10" s="27" t="s">
        <v>42</v>
      </c>
      <c r="M10" s="27"/>
      <c r="N10" s="25"/>
      <c r="O10" s="25"/>
    </row>
    <row r="11" spans="2:15" x14ac:dyDescent="0.25">
      <c r="B11" s="128" t="s">
        <v>33</v>
      </c>
      <c r="C11" s="129"/>
      <c r="D11" s="129"/>
      <c r="E11" s="130"/>
      <c r="G11" s="128" t="s">
        <v>33</v>
      </c>
      <c r="H11" s="129"/>
      <c r="I11" s="129"/>
      <c r="J11" s="130"/>
      <c r="L11" s="27" t="s">
        <v>43</v>
      </c>
      <c r="M11" s="28">
        <f>+M6+M7</f>
        <v>758725.5</v>
      </c>
      <c r="N11" s="25"/>
      <c r="O11" s="25"/>
    </row>
    <row r="12" spans="2:15" x14ac:dyDescent="0.25">
      <c r="B12" s="15"/>
      <c r="C12" s="16"/>
      <c r="D12" s="16"/>
      <c r="E12" s="17"/>
      <c r="G12" s="15"/>
      <c r="H12" s="16"/>
      <c r="I12" s="16"/>
      <c r="J12" s="17"/>
    </row>
    <row r="13" spans="2:15" x14ac:dyDescent="0.25">
      <c r="B13" s="18"/>
      <c r="C13" s="19"/>
      <c r="D13" s="19" t="s">
        <v>34</v>
      </c>
      <c r="E13" s="39"/>
      <c r="G13" s="18"/>
      <c r="H13" s="19"/>
      <c r="I13" s="19" t="s">
        <v>34</v>
      </c>
      <c r="J13" s="39"/>
    </row>
    <row r="15" spans="2:15" x14ac:dyDescent="0.25">
      <c r="B15" s="131" t="s">
        <v>58</v>
      </c>
      <c r="C15" s="131"/>
      <c r="D15" s="131"/>
      <c r="E15" s="131"/>
      <c r="G15" s="131" t="s">
        <v>58</v>
      </c>
      <c r="H15" s="131"/>
      <c r="I15" s="131"/>
      <c r="J15" s="131"/>
      <c r="L15" s="27"/>
      <c r="M15" s="27"/>
      <c r="N15" s="25"/>
      <c r="O15" s="25"/>
    </row>
    <row r="16" spans="2:15" x14ac:dyDescent="0.25">
      <c r="B16" s="120" t="s">
        <v>36</v>
      </c>
      <c r="C16" s="122"/>
      <c r="D16" s="120" t="s">
        <v>56</v>
      </c>
      <c r="E16" s="122"/>
      <c r="G16" s="131" t="s">
        <v>36</v>
      </c>
      <c r="H16" s="131"/>
      <c r="I16" s="131" t="s">
        <v>57</v>
      </c>
      <c r="J16" s="131"/>
      <c r="L16" s="27"/>
      <c r="M16" s="27"/>
      <c r="N16" s="25"/>
      <c r="O16" s="25"/>
    </row>
    <row r="17" spans="2:15" x14ac:dyDescent="0.25">
      <c r="B17" s="134" t="s">
        <v>39</v>
      </c>
      <c r="C17" s="134"/>
      <c r="D17" s="12" t="str">
        <f>+Asistencia!B4</f>
        <v>JOSE MANUEL OCAMPO VILLADA</v>
      </c>
      <c r="E17" s="29"/>
      <c r="G17" s="134" t="s">
        <v>39</v>
      </c>
      <c r="H17" s="134"/>
      <c r="I17" s="4" t="str">
        <f>+D17</f>
        <v>JOSE MANUEL OCAMPO VILLADA</v>
      </c>
      <c r="J17" s="100"/>
      <c r="L17" s="27"/>
      <c r="M17" s="27"/>
      <c r="N17" s="25"/>
      <c r="O17" s="25"/>
    </row>
    <row r="18" spans="2:15" x14ac:dyDescent="0.25">
      <c r="B18" s="135" t="s">
        <v>27</v>
      </c>
      <c r="C18" s="136"/>
      <c r="D18" s="9">
        <v>6400848</v>
      </c>
      <c r="E18" s="10"/>
      <c r="G18" s="134" t="s">
        <v>27</v>
      </c>
      <c r="H18" s="134"/>
      <c r="I18" s="32">
        <f>+D18</f>
        <v>6400848</v>
      </c>
      <c r="J18" s="102"/>
      <c r="L18" s="27"/>
      <c r="M18" s="27"/>
      <c r="N18" s="25"/>
      <c r="O18" s="25"/>
    </row>
    <row r="19" spans="2:15" x14ac:dyDescent="0.25">
      <c r="B19" s="4" t="s">
        <v>25</v>
      </c>
      <c r="C19" s="110">
        <v>58363.5</v>
      </c>
      <c r="D19" s="35" t="s">
        <v>37</v>
      </c>
      <c r="E19" s="36">
        <f>+Asistencia!S7</f>
        <v>0</v>
      </c>
      <c r="G19" s="4" t="s">
        <v>25</v>
      </c>
      <c r="H19" s="110">
        <v>58363.5</v>
      </c>
      <c r="I19" s="103" t="s">
        <v>37</v>
      </c>
      <c r="J19" s="5">
        <f>+Asistencia!AI7</f>
        <v>13</v>
      </c>
      <c r="L19" s="27"/>
      <c r="M19" s="27"/>
      <c r="N19" s="25"/>
      <c r="O19" s="25"/>
    </row>
    <row r="20" spans="2:15" x14ac:dyDescent="0.25">
      <c r="B20" s="120" t="s">
        <v>21</v>
      </c>
      <c r="C20" s="121"/>
      <c r="D20" s="122"/>
      <c r="E20" s="13">
        <f>+C19*$E$19</f>
        <v>0</v>
      </c>
      <c r="G20" s="131" t="s">
        <v>21</v>
      </c>
      <c r="H20" s="131"/>
      <c r="I20" s="131"/>
      <c r="J20" s="13">
        <f>+H19*$J$19</f>
        <v>758725.5</v>
      </c>
      <c r="L20" s="27" t="s">
        <v>26</v>
      </c>
      <c r="M20" s="28">
        <f>+E20+J20</f>
        <v>758725.5</v>
      </c>
      <c r="N20" s="25" t="s">
        <v>19</v>
      </c>
      <c r="O20" s="26">
        <f>+E19+J19</f>
        <v>13</v>
      </c>
    </row>
    <row r="21" spans="2:15" x14ac:dyDescent="0.25">
      <c r="B21" s="123" t="s">
        <v>38</v>
      </c>
      <c r="C21" s="7" t="s">
        <v>10</v>
      </c>
      <c r="D21" s="11">
        <v>0.04</v>
      </c>
      <c r="E21" s="14">
        <f>+E20*$D$21</f>
        <v>0</v>
      </c>
      <c r="G21" s="138" t="s">
        <v>38</v>
      </c>
      <c r="H21" s="104" t="s">
        <v>10</v>
      </c>
      <c r="I21" s="105">
        <v>0.04</v>
      </c>
      <c r="J21" s="14">
        <f>+J20*$I$21</f>
        <v>30349.02</v>
      </c>
      <c r="L21" s="27" t="s">
        <v>41</v>
      </c>
      <c r="M21" s="28">
        <f>+E21+J21+E22+J22</f>
        <v>60698.04</v>
      </c>
      <c r="N21" s="25"/>
      <c r="O21" s="25"/>
    </row>
    <row r="22" spans="2:15" x14ac:dyDescent="0.25">
      <c r="B22" s="124"/>
      <c r="C22" s="7" t="s">
        <v>40</v>
      </c>
      <c r="D22" s="11">
        <v>0.04</v>
      </c>
      <c r="E22" s="14">
        <f>+E20*$D$22</f>
        <v>0</v>
      </c>
      <c r="G22" s="138"/>
      <c r="H22" s="104" t="s">
        <v>40</v>
      </c>
      <c r="I22" s="105">
        <v>0.04</v>
      </c>
      <c r="J22" s="14">
        <f>+J20*$I$22</f>
        <v>30349.02</v>
      </c>
      <c r="L22" s="27" t="s">
        <v>31</v>
      </c>
      <c r="M22" s="27"/>
      <c r="N22" s="25"/>
      <c r="O22" s="25"/>
    </row>
    <row r="23" spans="2:15" x14ac:dyDescent="0.25">
      <c r="B23" s="125" t="s">
        <v>1</v>
      </c>
      <c r="C23" s="126"/>
      <c r="D23" s="127"/>
      <c r="E23" s="22">
        <f>+E20-E21-E22</f>
        <v>0</v>
      </c>
      <c r="G23" s="139" t="s">
        <v>1</v>
      </c>
      <c r="H23" s="139"/>
      <c r="I23" s="139"/>
      <c r="J23" s="106">
        <f>+J20-J21-J22</f>
        <v>698027.46</v>
      </c>
      <c r="L23" s="27" t="s">
        <v>42</v>
      </c>
      <c r="M23" s="27"/>
      <c r="N23" s="25"/>
      <c r="O23" s="25"/>
    </row>
    <row r="24" spans="2:15" x14ac:dyDescent="0.25">
      <c r="B24" s="128" t="s">
        <v>33</v>
      </c>
      <c r="C24" s="129"/>
      <c r="D24" s="129"/>
      <c r="E24" s="130"/>
      <c r="G24" s="101"/>
      <c r="H24" s="101"/>
      <c r="I24" s="101"/>
      <c r="J24" s="101"/>
      <c r="L24" s="27" t="s">
        <v>43</v>
      </c>
      <c r="M24" s="28">
        <f>+E23+J23</f>
        <v>698027.46</v>
      </c>
      <c r="N24" s="25"/>
      <c r="O24" s="25"/>
    </row>
    <row r="25" spans="2:15" x14ac:dyDescent="0.25">
      <c r="B25" s="15"/>
      <c r="C25" s="16"/>
      <c r="D25" s="16"/>
      <c r="E25" s="17"/>
      <c r="G25" s="16"/>
      <c r="H25" s="16"/>
      <c r="I25" s="16"/>
      <c r="J25" s="16"/>
    </row>
    <row r="26" spans="2:15" x14ac:dyDescent="0.25">
      <c r="B26" s="18"/>
      <c r="C26" s="19"/>
      <c r="D26" s="19"/>
      <c r="E26" s="20"/>
      <c r="G26" s="16"/>
      <c r="H26" s="16"/>
      <c r="I26" s="16"/>
      <c r="J26" s="16"/>
    </row>
    <row r="28" spans="2:15" x14ac:dyDescent="0.25">
      <c r="B28" s="131" t="s">
        <v>58</v>
      </c>
      <c r="C28" s="131"/>
      <c r="D28" s="131"/>
      <c r="E28" s="131"/>
      <c r="G28" s="131" t="s">
        <v>58</v>
      </c>
      <c r="H28" s="131"/>
      <c r="I28" s="131"/>
      <c r="J28" s="131"/>
      <c r="L28" s="27"/>
      <c r="M28" s="27"/>
      <c r="N28" s="25"/>
      <c r="O28" s="25"/>
    </row>
    <row r="29" spans="2:15" x14ac:dyDescent="0.25">
      <c r="B29" s="120" t="s">
        <v>36</v>
      </c>
      <c r="C29" s="122"/>
      <c r="D29" s="120" t="s">
        <v>56</v>
      </c>
      <c r="E29" s="122"/>
      <c r="G29" s="120" t="s">
        <v>36</v>
      </c>
      <c r="H29" s="122"/>
      <c r="I29" s="120" t="s">
        <v>57</v>
      </c>
      <c r="J29" s="122"/>
      <c r="L29" s="27"/>
      <c r="M29" s="27"/>
      <c r="N29" s="25"/>
      <c r="O29" s="25"/>
    </row>
    <row r="30" spans="2:15" x14ac:dyDescent="0.25">
      <c r="B30" s="134" t="s">
        <v>39</v>
      </c>
      <c r="C30" s="134"/>
      <c r="D30" s="33" t="str">
        <f>+Asistencia!B5</f>
        <v>KEVIN JOHAN HURTADO CAÑAVERAL</v>
      </c>
      <c r="E30" s="34"/>
      <c r="G30" s="134" t="s">
        <v>39</v>
      </c>
      <c r="H30" s="134"/>
      <c r="I30" s="33" t="str">
        <f>+D30</f>
        <v>KEVIN JOHAN HURTADO CAÑAVERAL</v>
      </c>
      <c r="J30" s="34"/>
      <c r="L30" s="27"/>
      <c r="M30" s="27"/>
      <c r="N30" s="25"/>
      <c r="O30" s="25"/>
    </row>
    <row r="31" spans="2:15" x14ac:dyDescent="0.25">
      <c r="B31" s="135" t="s">
        <v>27</v>
      </c>
      <c r="C31" s="136"/>
      <c r="D31" s="30">
        <v>94300447</v>
      </c>
      <c r="E31" s="10"/>
      <c r="G31" s="135" t="s">
        <v>27</v>
      </c>
      <c r="H31" s="137"/>
      <c r="I31" s="30">
        <v>94300447</v>
      </c>
      <c r="J31" s="10"/>
      <c r="L31" s="27"/>
      <c r="M31" s="27"/>
      <c r="N31" s="25"/>
      <c r="O31" s="25"/>
    </row>
    <row r="32" spans="2:15" x14ac:dyDescent="0.25">
      <c r="B32" s="4" t="s">
        <v>25</v>
      </c>
      <c r="C32" s="110">
        <v>58363.5</v>
      </c>
      <c r="D32" s="35" t="s">
        <v>37</v>
      </c>
      <c r="E32" s="36">
        <f>+Asistencia!S3</f>
        <v>0</v>
      </c>
      <c r="G32" s="4" t="s">
        <v>25</v>
      </c>
      <c r="H32" s="110">
        <v>58363.5</v>
      </c>
      <c r="I32" s="6" t="s">
        <v>37</v>
      </c>
      <c r="J32" s="5">
        <f>+Asistencia!AI3</f>
        <v>13</v>
      </c>
      <c r="L32" s="27"/>
      <c r="M32" s="27"/>
      <c r="N32" s="25"/>
      <c r="O32" s="25"/>
    </row>
    <row r="33" spans="2:15" x14ac:dyDescent="0.25">
      <c r="B33" s="120" t="s">
        <v>21</v>
      </c>
      <c r="C33" s="121"/>
      <c r="D33" s="122"/>
      <c r="E33" s="13">
        <f>+$E$32*$C$32</f>
        <v>0</v>
      </c>
      <c r="G33" s="120" t="s">
        <v>21</v>
      </c>
      <c r="H33" s="121"/>
      <c r="I33" s="122"/>
      <c r="J33" s="13">
        <f>+H32*$J$32</f>
        <v>758725.5</v>
      </c>
      <c r="L33" s="27"/>
      <c r="M33" s="27"/>
      <c r="N33" s="25"/>
      <c r="O33" s="25"/>
    </row>
    <row r="34" spans="2:15" x14ac:dyDescent="0.25">
      <c r="B34" s="120" t="s">
        <v>28</v>
      </c>
      <c r="C34" s="121"/>
      <c r="D34" s="122"/>
      <c r="E34" s="13">
        <v>0</v>
      </c>
      <c r="G34" s="120" t="s">
        <v>28</v>
      </c>
      <c r="H34" s="121"/>
      <c r="I34" s="122"/>
      <c r="J34" s="13">
        <v>0</v>
      </c>
      <c r="L34" s="27"/>
      <c r="M34" s="27"/>
      <c r="N34" s="25"/>
      <c r="O34" s="25"/>
    </row>
    <row r="35" spans="2:15" x14ac:dyDescent="0.25">
      <c r="B35" s="123" t="s">
        <v>38</v>
      </c>
      <c r="C35" s="7" t="s">
        <v>10</v>
      </c>
      <c r="D35" s="11">
        <v>0.04</v>
      </c>
      <c r="E35" s="14">
        <f>+E33*$D$35</f>
        <v>0</v>
      </c>
      <c r="G35" s="123" t="s">
        <v>38</v>
      </c>
      <c r="H35" s="7" t="s">
        <v>10</v>
      </c>
      <c r="I35" s="11">
        <v>0.04</v>
      </c>
      <c r="J35" s="14">
        <f>+J33*$I$35</f>
        <v>30349.02</v>
      </c>
      <c r="L35" s="27" t="s">
        <v>26</v>
      </c>
      <c r="M35" s="28">
        <f>+E33+J33</f>
        <v>758725.5</v>
      </c>
      <c r="N35" s="25" t="s">
        <v>19</v>
      </c>
      <c r="O35" s="26">
        <f>+E32+J32</f>
        <v>13</v>
      </c>
    </row>
    <row r="36" spans="2:15" x14ac:dyDescent="0.25">
      <c r="B36" s="124"/>
      <c r="C36" s="7" t="s">
        <v>40</v>
      </c>
      <c r="D36" s="11">
        <v>0.04</v>
      </c>
      <c r="E36" s="14">
        <f>+E33*$D$36</f>
        <v>0</v>
      </c>
      <c r="G36" s="124"/>
      <c r="H36" s="7" t="s">
        <v>40</v>
      </c>
      <c r="I36" s="11">
        <v>0.04</v>
      </c>
      <c r="J36" s="14">
        <f>+J33*$I$36</f>
        <v>30349.02</v>
      </c>
      <c r="L36" s="24" t="s">
        <v>44</v>
      </c>
      <c r="M36" s="23">
        <f>+E34+J34</f>
        <v>0</v>
      </c>
    </row>
    <row r="37" spans="2:15" x14ac:dyDescent="0.25">
      <c r="B37" s="125" t="s">
        <v>1</v>
      </c>
      <c r="C37" s="126"/>
      <c r="D37" s="127"/>
      <c r="E37" s="22">
        <f>+E33+E34-E35-E36</f>
        <v>0</v>
      </c>
      <c r="G37" s="125" t="s">
        <v>1</v>
      </c>
      <c r="H37" s="126"/>
      <c r="I37" s="127"/>
      <c r="J37" s="22">
        <f>+J33+J34-J35-J36</f>
        <v>698027.46</v>
      </c>
      <c r="L37" s="27" t="s">
        <v>41</v>
      </c>
      <c r="M37" s="28">
        <f>+E35+J35+E36+J36</f>
        <v>60698.04</v>
      </c>
      <c r="N37" s="25"/>
      <c r="O37" s="25"/>
    </row>
    <row r="38" spans="2:15" x14ac:dyDescent="0.25">
      <c r="B38" s="128" t="s">
        <v>33</v>
      </c>
      <c r="C38" s="129"/>
      <c r="D38" s="129"/>
      <c r="E38" s="130"/>
      <c r="G38" s="128" t="s">
        <v>33</v>
      </c>
      <c r="H38" s="129"/>
      <c r="I38" s="129"/>
      <c r="J38" s="130"/>
      <c r="L38" s="27" t="s">
        <v>31</v>
      </c>
      <c r="M38" s="27"/>
      <c r="N38" s="25"/>
      <c r="O38" s="25"/>
    </row>
    <row r="39" spans="2:15" x14ac:dyDescent="0.25">
      <c r="B39" s="15"/>
      <c r="C39" s="16"/>
      <c r="D39" s="95"/>
      <c r="E39" s="17"/>
      <c r="G39" s="15"/>
      <c r="H39" s="16"/>
      <c r="I39" s="16"/>
      <c r="J39" s="17"/>
      <c r="L39" s="27" t="s">
        <v>42</v>
      </c>
      <c r="M39" s="27"/>
      <c r="N39" s="25"/>
      <c r="O39" s="25"/>
    </row>
    <row r="40" spans="2:15" x14ac:dyDescent="0.25">
      <c r="B40" s="18"/>
      <c r="C40" s="19"/>
      <c r="D40" s="19" t="s">
        <v>34</v>
      </c>
      <c r="E40" s="39"/>
      <c r="G40" s="18"/>
      <c r="H40" s="19"/>
      <c r="I40" s="19" t="s">
        <v>34</v>
      </c>
      <c r="J40" s="39"/>
      <c r="L40" s="27" t="s">
        <v>43</v>
      </c>
      <c r="M40" s="28">
        <f>+M35+M36</f>
        <v>758725.5</v>
      </c>
      <c r="N40" s="25"/>
      <c r="O40" s="25"/>
    </row>
    <row r="42" spans="2:15" x14ac:dyDescent="0.25">
      <c r="B42" s="131" t="s">
        <v>58</v>
      </c>
      <c r="C42" s="131"/>
      <c r="D42" s="131"/>
      <c r="E42" s="131"/>
      <c r="G42" s="131" t="s">
        <v>58</v>
      </c>
      <c r="H42" s="131"/>
      <c r="I42" s="131"/>
      <c r="J42" s="131"/>
      <c r="L42" s="27"/>
      <c r="M42" s="27"/>
      <c r="N42" s="25"/>
      <c r="O42" s="25"/>
    </row>
    <row r="43" spans="2:15" x14ac:dyDescent="0.25">
      <c r="B43" s="120" t="s">
        <v>36</v>
      </c>
      <c r="C43" s="122"/>
      <c r="D43" s="120" t="s">
        <v>56</v>
      </c>
      <c r="E43" s="122"/>
      <c r="G43" s="120" t="s">
        <v>36</v>
      </c>
      <c r="H43" s="122"/>
      <c r="I43" s="120" t="s">
        <v>57</v>
      </c>
      <c r="J43" s="122"/>
      <c r="L43" s="27"/>
      <c r="M43" s="27"/>
      <c r="N43" s="25"/>
      <c r="O43" s="25"/>
    </row>
    <row r="44" spans="2:15" x14ac:dyDescent="0.25">
      <c r="B44" s="134" t="s">
        <v>39</v>
      </c>
      <c r="C44" s="134"/>
      <c r="D44" s="21" t="str">
        <f>+Asistencia!B6</f>
        <v>VICTORIA MONTENEGRO MONTAÑO</v>
      </c>
      <c r="E44" s="34"/>
      <c r="G44" s="134" t="s">
        <v>39</v>
      </c>
      <c r="H44" s="134"/>
      <c r="I44" s="12" t="str">
        <f>+D44</f>
        <v>VICTORIA MONTENEGRO MONTAÑO</v>
      </c>
      <c r="J44" s="29"/>
      <c r="L44" s="27"/>
      <c r="M44" s="27"/>
      <c r="N44" s="25"/>
      <c r="O44" s="25"/>
    </row>
    <row r="45" spans="2:15" x14ac:dyDescent="0.25">
      <c r="B45" s="135" t="s">
        <v>27</v>
      </c>
      <c r="C45" s="136"/>
      <c r="D45" s="9">
        <v>6739243</v>
      </c>
      <c r="E45" s="10"/>
      <c r="G45" s="135" t="s">
        <v>27</v>
      </c>
      <c r="H45" s="137"/>
      <c r="I45" s="9">
        <f>+D45</f>
        <v>6739243</v>
      </c>
      <c r="J45" s="10"/>
      <c r="L45" s="27"/>
      <c r="M45" s="27"/>
      <c r="N45" s="25"/>
      <c r="O45" s="25"/>
    </row>
    <row r="46" spans="2:15" x14ac:dyDescent="0.25">
      <c r="B46" s="4" t="s">
        <v>25</v>
      </c>
      <c r="C46" s="110">
        <v>58363.5</v>
      </c>
      <c r="D46" s="35" t="s">
        <v>37</v>
      </c>
      <c r="E46" s="36">
        <f>+Asistencia!S8</f>
        <v>0</v>
      </c>
      <c r="G46" s="4" t="s">
        <v>25</v>
      </c>
      <c r="H46" s="110">
        <v>58363.5</v>
      </c>
      <c r="I46" s="6" t="s">
        <v>37</v>
      </c>
      <c r="J46" s="5">
        <f>+Asistencia!AI8</f>
        <v>13</v>
      </c>
      <c r="L46" s="27"/>
      <c r="M46" s="27"/>
      <c r="N46" s="25"/>
      <c r="O46" s="25"/>
    </row>
    <row r="47" spans="2:15" x14ac:dyDescent="0.25">
      <c r="B47" s="120" t="s">
        <v>21</v>
      </c>
      <c r="C47" s="121"/>
      <c r="D47" s="122"/>
      <c r="E47" s="13">
        <f>+$E$46*$C$46</f>
        <v>0</v>
      </c>
      <c r="G47" s="120" t="s">
        <v>21</v>
      </c>
      <c r="H47" s="121"/>
      <c r="I47" s="122"/>
      <c r="J47" s="13">
        <f>+H46*$J$46</f>
        <v>758725.5</v>
      </c>
      <c r="L47" s="27"/>
      <c r="M47" s="27"/>
      <c r="N47" s="25"/>
      <c r="O47" s="25"/>
    </row>
    <row r="48" spans="2:15" x14ac:dyDescent="0.25">
      <c r="B48" s="120" t="s">
        <v>28</v>
      </c>
      <c r="C48" s="121"/>
      <c r="D48" s="122"/>
      <c r="E48" s="13">
        <v>0</v>
      </c>
      <c r="G48" s="120" t="s">
        <v>28</v>
      </c>
      <c r="H48" s="121"/>
      <c r="I48" s="122"/>
      <c r="J48" s="13">
        <v>0</v>
      </c>
      <c r="L48" s="27"/>
      <c r="M48" s="27"/>
      <c r="N48" s="25"/>
      <c r="O48" s="25"/>
    </row>
    <row r="49" spans="2:15" x14ac:dyDescent="0.25">
      <c r="B49" s="123" t="s">
        <v>38</v>
      </c>
      <c r="C49" s="7" t="s">
        <v>10</v>
      </c>
      <c r="D49" s="11">
        <v>0.04</v>
      </c>
      <c r="E49" s="14">
        <f>+E47*$D$49</f>
        <v>0</v>
      </c>
      <c r="G49" s="123" t="s">
        <v>38</v>
      </c>
      <c r="H49" s="7" t="s">
        <v>10</v>
      </c>
      <c r="I49" s="11">
        <v>0.04</v>
      </c>
      <c r="J49" s="14">
        <f>+J47*$I$49</f>
        <v>30349.02</v>
      </c>
      <c r="L49" s="27" t="s">
        <v>26</v>
      </c>
      <c r="M49" s="28">
        <f>+E47+J47</f>
        <v>758725.5</v>
      </c>
      <c r="N49" s="25" t="s">
        <v>19</v>
      </c>
      <c r="O49" s="26">
        <f>+E46+J46</f>
        <v>13</v>
      </c>
    </row>
    <row r="50" spans="2:15" x14ac:dyDescent="0.25">
      <c r="B50" s="124"/>
      <c r="C50" s="7" t="s">
        <v>40</v>
      </c>
      <c r="D50" s="11">
        <v>0.04</v>
      </c>
      <c r="E50" s="14">
        <f>+E47*$D$50</f>
        <v>0</v>
      </c>
      <c r="G50" s="124"/>
      <c r="H50" s="7" t="s">
        <v>40</v>
      </c>
      <c r="I50" s="11">
        <v>0.04</v>
      </c>
      <c r="J50" s="14">
        <f>+J47*$I$50</f>
        <v>30349.02</v>
      </c>
      <c r="L50" s="24" t="s">
        <v>44</v>
      </c>
      <c r="M50" s="23">
        <f>+E48+J48</f>
        <v>0</v>
      </c>
    </row>
    <row r="51" spans="2:15" x14ac:dyDescent="0.25">
      <c r="B51" s="125" t="s">
        <v>1</v>
      </c>
      <c r="C51" s="126"/>
      <c r="D51" s="127"/>
      <c r="E51" s="22">
        <f>+E47+E48-E49-E50</f>
        <v>0</v>
      </c>
      <c r="G51" s="125" t="s">
        <v>1</v>
      </c>
      <c r="H51" s="126"/>
      <c r="I51" s="127"/>
      <c r="J51" s="22">
        <f>+J47+J48-J49-J50</f>
        <v>698027.46</v>
      </c>
      <c r="L51" s="27" t="s">
        <v>41</v>
      </c>
      <c r="M51" s="28">
        <f>+E49+J49+E50+J50</f>
        <v>60698.04</v>
      </c>
      <c r="N51" s="25"/>
      <c r="O51" s="25"/>
    </row>
    <row r="52" spans="2:15" x14ac:dyDescent="0.25">
      <c r="B52" s="128" t="s">
        <v>33</v>
      </c>
      <c r="C52" s="129"/>
      <c r="D52" s="129"/>
      <c r="E52" s="130"/>
      <c r="G52" s="128" t="s">
        <v>33</v>
      </c>
      <c r="H52" s="129"/>
      <c r="I52" s="129"/>
      <c r="J52" s="130"/>
      <c r="L52" s="27" t="s">
        <v>31</v>
      </c>
      <c r="M52" s="27"/>
      <c r="N52" s="25"/>
      <c r="O52" s="25"/>
    </row>
    <row r="53" spans="2:15" x14ac:dyDescent="0.25">
      <c r="B53" s="15"/>
      <c r="C53" s="16"/>
      <c r="D53" s="16"/>
      <c r="E53" s="17"/>
      <c r="G53" s="15"/>
      <c r="H53" s="16"/>
      <c r="I53" s="16"/>
      <c r="J53" s="17"/>
      <c r="L53" s="27" t="s">
        <v>42</v>
      </c>
      <c r="M53" s="27"/>
      <c r="N53" s="25"/>
      <c r="O53" s="25"/>
    </row>
    <row r="54" spans="2:15" x14ac:dyDescent="0.25">
      <c r="B54" s="18"/>
      <c r="C54" s="19"/>
      <c r="D54" s="19" t="s">
        <v>34</v>
      </c>
      <c r="E54" s="39"/>
      <c r="G54" s="18"/>
      <c r="H54" s="19"/>
      <c r="I54" s="19" t="s">
        <v>34</v>
      </c>
      <c r="J54" s="39"/>
      <c r="L54" s="27" t="s">
        <v>43</v>
      </c>
      <c r="M54" s="28">
        <f>+M49+M50</f>
        <v>758725.5</v>
      </c>
      <c r="N54" s="25"/>
      <c r="O54" s="25"/>
    </row>
    <row r="56" spans="2:15" x14ac:dyDescent="0.25">
      <c r="B56" s="131" t="s">
        <v>58</v>
      </c>
      <c r="C56" s="131"/>
      <c r="D56" s="131"/>
      <c r="E56" s="131"/>
      <c r="G56" s="131" t="s">
        <v>58</v>
      </c>
      <c r="H56" s="131"/>
      <c r="I56" s="131"/>
      <c r="J56" s="131"/>
      <c r="L56" s="27"/>
      <c r="M56" s="27"/>
      <c r="N56" s="25"/>
      <c r="O56" s="25"/>
    </row>
    <row r="57" spans="2:15" x14ac:dyDescent="0.25">
      <c r="B57" s="120" t="s">
        <v>36</v>
      </c>
      <c r="C57" s="122"/>
      <c r="D57" s="120" t="s">
        <v>56</v>
      </c>
      <c r="E57" s="122"/>
      <c r="G57" s="120" t="s">
        <v>36</v>
      </c>
      <c r="H57" s="122"/>
      <c r="I57" s="132" t="s">
        <v>57</v>
      </c>
      <c r="J57" s="133"/>
      <c r="L57" s="27"/>
      <c r="M57" s="27"/>
      <c r="N57" s="25"/>
      <c r="O57" s="25"/>
    </row>
    <row r="58" spans="2:15" x14ac:dyDescent="0.25">
      <c r="B58" s="134" t="s">
        <v>39</v>
      </c>
      <c r="C58" s="134"/>
      <c r="D58" s="33" t="str">
        <f>+Asistencia!B7</f>
        <v>LEANDRO ANTONIO POPAYAN MELO</v>
      </c>
      <c r="E58" s="29"/>
      <c r="G58" s="134" t="s">
        <v>39</v>
      </c>
      <c r="H58" s="135"/>
      <c r="I58" s="31" t="str">
        <f>+D58</f>
        <v>LEANDRO ANTONIO POPAYAN MELO</v>
      </c>
      <c r="J58" s="8"/>
      <c r="L58" s="27"/>
      <c r="M58" s="27"/>
      <c r="N58" s="25"/>
      <c r="O58" s="25"/>
    </row>
    <row r="59" spans="2:15" x14ac:dyDescent="0.25">
      <c r="B59" s="135" t="s">
        <v>27</v>
      </c>
      <c r="C59" s="136"/>
      <c r="D59" s="30">
        <v>94302847</v>
      </c>
      <c r="E59" s="10"/>
      <c r="G59" s="135" t="s">
        <v>27</v>
      </c>
      <c r="H59" s="136"/>
      <c r="I59" s="37">
        <f>+D59</f>
        <v>94302847</v>
      </c>
      <c r="J59" s="38"/>
      <c r="L59" s="27"/>
      <c r="M59" s="27"/>
      <c r="N59" s="25"/>
      <c r="O59" s="25"/>
    </row>
    <row r="60" spans="2:15" x14ac:dyDescent="0.25">
      <c r="B60" s="4" t="s">
        <v>25</v>
      </c>
      <c r="C60" s="110">
        <v>58363.5</v>
      </c>
      <c r="D60" s="35" t="s">
        <v>37</v>
      </c>
      <c r="E60" s="36">
        <f>+Asistencia!S6</f>
        <v>0</v>
      </c>
      <c r="G60" s="4" t="s">
        <v>25</v>
      </c>
      <c r="H60" s="110">
        <v>58363.5</v>
      </c>
      <c r="I60" s="35" t="s">
        <v>37</v>
      </c>
      <c r="J60" s="36">
        <f>+Asistencia!AI6</f>
        <v>13</v>
      </c>
      <c r="L60" s="27"/>
      <c r="M60" s="27"/>
      <c r="N60" s="25"/>
      <c r="O60" s="25"/>
    </row>
    <row r="61" spans="2:15" x14ac:dyDescent="0.25">
      <c r="B61" s="120" t="s">
        <v>21</v>
      </c>
      <c r="C61" s="121"/>
      <c r="D61" s="122"/>
      <c r="E61" s="13">
        <f>+C60*$E$60</f>
        <v>0</v>
      </c>
      <c r="G61" s="120" t="s">
        <v>21</v>
      </c>
      <c r="H61" s="121"/>
      <c r="I61" s="122"/>
      <c r="J61" s="13">
        <f>+H60*$J$60</f>
        <v>758725.5</v>
      </c>
      <c r="L61" s="27"/>
      <c r="M61" s="27"/>
      <c r="N61" s="25"/>
      <c r="O61" s="25"/>
    </row>
    <row r="62" spans="2:15" x14ac:dyDescent="0.25">
      <c r="B62" s="120" t="s">
        <v>28</v>
      </c>
      <c r="C62" s="121"/>
      <c r="D62" s="122"/>
      <c r="E62" s="13">
        <v>0</v>
      </c>
      <c r="G62" s="120" t="s">
        <v>28</v>
      </c>
      <c r="H62" s="121"/>
      <c r="I62" s="122"/>
      <c r="J62" s="13">
        <v>0</v>
      </c>
      <c r="L62" s="27"/>
      <c r="M62" s="27"/>
      <c r="N62" s="25"/>
      <c r="O62" s="25"/>
    </row>
    <row r="63" spans="2:15" x14ac:dyDescent="0.25">
      <c r="B63" s="123" t="s">
        <v>38</v>
      </c>
      <c r="C63" s="7" t="s">
        <v>10</v>
      </c>
      <c r="D63" s="11">
        <v>0.04</v>
      </c>
      <c r="E63" s="14">
        <f>+E61*$D$63</f>
        <v>0</v>
      </c>
      <c r="G63" s="123" t="s">
        <v>38</v>
      </c>
      <c r="H63" s="7" t="s">
        <v>10</v>
      </c>
      <c r="I63" s="11">
        <v>0.04</v>
      </c>
      <c r="J63" s="14">
        <f>+J61*$I$63</f>
        <v>30349.02</v>
      </c>
      <c r="L63" s="27" t="s">
        <v>26</v>
      </c>
      <c r="M63" s="28">
        <f>+E61+J61</f>
        <v>758725.5</v>
      </c>
      <c r="N63" s="25" t="s">
        <v>19</v>
      </c>
      <c r="O63" s="26">
        <f>+E60+J60</f>
        <v>13</v>
      </c>
    </row>
    <row r="64" spans="2:15" x14ac:dyDescent="0.25">
      <c r="B64" s="124"/>
      <c r="C64" s="7" t="s">
        <v>40</v>
      </c>
      <c r="D64" s="11">
        <v>0.04</v>
      </c>
      <c r="E64" s="14">
        <f>+E61*$D$64</f>
        <v>0</v>
      </c>
      <c r="G64" s="124"/>
      <c r="H64" s="7" t="s">
        <v>40</v>
      </c>
      <c r="I64" s="11">
        <v>0.04</v>
      </c>
      <c r="J64" s="14">
        <f>+J61*$I$64</f>
        <v>30349.02</v>
      </c>
      <c r="L64" s="24" t="s">
        <v>44</v>
      </c>
      <c r="M64" s="23">
        <f>+E62+J62</f>
        <v>0</v>
      </c>
    </row>
    <row r="65" spans="2:15" x14ac:dyDescent="0.25">
      <c r="B65" s="125" t="s">
        <v>1</v>
      </c>
      <c r="C65" s="126"/>
      <c r="D65" s="127"/>
      <c r="E65" s="22">
        <f>+E61-E63-E64</f>
        <v>0</v>
      </c>
      <c r="G65" s="125" t="s">
        <v>1</v>
      </c>
      <c r="H65" s="126"/>
      <c r="I65" s="127"/>
      <c r="J65" s="22">
        <f>+J61-J63-J64</f>
        <v>698027.46</v>
      </c>
      <c r="L65" s="27" t="s">
        <v>41</v>
      </c>
      <c r="M65" s="28">
        <f>+E63+J63+E64+J64</f>
        <v>60698.04</v>
      </c>
      <c r="N65" s="25"/>
      <c r="O65" s="25"/>
    </row>
    <row r="66" spans="2:15" x14ac:dyDescent="0.25">
      <c r="B66" s="128" t="s">
        <v>33</v>
      </c>
      <c r="C66" s="129"/>
      <c r="D66" s="129"/>
      <c r="E66" s="130"/>
      <c r="G66" s="128" t="s">
        <v>33</v>
      </c>
      <c r="H66" s="129"/>
      <c r="I66" s="129"/>
      <c r="J66" s="130"/>
      <c r="L66" s="27" t="s">
        <v>31</v>
      </c>
      <c r="M66" s="27"/>
      <c r="N66" s="25"/>
      <c r="O66" s="25"/>
    </row>
    <row r="67" spans="2:15" x14ac:dyDescent="0.25">
      <c r="B67" s="15"/>
      <c r="C67" s="16"/>
      <c r="D67" s="16"/>
      <c r="E67" s="17"/>
      <c r="G67" s="15"/>
      <c r="H67" s="16"/>
      <c r="I67" s="16"/>
      <c r="J67" s="17"/>
      <c r="L67" s="27" t="s">
        <v>42</v>
      </c>
      <c r="M67" s="27"/>
      <c r="N67" s="25"/>
      <c r="O67" s="25"/>
    </row>
    <row r="68" spans="2:15" x14ac:dyDescent="0.25">
      <c r="B68" s="18"/>
      <c r="C68" s="19"/>
      <c r="D68" s="19"/>
      <c r="E68" s="20"/>
      <c r="G68" s="18"/>
      <c r="H68" s="19"/>
      <c r="I68" s="19"/>
      <c r="J68" s="20"/>
      <c r="L68" s="27" t="s">
        <v>43</v>
      </c>
      <c r="M68" s="28">
        <f>+M63+M64</f>
        <v>758725.5</v>
      </c>
      <c r="N68" s="25"/>
      <c r="O68" s="25"/>
    </row>
    <row r="70" spans="2:15" x14ac:dyDescent="0.25">
      <c r="B70" s="131" t="s">
        <v>58</v>
      </c>
      <c r="C70" s="131"/>
      <c r="D70" s="131"/>
      <c r="E70" s="131"/>
      <c r="G70" s="131" t="s">
        <v>58</v>
      </c>
      <c r="H70" s="131"/>
      <c r="I70" s="131"/>
      <c r="J70" s="131"/>
      <c r="L70" s="27"/>
      <c r="M70" s="27"/>
      <c r="N70" s="25"/>
      <c r="O70" s="25"/>
    </row>
    <row r="71" spans="2:15" x14ac:dyDescent="0.25">
      <c r="B71" s="120" t="s">
        <v>36</v>
      </c>
      <c r="C71" s="122"/>
      <c r="D71" s="120" t="s">
        <v>56</v>
      </c>
      <c r="E71" s="122"/>
      <c r="G71" s="120" t="s">
        <v>36</v>
      </c>
      <c r="H71" s="122"/>
      <c r="I71" s="132" t="s">
        <v>57</v>
      </c>
      <c r="J71" s="133"/>
      <c r="L71" s="27"/>
      <c r="M71" s="27"/>
      <c r="N71" s="25"/>
      <c r="O71" s="25"/>
    </row>
    <row r="72" spans="2:15" x14ac:dyDescent="0.25">
      <c r="B72" s="134" t="s">
        <v>39</v>
      </c>
      <c r="C72" s="134"/>
      <c r="D72" s="12" t="str">
        <f>+Asistencia!B8</f>
        <v>CHRISTIAN STIVEN GIRON POSADA</v>
      </c>
      <c r="E72" s="29"/>
      <c r="G72" s="134" t="s">
        <v>39</v>
      </c>
      <c r="H72" s="135"/>
      <c r="I72" s="31" t="str">
        <f>+D72</f>
        <v>CHRISTIAN STIVEN GIRON POSADA</v>
      </c>
      <c r="J72" s="8"/>
      <c r="L72" s="27"/>
      <c r="M72" s="27"/>
      <c r="N72" s="25"/>
      <c r="O72" s="25"/>
    </row>
    <row r="73" spans="2:15" x14ac:dyDescent="0.25">
      <c r="B73" s="135" t="s">
        <v>27</v>
      </c>
      <c r="C73" s="136"/>
      <c r="D73" s="9">
        <v>94299158</v>
      </c>
      <c r="E73" s="10"/>
      <c r="G73" s="135" t="s">
        <v>27</v>
      </c>
      <c r="H73" s="136"/>
      <c r="I73" s="37">
        <f>+D73</f>
        <v>94299158</v>
      </c>
      <c r="J73" s="38"/>
      <c r="L73" s="27"/>
      <c r="M73" s="27"/>
      <c r="N73" s="25"/>
      <c r="O73" s="25"/>
    </row>
    <row r="74" spans="2:15" x14ac:dyDescent="0.25">
      <c r="B74" s="4" t="s">
        <v>25</v>
      </c>
      <c r="C74" s="169">
        <v>58363.5</v>
      </c>
      <c r="D74" s="35" t="s">
        <v>37</v>
      </c>
      <c r="E74" s="36">
        <f>+Asistencia!S5</f>
        <v>0</v>
      </c>
      <c r="G74" s="4" t="s">
        <v>25</v>
      </c>
      <c r="H74" s="169">
        <f>+C74</f>
        <v>58363.5</v>
      </c>
      <c r="I74" s="35" t="s">
        <v>37</v>
      </c>
      <c r="J74" s="36">
        <f>+Asistencia!AI5</f>
        <v>13</v>
      </c>
      <c r="L74" s="27"/>
      <c r="M74" s="27"/>
      <c r="N74" s="25"/>
      <c r="O74" s="25"/>
    </row>
    <row r="75" spans="2:15" x14ac:dyDescent="0.25">
      <c r="B75" s="120" t="s">
        <v>21</v>
      </c>
      <c r="C75" s="121"/>
      <c r="D75" s="122"/>
      <c r="E75" s="13">
        <f>+C74*$E$74</f>
        <v>0</v>
      </c>
      <c r="G75" s="120" t="s">
        <v>21</v>
      </c>
      <c r="H75" s="121"/>
      <c r="I75" s="122"/>
      <c r="J75" s="13">
        <f>+H74*$J$74</f>
        <v>758725.5</v>
      </c>
      <c r="L75" s="27"/>
      <c r="M75" s="27"/>
      <c r="N75" s="25"/>
      <c r="O75" s="25"/>
    </row>
    <row r="76" spans="2:15" x14ac:dyDescent="0.25">
      <c r="B76" s="123" t="s">
        <v>38</v>
      </c>
      <c r="C76" s="7" t="s">
        <v>10</v>
      </c>
      <c r="D76" s="11">
        <v>0.04</v>
      </c>
      <c r="E76" s="14">
        <f>+E75*$D$76</f>
        <v>0</v>
      </c>
      <c r="G76" s="123" t="s">
        <v>38</v>
      </c>
      <c r="H76" s="7" t="s">
        <v>10</v>
      </c>
      <c r="I76" s="11">
        <v>0.04</v>
      </c>
      <c r="J76" s="14">
        <f>+J75*$I$76</f>
        <v>30349.02</v>
      </c>
      <c r="L76" s="27"/>
      <c r="M76" s="27"/>
      <c r="N76" s="25"/>
      <c r="O76" s="25"/>
    </row>
    <row r="77" spans="2:15" x14ac:dyDescent="0.25">
      <c r="B77" s="124"/>
      <c r="C77" s="7" t="s">
        <v>40</v>
      </c>
      <c r="D77" s="11">
        <v>0.04</v>
      </c>
      <c r="E77" s="14">
        <f>+E75*$D$77</f>
        <v>0</v>
      </c>
      <c r="G77" s="124"/>
      <c r="H77" s="7" t="s">
        <v>40</v>
      </c>
      <c r="I77" s="11">
        <v>0.04</v>
      </c>
      <c r="J77" s="14">
        <f>+J75*$I$77</f>
        <v>30349.02</v>
      </c>
      <c r="L77" s="27" t="s">
        <v>26</v>
      </c>
      <c r="M77" s="28">
        <f>+E75+J75</f>
        <v>758725.5</v>
      </c>
      <c r="N77" s="25" t="s">
        <v>19</v>
      </c>
      <c r="O77" s="26">
        <f>+E74+J74</f>
        <v>13</v>
      </c>
    </row>
    <row r="78" spans="2:15" x14ac:dyDescent="0.25">
      <c r="B78" s="125" t="s">
        <v>1</v>
      </c>
      <c r="C78" s="126"/>
      <c r="D78" s="127"/>
      <c r="E78" s="22">
        <f>+E75-E76-E77</f>
        <v>0</v>
      </c>
      <c r="G78" s="125" t="s">
        <v>1</v>
      </c>
      <c r="H78" s="126"/>
      <c r="I78" s="127"/>
      <c r="J78" s="22">
        <f>+J75-J76-J77</f>
        <v>698027.46</v>
      </c>
      <c r="L78" s="27" t="s">
        <v>41</v>
      </c>
      <c r="M78" s="28">
        <f>+E76+J76+E77+J77</f>
        <v>60698.04</v>
      </c>
      <c r="N78" s="25"/>
      <c r="O78" s="25"/>
    </row>
    <row r="79" spans="2:15" x14ac:dyDescent="0.25">
      <c r="B79" s="128" t="s">
        <v>33</v>
      </c>
      <c r="C79" s="129"/>
      <c r="D79" s="129"/>
      <c r="E79" s="130"/>
      <c r="G79" s="128" t="s">
        <v>33</v>
      </c>
      <c r="H79" s="129"/>
      <c r="I79" s="129"/>
      <c r="J79" s="130"/>
      <c r="L79" s="27" t="s">
        <v>31</v>
      </c>
      <c r="M79" s="27"/>
      <c r="N79" s="25"/>
      <c r="O79" s="25"/>
    </row>
    <row r="80" spans="2:15" x14ac:dyDescent="0.25">
      <c r="B80" s="15"/>
      <c r="C80" s="16"/>
      <c r="D80" s="16"/>
      <c r="E80" s="17"/>
      <c r="G80" s="15"/>
      <c r="H80" s="16"/>
      <c r="I80" s="16"/>
      <c r="J80" s="17"/>
      <c r="L80" s="27" t="s">
        <v>42</v>
      </c>
      <c r="M80" s="27"/>
      <c r="N80" s="25"/>
      <c r="O80" s="25"/>
    </row>
    <row r="81" spans="2:15" x14ac:dyDescent="0.25">
      <c r="B81" s="18"/>
      <c r="C81" s="19"/>
      <c r="D81" s="19"/>
      <c r="E81" s="20"/>
      <c r="G81" s="18"/>
      <c r="H81" s="19"/>
      <c r="I81" s="19"/>
      <c r="J81" s="20"/>
      <c r="L81" s="27" t="s">
        <v>43</v>
      </c>
      <c r="M81" s="28">
        <f>+E78+J78</f>
        <v>698027.46</v>
      </c>
      <c r="N81" s="25"/>
      <c r="O81" s="25"/>
    </row>
  </sheetData>
  <mergeCells count="115">
    <mergeCell ref="B75:D75"/>
    <mergeCell ref="G75:I75"/>
    <mergeCell ref="B71:C71"/>
    <mergeCell ref="D71:E71"/>
    <mergeCell ref="G71:H71"/>
    <mergeCell ref="I71:J71"/>
    <mergeCell ref="B72:C72"/>
    <mergeCell ref="G72:H72"/>
    <mergeCell ref="B42:E42"/>
    <mergeCell ref="G42:J42"/>
    <mergeCell ref="B65:D65"/>
    <mergeCell ref="G65:I65"/>
    <mergeCell ref="B66:E66"/>
    <mergeCell ref="G66:J66"/>
    <mergeCell ref="B70:E70"/>
    <mergeCell ref="G70:J70"/>
    <mergeCell ref="B73:C73"/>
    <mergeCell ref="G73:H73"/>
    <mergeCell ref="B59:C59"/>
    <mergeCell ref="G59:H59"/>
    <mergeCell ref="B58:C58"/>
    <mergeCell ref="G58:H58"/>
    <mergeCell ref="B61:D61"/>
    <mergeCell ref="G61:I61"/>
    <mergeCell ref="B63:B64"/>
    <mergeCell ref="G63:G64"/>
    <mergeCell ref="B44:C44"/>
    <mergeCell ref="G44:H44"/>
    <mergeCell ref="B45:C45"/>
    <mergeCell ref="G45:H45"/>
    <mergeCell ref="B47:D47"/>
    <mergeCell ref="G47:I47"/>
    <mergeCell ref="B48:D48"/>
    <mergeCell ref="G48:I48"/>
    <mergeCell ref="B49:B50"/>
    <mergeCell ref="G49:G50"/>
    <mergeCell ref="B51:D51"/>
    <mergeCell ref="G51:I51"/>
    <mergeCell ref="B52:E52"/>
    <mergeCell ref="G52:J52"/>
    <mergeCell ref="B56:E56"/>
    <mergeCell ref="G56:J56"/>
    <mergeCell ref="B57:C57"/>
    <mergeCell ref="D57:E57"/>
    <mergeCell ref="G57:H57"/>
    <mergeCell ref="I57:J57"/>
    <mergeCell ref="B62:D62"/>
    <mergeCell ref="G62:I62"/>
    <mergeCell ref="B1:E1"/>
    <mergeCell ref="G1:J1"/>
    <mergeCell ref="B2:C2"/>
    <mergeCell ref="D2:E2"/>
    <mergeCell ref="G2:H2"/>
    <mergeCell ref="I2:J2"/>
    <mergeCell ref="B3:C3"/>
    <mergeCell ref="G3:H3"/>
    <mergeCell ref="B4:C4"/>
    <mergeCell ref="G4:H4"/>
    <mergeCell ref="B6:D6"/>
    <mergeCell ref="G6:I6"/>
    <mergeCell ref="B7:D7"/>
    <mergeCell ref="G7:I7"/>
    <mergeCell ref="B8:B9"/>
    <mergeCell ref="G8:G9"/>
    <mergeCell ref="B10:D10"/>
    <mergeCell ref="G10:I10"/>
    <mergeCell ref="B11:E11"/>
    <mergeCell ref="G11:J11"/>
    <mergeCell ref="B20:D20"/>
    <mergeCell ref="G20:I20"/>
    <mergeCell ref="B21:B22"/>
    <mergeCell ref="G21:G22"/>
    <mergeCell ref="B23:D23"/>
    <mergeCell ref="G23:I23"/>
    <mergeCell ref="B24:E24"/>
    <mergeCell ref="B15:E15"/>
    <mergeCell ref="G15:J15"/>
    <mergeCell ref="B16:C16"/>
    <mergeCell ref="D16:E16"/>
    <mergeCell ref="G16:H16"/>
    <mergeCell ref="I16:J16"/>
    <mergeCell ref="B17:C17"/>
    <mergeCell ref="G17:H17"/>
    <mergeCell ref="B18:C18"/>
    <mergeCell ref="G18:H18"/>
    <mergeCell ref="B43:C43"/>
    <mergeCell ref="D43:E43"/>
    <mergeCell ref="G43:H43"/>
    <mergeCell ref="I43:J43"/>
    <mergeCell ref="B28:E28"/>
    <mergeCell ref="G28:J28"/>
    <mergeCell ref="B29:C29"/>
    <mergeCell ref="D29:E29"/>
    <mergeCell ref="G29:H29"/>
    <mergeCell ref="I29:J29"/>
    <mergeCell ref="B30:C30"/>
    <mergeCell ref="G30:H30"/>
    <mergeCell ref="B33:D33"/>
    <mergeCell ref="G33:I33"/>
    <mergeCell ref="B31:C31"/>
    <mergeCell ref="G31:H31"/>
    <mergeCell ref="B34:D34"/>
    <mergeCell ref="G34:I34"/>
    <mergeCell ref="B35:B36"/>
    <mergeCell ref="G35:G36"/>
    <mergeCell ref="B37:D37"/>
    <mergeCell ref="G37:I37"/>
    <mergeCell ref="B38:E38"/>
    <mergeCell ref="G38:J38"/>
    <mergeCell ref="B76:B77"/>
    <mergeCell ref="G76:G77"/>
    <mergeCell ref="B78:D78"/>
    <mergeCell ref="G78:I78"/>
    <mergeCell ref="B79:E79"/>
    <mergeCell ref="G79:J79"/>
  </mergeCells>
  <pageMargins left="0.70866141732283472" right="0.70866141732283472" top="0.74803149606299213" bottom="0.74803149606299213" header="0.31496062992125984" footer="0.31496062992125984"/>
  <pageSetup paperSize="28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C29"/>
  <sheetViews>
    <sheetView topLeftCell="N1" zoomScaleNormal="100" workbookViewId="0">
      <selection activeCell="Q24" sqref="Q24"/>
    </sheetView>
  </sheetViews>
  <sheetFormatPr baseColWidth="10" defaultRowHeight="15" x14ac:dyDescent="0.3"/>
  <cols>
    <col min="1" max="1" width="3.42578125" style="96" customWidth="1"/>
    <col min="2" max="2" width="38.5703125" style="50" customWidth="1"/>
    <col min="3" max="3" width="14.42578125" style="55" customWidth="1"/>
    <col min="4" max="4" width="4.42578125" style="50" customWidth="1"/>
    <col min="5" max="5" width="12.140625" style="50" customWidth="1"/>
    <col min="6" max="6" width="10.5703125" style="50" customWidth="1"/>
    <col min="7" max="7" width="10.28515625" style="50" customWidth="1"/>
    <col min="8" max="8" width="10.85546875" style="50" customWidth="1"/>
    <col min="9" max="9" width="10.42578125" style="50" customWidth="1"/>
    <col min="10" max="10" width="10" style="50" customWidth="1"/>
    <col min="11" max="11" width="10.85546875" style="50" customWidth="1"/>
    <col min="12" max="12" width="13" style="50" customWidth="1"/>
    <col min="13" max="13" width="6" style="50" customWidth="1"/>
    <col min="14" max="14" width="4" style="57" customWidth="1"/>
    <col min="15" max="15" width="3.42578125" style="50" customWidth="1"/>
    <col min="16" max="16" width="32.85546875" style="50" customWidth="1"/>
    <col min="17" max="17" width="14.140625" style="50" customWidth="1"/>
    <col min="18" max="18" width="4.7109375" style="50" customWidth="1"/>
    <col min="19" max="19" width="12.7109375" style="50" customWidth="1"/>
    <col min="20" max="20" width="10.7109375" style="50" customWidth="1"/>
    <col min="21" max="21" width="9.28515625" style="50" customWidth="1"/>
    <col min="22" max="22" width="10.42578125" style="50" customWidth="1"/>
    <col min="23" max="23" width="10.28515625" style="50" customWidth="1"/>
    <col min="24" max="24" width="10.7109375" style="50" customWidth="1"/>
    <col min="25" max="25" width="11.42578125" style="50" customWidth="1"/>
    <col min="26" max="26" width="13.7109375" style="50" bestFit="1" customWidth="1"/>
    <col min="27" max="27" width="12.5703125" style="50" customWidth="1"/>
    <col min="28" max="16384" width="11.42578125" style="50"/>
  </cols>
  <sheetData>
    <row r="1" spans="1:26" ht="24.75" customHeight="1" x14ac:dyDescent="0.3">
      <c r="B1" s="146" t="s">
        <v>55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56"/>
      <c r="O1" s="58"/>
      <c r="P1" s="148" t="s">
        <v>54</v>
      </c>
      <c r="Q1" s="148"/>
      <c r="R1" s="148"/>
      <c r="S1" s="148"/>
      <c r="T1" s="148"/>
      <c r="U1" s="148"/>
      <c r="V1" s="148"/>
      <c r="W1" s="148"/>
      <c r="X1" s="148"/>
      <c r="Y1" s="148"/>
    </row>
    <row r="2" spans="1:26" x14ac:dyDescent="0.3">
      <c r="C2" s="50"/>
      <c r="O2" s="50" t="s">
        <v>16</v>
      </c>
    </row>
    <row r="3" spans="1:26" x14ac:dyDescent="0.3">
      <c r="B3" s="149" t="s">
        <v>2</v>
      </c>
      <c r="C3" s="149"/>
      <c r="D3" s="149"/>
      <c r="E3" s="149"/>
      <c r="F3" s="149"/>
      <c r="G3" s="149"/>
      <c r="H3" s="149"/>
      <c r="I3" s="149"/>
      <c r="J3" s="149"/>
      <c r="K3" s="149"/>
      <c r="L3" s="59"/>
      <c r="M3" s="59"/>
      <c r="P3" s="149" t="s">
        <v>2</v>
      </c>
      <c r="Q3" s="149"/>
      <c r="R3" s="149"/>
      <c r="S3" s="149"/>
      <c r="T3" s="149"/>
      <c r="U3" s="149"/>
      <c r="V3" s="149"/>
      <c r="W3" s="149"/>
      <c r="X3" s="149"/>
      <c r="Y3" s="149"/>
    </row>
    <row r="4" spans="1:26" x14ac:dyDescent="0.3">
      <c r="B4" s="149" t="s">
        <v>59</v>
      </c>
      <c r="C4" s="149"/>
      <c r="D4" s="149"/>
      <c r="E4" s="149"/>
      <c r="F4" s="149"/>
      <c r="G4" s="149"/>
      <c r="H4" s="149"/>
      <c r="I4" s="149"/>
      <c r="J4" s="149"/>
      <c r="K4" s="149"/>
      <c r="L4" s="59"/>
      <c r="M4" s="59"/>
      <c r="P4" s="149" t="s">
        <v>59</v>
      </c>
      <c r="Q4" s="149"/>
      <c r="R4" s="149"/>
      <c r="S4" s="149"/>
      <c r="T4" s="149"/>
      <c r="U4" s="149"/>
      <c r="V4" s="149"/>
      <c r="W4" s="149"/>
      <c r="X4" s="149"/>
      <c r="Y4" s="149"/>
    </row>
    <row r="5" spans="1:26" x14ac:dyDescent="0.3">
      <c r="B5" s="149" t="s">
        <v>61</v>
      </c>
      <c r="C5" s="149"/>
      <c r="D5" s="149"/>
      <c r="E5" s="149"/>
      <c r="F5" s="149"/>
      <c r="G5" s="149"/>
      <c r="H5" s="149"/>
      <c r="I5" s="149"/>
      <c r="J5" s="149"/>
      <c r="K5" s="149"/>
      <c r="L5" s="59"/>
      <c r="M5" s="59"/>
      <c r="P5" s="149" t="s">
        <v>61</v>
      </c>
      <c r="Q5" s="149"/>
      <c r="R5" s="149"/>
      <c r="S5" s="149"/>
      <c r="T5" s="149"/>
      <c r="U5" s="149"/>
      <c r="V5" s="149"/>
      <c r="W5" s="149"/>
      <c r="X5" s="149"/>
      <c r="Y5" s="149"/>
    </row>
    <row r="6" spans="1:26" x14ac:dyDescent="0.3">
      <c r="B6" s="50" t="s">
        <v>3</v>
      </c>
      <c r="C6" s="60" t="s">
        <v>60</v>
      </c>
      <c r="D6" s="60"/>
      <c r="G6" s="154" t="s">
        <v>23</v>
      </c>
      <c r="H6" s="154"/>
      <c r="I6" s="60"/>
      <c r="J6" s="60"/>
      <c r="K6" s="60"/>
      <c r="L6" s="59"/>
      <c r="M6" s="59"/>
      <c r="P6" s="50" t="s">
        <v>3</v>
      </c>
      <c r="Q6" s="154" t="s">
        <v>60</v>
      </c>
      <c r="R6" s="154"/>
      <c r="S6" s="154"/>
      <c r="U6" s="154" t="s">
        <v>24</v>
      </c>
      <c r="V6" s="154"/>
      <c r="W6" s="60"/>
      <c r="X6" s="60"/>
    </row>
    <row r="7" spans="1:26" ht="15.75" customHeight="1" x14ac:dyDescent="0.3">
      <c r="B7" s="151" t="s">
        <v>4</v>
      </c>
      <c r="C7" s="150" t="s">
        <v>15</v>
      </c>
      <c r="D7" s="140" t="s">
        <v>18</v>
      </c>
      <c r="E7" s="159" t="s">
        <v>5</v>
      </c>
      <c r="F7" s="160"/>
      <c r="G7" s="160"/>
      <c r="H7" s="153" t="s">
        <v>6</v>
      </c>
      <c r="I7" s="153"/>
      <c r="J7" s="153"/>
      <c r="K7" s="140" t="s">
        <v>7</v>
      </c>
      <c r="L7" s="140" t="s">
        <v>1</v>
      </c>
      <c r="M7" s="63"/>
      <c r="P7" s="151" t="s">
        <v>4</v>
      </c>
      <c r="Q7" s="150" t="s">
        <v>15</v>
      </c>
      <c r="R7" s="140" t="s">
        <v>18</v>
      </c>
      <c r="S7" s="159" t="s">
        <v>5</v>
      </c>
      <c r="T7" s="160"/>
      <c r="U7" s="160"/>
      <c r="V7" s="153" t="s">
        <v>6</v>
      </c>
      <c r="W7" s="153"/>
      <c r="X7" s="153"/>
      <c r="Y7" s="140" t="s">
        <v>7</v>
      </c>
      <c r="Z7" s="140" t="s">
        <v>1</v>
      </c>
    </row>
    <row r="8" spans="1:26" ht="23.25" customHeight="1" x14ac:dyDescent="0.3">
      <c r="B8" s="152"/>
      <c r="C8" s="150"/>
      <c r="D8" s="141"/>
      <c r="E8" s="61" t="s">
        <v>8</v>
      </c>
      <c r="F8" s="61" t="s">
        <v>17</v>
      </c>
      <c r="G8" s="62" t="s">
        <v>20</v>
      </c>
      <c r="H8" s="65" t="s">
        <v>9</v>
      </c>
      <c r="I8" s="61" t="s">
        <v>10</v>
      </c>
      <c r="J8" s="66" t="s">
        <v>0</v>
      </c>
      <c r="K8" s="141"/>
      <c r="L8" s="141"/>
      <c r="P8" s="152"/>
      <c r="Q8" s="150"/>
      <c r="R8" s="141"/>
      <c r="S8" s="61" t="s">
        <v>8</v>
      </c>
      <c r="T8" s="61" t="s">
        <v>17</v>
      </c>
      <c r="U8" s="65" t="s">
        <v>20</v>
      </c>
      <c r="V8" s="65" t="s">
        <v>9</v>
      </c>
      <c r="W8" s="61" t="s">
        <v>10</v>
      </c>
      <c r="X8" s="66" t="s">
        <v>0</v>
      </c>
      <c r="Y8" s="141"/>
      <c r="Z8" s="141"/>
    </row>
    <row r="9" spans="1:26" ht="20.100000000000001" customHeight="1" x14ac:dyDescent="0.3">
      <c r="A9" s="96">
        <v>1</v>
      </c>
      <c r="B9" s="2" t="str">
        <f>+Asistencia!B3</f>
        <v>ANDRES FELIPE CHAUX TASCON</v>
      </c>
      <c r="C9" s="64">
        <f>+Asistencia!C3</f>
        <v>1107514369</v>
      </c>
      <c r="D9" s="64">
        <f>+'Desprendible FIJOS'!E32</f>
        <v>0</v>
      </c>
      <c r="E9" s="64">
        <f>+'Desprendible FIJOS'!E33</f>
        <v>0</v>
      </c>
      <c r="F9" s="64">
        <f>+'Desprendible FIJOS'!E34</f>
        <v>0</v>
      </c>
      <c r="G9" s="67"/>
      <c r="H9" s="68">
        <f t="shared" ref="H9" si="0">(E9+G9)*4%</f>
        <v>0</v>
      </c>
      <c r="I9" s="68">
        <f t="shared" ref="I9" si="1">(E9+G9)*4%</f>
        <v>0</v>
      </c>
      <c r="J9" s="69"/>
      <c r="K9" s="70">
        <f t="shared" ref="K9" si="2">+H9+I9+J9</f>
        <v>0</v>
      </c>
      <c r="L9" s="70">
        <f t="shared" ref="L9" si="3">+E9+F9+G9-K9</f>
        <v>0</v>
      </c>
      <c r="O9" s="97">
        <v>1</v>
      </c>
      <c r="P9" s="2" t="str">
        <f>+Asistencia!B3</f>
        <v>ANDRES FELIPE CHAUX TASCON</v>
      </c>
      <c r="Q9" s="108">
        <f>+Asistencia!C3</f>
        <v>1107514369</v>
      </c>
      <c r="R9" s="64">
        <f>+'Desprendible FIJOS'!J32</f>
        <v>13</v>
      </c>
      <c r="S9" s="64">
        <f>+'Desprendible FIJOS'!J33</f>
        <v>758725.5</v>
      </c>
      <c r="T9" s="64">
        <f>+'Desprendible FIJOS'!J34</f>
        <v>0</v>
      </c>
      <c r="U9" s="71"/>
      <c r="V9" s="68">
        <f t="shared" ref="V9" si="4">(S9+U9)*4%</f>
        <v>30349.02</v>
      </c>
      <c r="W9" s="68">
        <f t="shared" ref="W9" si="5">(S9+U9)*4%</f>
        <v>30349.02</v>
      </c>
      <c r="X9" s="69">
        <v>0</v>
      </c>
      <c r="Y9" s="70">
        <f t="shared" ref="Y9" si="6">+V9+W9+X9</f>
        <v>60698.04</v>
      </c>
      <c r="Z9" s="70">
        <f t="shared" ref="Z9" si="7">+S9+T9+U9-Y9</f>
        <v>698027.46</v>
      </c>
    </row>
    <row r="10" spans="1:26" ht="20.100000000000001" customHeight="1" x14ac:dyDescent="0.3">
      <c r="A10" s="96">
        <v>2</v>
      </c>
      <c r="B10" s="118" t="str">
        <f>+Asistencia!B4</f>
        <v>JOSE MANUEL OCAMPO VILLADA</v>
      </c>
      <c r="C10" s="117">
        <f>+Asistencia!C4</f>
        <v>1006216897</v>
      </c>
      <c r="D10" s="72">
        <f>+'Desprendible FIJOS'!$E$5</f>
        <v>0</v>
      </c>
      <c r="E10" s="74">
        <f>+'Desprendible FIJOS'!$E$6</f>
        <v>0</v>
      </c>
      <c r="F10" s="73">
        <f>+'Desprendible FIJOS'!E7</f>
        <v>0</v>
      </c>
      <c r="G10" s="74"/>
      <c r="H10" s="68">
        <f t="shared" ref="H10:H14" si="8">(E10+G10)*4%</f>
        <v>0</v>
      </c>
      <c r="I10" s="68">
        <f t="shared" ref="I10:I14" si="9">(E10+G10)*4%</f>
        <v>0</v>
      </c>
      <c r="J10" s="69"/>
      <c r="K10" s="70">
        <f t="shared" ref="K10:K14" si="10">+H10+I10+J10</f>
        <v>0</v>
      </c>
      <c r="L10" s="70">
        <f t="shared" ref="L10:L14" si="11">+E10+F10+G10-K10</f>
        <v>0</v>
      </c>
      <c r="O10" s="97">
        <v>2</v>
      </c>
      <c r="P10" s="118" t="str">
        <f>+Asistencia!B4</f>
        <v>JOSE MANUEL OCAMPO VILLADA</v>
      </c>
      <c r="Q10" s="108">
        <f>+Asistencia!C4</f>
        <v>1006216897</v>
      </c>
      <c r="R10" s="72">
        <f>+'Desprendible FIJOS'!$J$5</f>
        <v>13</v>
      </c>
      <c r="S10" s="74">
        <f>+'Desprendible FIJOS'!$J$6</f>
        <v>758725.5</v>
      </c>
      <c r="T10" s="73">
        <f>+'Desprendible FIJOS'!$J$7</f>
        <v>0</v>
      </c>
      <c r="U10" s="74"/>
      <c r="V10" s="68">
        <f t="shared" ref="V10:V11" si="12">(S10+U10)*4%</f>
        <v>30349.02</v>
      </c>
      <c r="W10" s="68">
        <f t="shared" ref="W10:W11" si="13">(S10+U10)*4%</f>
        <v>30349.02</v>
      </c>
      <c r="X10" s="69"/>
      <c r="Y10" s="70">
        <f t="shared" ref="Y10:Y11" si="14">+V10+W10+X10</f>
        <v>60698.04</v>
      </c>
      <c r="Z10" s="70">
        <f t="shared" ref="Z10:Z11" si="15">+S10+T10+U10-Y10</f>
        <v>698027.46</v>
      </c>
    </row>
    <row r="11" spans="1:26" ht="20.100000000000001" customHeight="1" x14ac:dyDescent="0.3">
      <c r="A11" s="96">
        <v>3</v>
      </c>
      <c r="B11" s="118" t="str">
        <f>+Asistencia!B5</f>
        <v>KEVIN JOHAN HURTADO CAÑAVERAL</v>
      </c>
      <c r="C11" s="117">
        <f>+Asistencia!C5</f>
        <v>1086279269</v>
      </c>
      <c r="D11" s="72">
        <f>+'Desprendible FIJOS'!$E$19</f>
        <v>0</v>
      </c>
      <c r="E11" s="75">
        <f>+'Desprendible FIJOS'!$E$20</f>
        <v>0</v>
      </c>
      <c r="F11" s="73"/>
      <c r="G11" s="74"/>
      <c r="H11" s="68">
        <f t="shared" si="8"/>
        <v>0</v>
      </c>
      <c r="I11" s="68">
        <f t="shared" si="9"/>
        <v>0</v>
      </c>
      <c r="J11" s="69"/>
      <c r="K11" s="70">
        <f t="shared" si="10"/>
        <v>0</v>
      </c>
      <c r="L11" s="70">
        <f t="shared" si="11"/>
        <v>0</v>
      </c>
      <c r="O11" s="97">
        <v>3</v>
      </c>
      <c r="P11" s="118" t="str">
        <f>+Asistencia!B5</f>
        <v>KEVIN JOHAN HURTADO CAÑAVERAL</v>
      </c>
      <c r="Q11" s="108">
        <f>+Asistencia!C5</f>
        <v>1086279269</v>
      </c>
      <c r="R11" s="72">
        <f>+'Desprendible FIJOS'!$J$19</f>
        <v>13</v>
      </c>
      <c r="S11" s="74">
        <f>+'Desprendible FIJOS'!$J$20</f>
        <v>758725.5</v>
      </c>
      <c r="T11" s="73"/>
      <c r="U11" s="74"/>
      <c r="V11" s="68">
        <f t="shared" si="12"/>
        <v>30349.02</v>
      </c>
      <c r="W11" s="68">
        <f t="shared" si="13"/>
        <v>30349.02</v>
      </c>
      <c r="X11" s="69"/>
      <c r="Y11" s="70">
        <f t="shared" si="14"/>
        <v>60698.04</v>
      </c>
      <c r="Z11" s="70">
        <f t="shared" si="15"/>
        <v>698027.46</v>
      </c>
    </row>
    <row r="12" spans="1:26" ht="20.100000000000001" customHeight="1" x14ac:dyDescent="0.3">
      <c r="A12" s="96">
        <v>4</v>
      </c>
      <c r="B12" s="118" t="str">
        <f>+Asistencia!B6</f>
        <v>VICTORIA MONTENEGRO MONTAÑO</v>
      </c>
      <c r="C12" s="117">
        <f>+Asistencia!C6</f>
        <v>1112226821</v>
      </c>
      <c r="D12" s="72">
        <f>+'Desprendible FIJOS'!$E$46</f>
        <v>0</v>
      </c>
      <c r="E12" s="75">
        <f>+'Desprendible FIJOS'!$E$47</f>
        <v>0</v>
      </c>
      <c r="F12" s="73">
        <f>+'Desprendible FIJOS'!$E$48</f>
        <v>0</v>
      </c>
      <c r="G12" s="74"/>
      <c r="H12" s="68">
        <f t="shared" si="8"/>
        <v>0</v>
      </c>
      <c r="I12" s="68">
        <f t="shared" si="9"/>
        <v>0</v>
      </c>
      <c r="J12" s="69"/>
      <c r="K12" s="70">
        <f t="shared" si="10"/>
        <v>0</v>
      </c>
      <c r="L12" s="70">
        <f t="shared" si="11"/>
        <v>0</v>
      </c>
      <c r="O12" s="97">
        <v>4</v>
      </c>
      <c r="P12" s="118" t="str">
        <f>+Asistencia!B6</f>
        <v>VICTORIA MONTENEGRO MONTAÑO</v>
      </c>
      <c r="Q12" s="108">
        <f>+Asistencia!C6</f>
        <v>1112226821</v>
      </c>
      <c r="R12" s="72">
        <f>+'Desprendible FIJOS'!$J$46</f>
        <v>13</v>
      </c>
      <c r="S12" s="74">
        <f>+'Desprendible FIJOS'!$J$47</f>
        <v>758725.5</v>
      </c>
      <c r="T12" s="73">
        <f>+'Desprendible FIJOS'!$J$48</f>
        <v>0</v>
      </c>
      <c r="U12" s="74"/>
      <c r="V12" s="68">
        <f t="shared" ref="V12:V13" si="16">(S12+U12)*4%</f>
        <v>30349.02</v>
      </c>
      <c r="W12" s="68">
        <f t="shared" ref="W12:W13" si="17">(S12+U12)*4%</f>
        <v>30349.02</v>
      </c>
      <c r="X12" s="69"/>
      <c r="Y12" s="70">
        <f t="shared" ref="Y12:Y13" si="18">+V12+W12+X12</f>
        <v>60698.04</v>
      </c>
      <c r="Z12" s="70">
        <f t="shared" ref="Z12:Z13" si="19">+S12+T12+U12-Y12</f>
        <v>698027.46</v>
      </c>
    </row>
    <row r="13" spans="1:26" ht="20.100000000000001" customHeight="1" x14ac:dyDescent="0.3">
      <c r="A13" s="96">
        <v>5</v>
      </c>
      <c r="B13" s="118" t="str">
        <f>+Asistencia!B7</f>
        <v>LEANDRO ANTONIO POPAYAN MELO</v>
      </c>
      <c r="C13" s="117">
        <f>+Asistencia!C7</f>
        <v>1113676974</v>
      </c>
      <c r="D13" s="72">
        <f>+'Desprendible FIJOS'!E60</f>
        <v>0</v>
      </c>
      <c r="E13" s="75">
        <f>+'Desprendible FIJOS'!E61</f>
        <v>0</v>
      </c>
      <c r="F13" s="73">
        <f>+'Desprendible FIJOS'!E62</f>
        <v>0</v>
      </c>
      <c r="G13" s="74"/>
      <c r="H13" s="68">
        <f t="shared" si="8"/>
        <v>0</v>
      </c>
      <c r="I13" s="68">
        <f t="shared" si="9"/>
        <v>0</v>
      </c>
      <c r="J13" s="69"/>
      <c r="K13" s="70">
        <f t="shared" si="10"/>
        <v>0</v>
      </c>
      <c r="L13" s="70">
        <f t="shared" si="11"/>
        <v>0</v>
      </c>
      <c r="O13" s="97">
        <v>5</v>
      </c>
      <c r="P13" s="118" t="str">
        <f>+Asistencia!B7</f>
        <v>LEANDRO ANTONIO POPAYAN MELO</v>
      </c>
      <c r="Q13" s="108">
        <f>+Asistencia!C7</f>
        <v>1113676974</v>
      </c>
      <c r="R13" s="72">
        <f>+'Desprendible FIJOS'!$J$60</f>
        <v>13</v>
      </c>
      <c r="S13" s="74">
        <f>+'Desprendible FIJOS'!$J$61</f>
        <v>758725.5</v>
      </c>
      <c r="T13" s="73">
        <f>+'Desprendible FIJOS'!J62</f>
        <v>0</v>
      </c>
      <c r="U13" s="74"/>
      <c r="V13" s="68">
        <f t="shared" si="16"/>
        <v>30349.02</v>
      </c>
      <c r="W13" s="68">
        <f t="shared" si="17"/>
        <v>30349.02</v>
      </c>
      <c r="X13" s="69"/>
      <c r="Y13" s="70">
        <f t="shared" si="18"/>
        <v>60698.04</v>
      </c>
      <c r="Z13" s="70">
        <f t="shared" si="19"/>
        <v>698027.46</v>
      </c>
    </row>
    <row r="14" spans="1:26" ht="20.100000000000001" customHeight="1" x14ac:dyDescent="0.3">
      <c r="A14" s="96">
        <v>6</v>
      </c>
      <c r="B14" s="118" t="str">
        <f>+Asistencia!B8</f>
        <v>CHRISTIAN STIVEN GIRON POSADA</v>
      </c>
      <c r="C14" s="117">
        <f>+Asistencia!C8</f>
        <v>1114620530</v>
      </c>
      <c r="D14" s="72">
        <f>+'Desprendible FIJOS'!E74</f>
        <v>0</v>
      </c>
      <c r="E14" s="75">
        <f>+'Desprendible FIJOS'!E75</f>
        <v>0</v>
      </c>
      <c r="F14" s="73"/>
      <c r="G14" s="74"/>
      <c r="H14" s="68">
        <f t="shared" si="8"/>
        <v>0</v>
      </c>
      <c r="I14" s="68">
        <f t="shared" si="9"/>
        <v>0</v>
      </c>
      <c r="J14" s="69"/>
      <c r="K14" s="70">
        <f t="shared" si="10"/>
        <v>0</v>
      </c>
      <c r="L14" s="70">
        <f t="shared" si="11"/>
        <v>0</v>
      </c>
      <c r="O14" s="97">
        <v>6</v>
      </c>
      <c r="P14" s="118" t="str">
        <f>+Asistencia!B8</f>
        <v>CHRISTIAN STIVEN GIRON POSADA</v>
      </c>
      <c r="Q14" s="108">
        <f>+Asistencia!C8</f>
        <v>1114620530</v>
      </c>
      <c r="R14" s="72">
        <f>+'Desprendible FIJOS'!J74</f>
        <v>13</v>
      </c>
      <c r="S14" s="74">
        <f>+'Desprendible FIJOS'!J75</f>
        <v>758725.5</v>
      </c>
      <c r="T14" s="73">
        <v>0</v>
      </c>
      <c r="U14" s="74"/>
      <c r="V14" s="68">
        <f>+'Desprendible FIJOS'!J76</f>
        <v>30349.02</v>
      </c>
      <c r="W14" s="68">
        <f>+'Desprendible FIJOS'!J77</f>
        <v>30349.02</v>
      </c>
      <c r="X14" s="69"/>
      <c r="Y14" s="70">
        <f t="shared" ref="Y14" si="20">+V14+W14+X14</f>
        <v>60698.04</v>
      </c>
      <c r="Z14" s="70">
        <f t="shared" ref="Z14" si="21">+S14+T14+U14-Y14</f>
        <v>698027.46</v>
      </c>
    </row>
    <row r="15" spans="1:26" ht="20.100000000000001" customHeight="1" x14ac:dyDescent="0.3">
      <c r="B15" s="3" t="s">
        <v>11</v>
      </c>
      <c r="C15" s="92"/>
      <c r="D15" s="92"/>
      <c r="E15" s="68">
        <f>SUM(E9:E14)</f>
        <v>0</v>
      </c>
      <c r="F15" s="68">
        <f>SUM(F9:F14)</f>
        <v>0</v>
      </c>
      <c r="G15" s="68">
        <f t="shared" ref="G15:L15" si="22">SUM(G9:G14)</f>
        <v>0</v>
      </c>
      <c r="H15" s="68">
        <f>SUM(H9:H14)</f>
        <v>0</v>
      </c>
      <c r="I15" s="68">
        <f t="shared" si="22"/>
        <v>0</v>
      </c>
      <c r="J15" s="68">
        <f t="shared" si="22"/>
        <v>0</v>
      </c>
      <c r="K15" s="68">
        <f t="shared" si="22"/>
        <v>0</v>
      </c>
      <c r="L15" s="68">
        <f t="shared" si="22"/>
        <v>0</v>
      </c>
      <c r="O15" s="97"/>
      <c r="P15" s="118"/>
      <c r="Q15" s="107"/>
      <c r="R15" s="72"/>
      <c r="S15" s="74"/>
      <c r="T15" s="73"/>
      <c r="U15" s="74"/>
      <c r="V15" s="68"/>
      <c r="W15" s="68"/>
      <c r="X15" s="69"/>
      <c r="Y15" s="70"/>
      <c r="Z15" s="70"/>
    </row>
    <row r="16" spans="1:26" ht="20.100000000000001" customHeight="1" thickBot="1" x14ac:dyDescent="0.35">
      <c r="B16" s="142"/>
      <c r="C16" s="143"/>
      <c r="D16" s="143"/>
      <c r="E16" s="143"/>
      <c r="F16" s="143"/>
      <c r="G16" s="143"/>
      <c r="H16" s="144"/>
      <c r="I16" s="51"/>
      <c r="J16" s="51"/>
      <c r="K16" s="51"/>
      <c r="P16" s="3" t="s">
        <v>11</v>
      </c>
      <c r="Q16" s="76"/>
      <c r="R16" s="76"/>
      <c r="S16" s="77">
        <f>SUM(S9:S14)</f>
        <v>4552353</v>
      </c>
      <c r="T16" s="77">
        <f t="shared" ref="T16:Z16" si="23">SUM(T9:T14)</f>
        <v>0</v>
      </c>
      <c r="U16" s="77">
        <f t="shared" si="23"/>
        <v>0</v>
      </c>
      <c r="V16" s="77">
        <f t="shared" si="23"/>
        <v>182094.12</v>
      </c>
      <c r="W16" s="77">
        <f t="shared" si="23"/>
        <v>182094.12</v>
      </c>
      <c r="X16" s="77">
        <f t="shared" si="23"/>
        <v>0</v>
      </c>
      <c r="Y16" s="77">
        <f t="shared" si="23"/>
        <v>364188.24</v>
      </c>
      <c r="Z16" s="77">
        <f t="shared" si="23"/>
        <v>4188164.76</v>
      </c>
    </row>
    <row r="17" spans="2:29" ht="20.100000000000001" customHeight="1" x14ac:dyDescent="0.3">
      <c r="B17" s="145"/>
      <c r="C17" s="145"/>
      <c r="D17" s="145"/>
      <c r="E17" s="145"/>
      <c r="F17" s="145"/>
      <c r="G17" s="145"/>
      <c r="H17" s="145"/>
      <c r="I17" s="78"/>
      <c r="J17" s="78"/>
      <c r="K17" s="78"/>
      <c r="L17" s="63"/>
      <c r="P17" s="156"/>
      <c r="Q17" s="157"/>
      <c r="R17" s="157"/>
      <c r="S17" s="157"/>
      <c r="T17" s="157"/>
      <c r="U17" s="157"/>
      <c r="V17" s="158"/>
      <c r="W17" s="51"/>
      <c r="X17" s="51"/>
      <c r="Y17" s="51"/>
    </row>
    <row r="18" spans="2:29" ht="20.100000000000001" customHeight="1" x14ac:dyDescent="0.3">
      <c r="B18" s="161" t="s">
        <v>12</v>
      </c>
      <c r="C18" s="50"/>
      <c r="D18" s="161" t="s">
        <v>13</v>
      </c>
      <c r="E18" s="161"/>
      <c r="F18" s="161"/>
      <c r="I18" s="161" t="s">
        <v>14</v>
      </c>
      <c r="J18" s="161"/>
      <c r="K18" s="161"/>
      <c r="P18" s="155"/>
      <c r="Q18" s="155"/>
      <c r="R18" s="155"/>
      <c r="S18" s="155"/>
      <c r="T18" s="155"/>
      <c r="U18" s="155"/>
      <c r="V18" s="155"/>
      <c r="W18" s="55"/>
      <c r="X18" s="55"/>
      <c r="Y18" s="55"/>
      <c r="AA18" s="79"/>
    </row>
    <row r="19" spans="2:29" ht="20.100000000000001" customHeight="1" x14ac:dyDescent="0.3">
      <c r="B19" s="161"/>
      <c r="C19" s="50"/>
      <c r="D19" s="161"/>
      <c r="E19" s="161"/>
      <c r="F19" s="161"/>
      <c r="I19" s="161"/>
      <c r="J19" s="161"/>
      <c r="K19" s="161"/>
      <c r="P19" s="161" t="s">
        <v>12</v>
      </c>
      <c r="R19" s="161" t="s">
        <v>13</v>
      </c>
      <c r="S19" s="161"/>
      <c r="T19" s="161"/>
      <c r="U19" s="97"/>
      <c r="V19" s="161" t="s">
        <v>22</v>
      </c>
      <c r="W19" s="161"/>
      <c r="X19" s="161"/>
      <c r="Y19" s="161"/>
    </row>
    <row r="20" spans="2:29" ht="20.100000000000001" customHeight="1" x14ac:dyDescent="0.3">
      <c r="B20" s="55"/>
      <c r="C20" s="50"/>
      <c r="D20" s="55"/>
      <c r="E20" s="55"/>
      <c r="F20" s="55"/>
      <c r="I20" s="55"/>
      <c r="J20" s="55"/>
      <c r="K20" s="55"/>
      <c r="P20" s="161"/>
      <c r="R20" s="161"/>
      <c r="S20" s="161"/>
      <c r="T20" s="161"/>
      <c r="U20" s="97"/>
      <c r="V20" s="161"/>
      <c r="W20" s="161"/>
      <c r="X20" s="161"/>
      <c r="Y20" s="161"/>
    </row>
    <row r="21" spans="2:29" ht="15.75" thickBot="1" x14ac:dyDescent="0.35">
      <c r="D21" s="55"/>
      <c r="E21" s="55"/>
      <c r="F21" s="55"/>
      <c r="H21" s="80"/>
      <c r="I21" s="55"/>
      <c r="J21" s="55"/>
      <c r="K21" s="55"/>
      <c r="L21" s="79"/>
      <c r="P21" s="55"/>
      <c r="R21" s="55"/>
      <c r="S21" s="55"/>
      <c r="T21" s="55"/>
      <c r="U21" s="55"/>
      <c r="V21" s="55"/>
      <c r="W21" s="55"/>
      <c r="X21" s="55"/>
      <c r="Y21" s="55"/>
      <c r="AA21" s="79"/>
      <c r="AB21" s="59"/>
    </row>
    <row r="22" spans="2:29" ht="18.75" customHeight="1" thickBot="1" x14ac:dyDescent="0.35">
      <c r="B22" s="52" t="s">
        <v>26</v>
      </c>
      <c r="C22" s="81">
        <f>+E15+F15+G15</f>
        <v>0</v>
      </c>
      <c r="D22" s="55"/>
      <c r="E22" s="82"/>
      <c r="F22" s="82"/>
      <c r="G22" s="82"/>
      <c r="H22" s="82"/>
      <c r="I22" s="82"/>
      <c r="J22" s="60"/>
      <c r="K22" s="60"/>
      <c r="L22" s="80"/>
      <c r="Q22" s="55"/>
      <c r="R22" s="55"/>
      <c r="V22" s="55"/>
      <c r="W22" s="55"/>
      <c r="X22" s="55"/>
      <c r="Y22" s="55"/>
      <c r="Z22" s="79"/>
      <c r="AB22" s="59"/>
    </row>
    <row r="23" spans="2:29" ht="18.75" customHeight="1" thickBot="1" x14ac:dyDescent="0.35">
      <c r="B23" s="53" t="s">
        <v>1</v>
      </c>
      <c r="C23" s="84">
        <f>+L15</f>
        <v>0</v>
      </c>
      <c r="D23" s="55"/>
      <c r="E23" s="82"/>
      <c r="F23" s="82"/>
      <c r="G23" s="82"/>
      <c r="H23" s="82"/>
      <c r="I23" s="82"/>
      <c r="J23" s="60"/>
      <c r="K23" s="60"/>
      <c r="P23" s="52" t="s">
        <v>26</v>
      </c>
      <c r="Q23" s="83">
        <f>+S16+T16+U16</f>
        <v>4552353</v>
      </c>
      <c r="S23" s="63"/>
      <c r="AB23" s="59"/>
    </row>
    <row r="24" spans="2:29" ht="30.75" customHeight="1" thickBot="1" x14ac:dyDescent="0.35">
      <c r="B24" s="55"/>
      <c r="C24" s="80"/>
      <c r="D24" s="55"/>
      <c r="E24" s="55"/>
      <c r="F24" s="55"/>
      <c r="G24" s="63"/>
      <c r="H24" s="80"/>
      <c r="I24" s="55"/>
      <c r="J24" s="55"/>
      <c r="K24" s="55"/>
      <c r="P24" s="54" t="s">
        <v>1</v>
      </c>
      <c r="Q24" s="85">
        <f>+Z16</f>
        <v>4188164.76</v>
      </c>
      <c r="AB24" s="59"/>
      <c r="AC24" s="59"/>
    </row>
    <row r="25" spans="2:29" ht="28.5" customHeight="1" x14ac:dyDescent="0.3">
      <c r="C25" s="87"/>
      <c r="D25" s="87"/>
      <c r="E25" s="87"/>
      <c r="F25" s="87"/>
      <c r="G25" s="87"/>
      <c r="H25" s="88"/>
      <c r="I25" s="88"/>
      <c r="J25" s="88"/>
      <c r="K25" s="88"/>
      <c r="L25" s="59"/>
      <c r="Q25" s="86"/>
      <c r="AB25" s="59"/>
    </row>
    <row r="26" spans="2:29" ht="25.5" customHeight="1" x14ac:dyDescent="0.3">
      <c r="C26" s="87"/>
      <c r="D26" s="87"/>
      <c r="E26" s="87"/>
      <c r="F26" s="87"/>
      <c r="G26" s="87"/>
      <c r="H26" s="88"/>
      <c r="I26" s="88"/>
      <c r="J26" s="88"/>
      <c r="K26" s="88"/>
      <c r="L26" s="59"/>
      <c r="AB26" s="59"/>
    </row>
    <row r="27" spans="2:29" ht="24.75" customHeight="1" x14ac:dyDescent="0.3">
      <c r="C27" s="87"/>
      <c r="D27" s="87"/>
      <c r="E27" s="87"/>
      <c r="F27" s="87"/>
      <c r="G27" s="87"/>
      <c r="H27" s="88"/>
      <c r="I27" s="88"/>
      <c r="J27" s="88"/>
      <c r="K27" s="88"/>
      <c r="L27" s="59"/>
      <c r="Q27" s="89"/>
      <c r="AB27" s="59"/>
    </row>
    <row r="28" spans="2:29" ht="18.75" customHeight="1" x14ac:dyDescent="0.3">
      <c r="B28" s="1"/>
      <c r="C28" s="90"/>
      <c r="D28" s="90"/>
      <c r="E28" s="88"/>
      <c r="F28" s="88"/>
      <c r="G28" s="88"/>
      <c r="H28" s="88"/>
      <c r="I28" s="88"/>
      <c r="J28" s="88"/>
      <c r="K28" s="90"/>
      <c r="L28" s="90"/>
      <c r="N28" s="91"/>
      <c r="AB28" s="59"/>
    </row>
    <row r="29" spans="2:29" x14ac:dyDescent="0.3">
      <c r="Z29" s="79"/>
    </row>
  </sheetData>
  <mergeCells count="35">
    <mergeCell ref="D7:D8"/>
    <mergeCell ref="P7:P8"/>
    <mergeCell ref="S7:U7"/>
    <mergeCell ref="P19:P20"/>
    <mergeCell ref="R19:T20"/>
    <mergeCell ref="V19:Y20"/>
    <mergeCell ref="B18:B19"/>
    <mergeCell ref="D18:F19"/>
    <mergeCell ref="I18:K19"/>
    <mergeCell ref="E7:G7"/>
    <mergeCell ref="P17:V17"/>
    <mergeCell ref="Z7:Z8"/>
    <mergeCell ref="Y7:Y8"/>
    <mergeCell ref="V7:X7"/>
    <mergeCell ref="P18:V18"/>
    <mergeCell ref="K7:K8"/>
    <mergeCell ref="B16:H16"/>
    <mergeCell ref="B17:H17"/>
    <mergeCell ref="B1:L1"/>
    <mergeCell ref="P1:Y1"/>
    <mergeCell ref="B3:K3"/>
    <mergeCell ref="P3:Y3"/>
    <mergeCell ref="B4:K4"/>
    <mergeCell ref="P4:Y4"/>
    <mergeCell ref="Q7:Q8"/>
    <mergeCell ref="L7:L8"/>
    <mergeCell ref="C7:C8"/>
    <mergeCell ref="B5:K5"/>
    <mergeCell ref="B7:B8"/>
    <mergeCell ref="P5:Y5"/>
    <mergeCell ref="R7:R8"/>
    <mergeCell ref="H7:J7"/>
    <mergeCell ref="G6:H6"/>
    <mergeCell ref="U6:V6"/>
    <mergeCell ref="Q6:S6"/>
  </mergeCells>
  <printOptions horizontalCentered="1"/>
  <pageMargins left="0" right="0.23622047244094491" top="0.74803149606299213" bottom="0.74803149606299213" header="0.31496062992125984" footer="0.31496062992125984"/>
  <pageSetup scale="90" orientation="landscape" blackAndWhite="1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22"/>
  <sheetViews>
    <sheetView tabSelected="1" workbookViewId="0">
      <selection activeCell="G20" sqref="G20"/>
    </sheetView>
  </sheetViews>
  <sheetFormatPr baseColWidth="10" defaultRowHeight="15" x14ac:dyDescent="0.25"/>
  <cols>
    <col min="3" max="3" width="18" bestFit="1" customWidth="1"/>
    <col min="4" max="4" width="14.140625" customWidth="1"/>
  </cols>
  <sheetData>
    <row r="3" spans="3:5" ht="15.75" thickBot="1" x14ac:dyDescent="0.3"/>
    <row r="4" spans="3:5" ht="15.75" thickBot="1" x14ac:dyDescent="0.3">
      <c r="C4" s="119" t="s">
        <v>53</v>
      </c>
      <c r="D4" s="116">
        <v>1750905</v>
      </c>
    </row>
    <row r="5" spans="3:5" x14ac:dyDescent="0.25">
      <c r="C5" s="114" t="s">
        <v>9</v>
      </c>
      <c r="D5" s="115">
        <v>280200</v>
      </c>
    </row>
    <row r="6" spans="3:5" x14ac:dyDescent="0.25">
      <c r="C6" s="111" t="s">
        <v>51</v>
      </c>
      <c r="D6" s="112">
        <v>42700</v>
      </c>
    </row>
    <row r="7" spans="3:5" x14ac:dyDescent="0.25">
      <c r="C7" s="111" t="s">
        <v>50</v>
      </c>
      <c r="D7" s="112">
        <v>70100</v>
      </c>
    </row>
    <row r="8" spans="3:5" x14ac:dyDescent="0.25">
      <c r="C8" s="111" t="s">
        <v>48</v>
      </c>
      <c r="D8" s="112">
        <v>70100</v>
      </c>
      <c r="E8" s="170" t="s">
        <v>71</v>
      </c>
    </row>
    <row r="9" spans="3:5" x14ac:dyDescent="0.25">
      <c r="D9" s="113">
        <f>SUM(D5:D8)</f>
        <v>463100</v>
      </c>
      <c r="E9" s="170" t="s">
        <v>68</v>
      </c>
    </row>
    <row r="10" spans="3:5" x14ac:dyDescent="0.25">
      <c r="E10" s="170" t="s">
        <v>69</v>
      </c>
    </row>
    <row r="11" spans="3:5" x14ac:dyDescent="0.25">
      <c r="E11" s="170" t="s">
        <v>70</v>
      </c>
    </row>
    <row r="14" spans="3:5" ht="15.75" thickBot="1" x14ac:dyDescent="0.3"/>
    <row r="15" spans="3:5" ht="15.75" thickBot="1" x14ac:dyDescent="0.3">
      <c r="C15" s="119" t="s">
        <v>53</v>
      </c>
      <c r="D15" s="116">
        <v>1750905</v>
      </c>
    </row>
    <row r="16" spans="3:5" x14ac:dyDescent="0.25">
      <c r="C16" s="114" t="s">
        <v>9</v>
      </c>
      <c r="D16" s="115">
        <v>280200</v>
      </c>
    </row>
    <row r="17" spans="3:5" x14ac:dyDescent="0.25">
      <c r="C17" s="111" t="s">
        <v>51</v>
      </c>
      <c r="D17" s="112">
        <v>9200</v>
      </c>
    </row>
    <row r="18" spans="3:5" x14ac:dyDescent="0.25">
      <c r="C18" s="111" t="s">
        <v>50</v>
      </c>
      <c r="D18" s="112">
        <v>70100</v>
      </c>
    </row>
    <row r="19" spans="3:5" x14ac:dyDescent="0.25">
      <c r="C19" s="111" t="s">
        <v>48</v>
      </c>
      <c r="D19" s="112">
        <v>70100</v>
      </c>
      <c r="E19" s="170" t="s">
        <v>52</v>
      </c>
    </row>
    <row r="20" spans="3:5" x14ac:dyDescent="0.25">
      <c r="D20" s="113">
        <f>SUM(D16:D19)</f>
        <v>429600</v>
      </c>
      <c r="E20" s="170" t="s">
        <v>72</v>
      </c>
    </row>
    <row r="21" spans="3:5" x14ac:dyDescent="0.25">
      <c r="E21" s="170" t="s">
        <v>73</v>
      </c>
    </row>
    <row r="22" spans="3:5" x14ac:dyDescent="0.25">
      <c r="E22" s="170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Asistencia</vt:lpstr>
      <vt:lpstr>Desprendible FIJOS</vt:lpstr>
      <vt:lpstr>NOM_FIJOS</vt:lpstr>
      <vt:lpstr>SEG SOCIAL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Contabilidad</cp:lastModifiedBy>
  <cp:lastPrinted>2026-02-02T20:24:28Z</cp:lastPrinted>
  <dcterms:created xsi:type="dcterms:W3CDTF">2012-03-02T20:49:47Z</dcterms:created>
  <dcterms:modified xsi:type="dcterms:W3CDTF">2026-02-27T16:29:02Z</dcterms:modified>
</cp:coreProperties>
</file>