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925" windowWidth="16515" windowHeight="3390"/>
  </bookViews>
  <sheets>
    <sheet name="MARZO" sheetId="6" r:id="rId1"/>
    <sheet name="INGRESOS" sheetId="8" r:id="rId2"/>
    <sheet name="BASE DE DATOS" sheetId="7" r:id="rId3"/>
  </sheets>
  <externalReferences>
    <externalReference r:id="rId4"/>
    <externalReference r:id="rId5"/>
  </externalReferences>
  <definedNames>
    <definedName name="_xlnm._FilterDatabase" localSheetId="2" hidden="1">'BASE DE DATOS'!$A$1:$I$188</definedName>
    <definedName name="_xlnm._FilterDatabase" localSheetId="0" hidden="1">MARZO!$A$2:$N$1951</definedName>
  </definedNames>
  <calcPr calcId="145621"/>
</workbook>
</file>

<file path=xl/calcChain.xml><?xml version="1.0" encoding="utf-8"?>
<calcChain xmlns="http://schemas.openxmlformats.org/spreadsheetml/2006/main">
  <c r="E182" i="6" l="1"/>
  <c r="E177" i="6"/>
  <c r="E176" i="6"/>
  <c r="E169" i="6"/>
  <c r="E165" i="6"/>
  <c r="E160" i="6"/>
  <c r="E158" i="6"/>
  <c r="E155" i="6"/>
  <c r="E154" i="6"/>
  <c r="E150" i="6"/>
  <c r="E148" i="6"/>
  <c r="E132" i="6"/>
  <c r="E126" i="6"/>
  <c r="N124" i="6"/>
  <c r="E123" i="6"/>
  <c r="N123" i="6"/>
  <c r="N125" i="6" s="1"/>
  <c r="N122" i="6"/>
  <c r="N121" i="6"/>
  <c r="N120" i="6"/>
  <c r="N119" i="6"/>
  <c r="N118" i="6"/>
  <c r="N117" i="6"/>
  <c r="N116" i="6"/>
  <c r="E112" i="6" l="1"/>
  <c r="E102" i="6"/>
  <c r="E96" i="6" l="1"/>
  <c r="E83" i="6" l="1"/>
  <c r="E75" i="6"/>
  <c r="E69" i="6"/>
  <c r="E68" i="6"/>
  <c r="E60" i="6"/>
  <c r="E59" i="6"/>
  <c r="E55" i="6"/>
  <c r="N48" i="6" l="1"/>
  <c r="A47" i="6"/>
  <c r="A48" i="6"/>
  <c r="A49" i="6"/>
  <c r="A50" i="6"/>
  <c r="A51" i="6"/>
  <c r="A52" i="6"/>
  <c r="A53" i="6"/>
  <c r="A54" i="6"/>
  <c r="E46" i="6"/>
  <c r="E47" i="6"/>
  <c r="E48" i="6"/>
  <c r="E49" i="6"/>
  <c r="E50" i="6"/>
  <c r="E51" i="6"/>
  <c r="E52" i="6"/>
  <c r="E53" i="6"/>
  <c r="E54" i="6"/>
  <c r="N47" i="6" l="1"/>
  <c r="N49" i="6"/>
  <c r="N50" i="6"/>
  <c r="N51" i="6"/>
  <c r="N52" i="6"/>
  <c r="N53" i="6"/>
  <c r="N54" i="6"/>
  <c r="E45" i="6"/>
  <c r="E40" i="6"/>
  <c r="E37" i="6"/>
  <c r="E36" i="6"/>
  <c r="E34" i="6"/>
  <c r="E33" i="6"/>
  <c r="E114" i="6" s="1"/>
  <c r="E32" i="6"/>
  <c r="E31" i="6"/>
  <c r="E25" i="6" l="1"/>
  <c r="E22" i="6"/>
  <c r="E21" i="6"/>
  <c r="E20" i="6"/>
  <c r="E19" i="6"/>
  <c r="E17" i="6"/>
  <c r="E15" i="6"/>
  <c r="E14" i="6"/>
  <c r="E13" i="6"/>
  <c r="E12" i="6"/>
  <c r="E10" i="6" l="1"/>
  <c r="E38" i="6" s="1"/>
  <c r="E84" i="6" s="1"/>
  <c r="E9" i="6"/>
  <c r="E8" i="6"/>
  <c r="E6" i="6"/>
  <c r="E5" i="6"/>
  <c r="E4" i="6"/>
  <c r="E3" i="6"/>
  <c r="A175" i="7" l="1"/>
  <c r="B175" i="7"/>
  <c r="C175" i="7"/>
  <c r="D175" i="7"/>
  <c r="E175" i="7"/>
  <c r="F175" i="7"/>
  <c r="G175" i="7"/>
  <c r="H175" i="7"/>
  <c r="I175" i="7"/>
  <c r="J175" i="7"/>
  <c r="D36" i="8" l="1"/>
  <c r="C36" i="8"/>
  <c r="B36" i="8"/>
  <c r="F36" i="8" l="1"/>
  <c r="A89" i="7"/>
  <c r="A33" i="7"/>
  <c r="A4" i="7"/>
  <c r="A70" i="7"/>
  <c r="A125" i="7"/>
  <c r="A12" i="7"/>
  <c r="A114" i="7"/>
  <c r="A129" i="7"/>
  <c r="A128" i="7"/>
  <c r="A72" i="7"/>
  <c r="A9" i="7"/>
  <c r="A118" i="7"/>
  <c r="A88" i="7"/>
  <c r="A27" i="7"/>
  <c r="A73" i="7"/>
  <c r="G1129" i="6" l="1"/>
  <c r="K1406" i="6"/>
  <c r="J1668" i="6"/>
  <c r="I1668" i="6"/>
  <c r="L1665" i="6"/>
  <c r="G1667" i="6"/>
  <c r="I1664" i="6"/>
  <c r="K1402" i="6"/>
  <c r="G1659" i="6"/>
  <c r="I1656" i="6"/>
  <c r="F1654" i="6"/>
  <c r="K1392" i="6"/>
  <c r="G1663" i="6"/>
  <c r="I1660" i="6"/>
  <c r="K1398" i="6"/>
  <c r="G1655" i="6"/>
  <c r="L1652" i="6"/>
  <c r="J1650" i="6"/>
  <c r="H1667" i="6"/>
  <c r="J1664" i="6"/>
  <c r="K1408" i="6"/>
  <c r="I1666" i="6"/>
  <c r="G1665" i="6"/>
  <c r="K1404" i="6"/>
  <c r="I1662" i="6"/>
  <c r="G1661" i="6"/>
  <c r="K1400" i="6"/>
  <c r="I1658" i="6"/>
  <c r="G1657" i="6"/>
  <c r="K1396" i="6"/>
  <c r="J1654" i="6"/>
  <c r="I1653" i="6"/>
  <c r="H1652" i="6"/>
  <c r="G1651" i="6"/>
  <c r="F1650" i="6"/>
  <c r="L1648" i="6"/>
  <c r="K1388" i="6"/>
  <c r="J1646" i="6"/>
  <c r="I1645" i="6"/>
  <c r="H1644" i="6"/>
  <c r="G1643" i="6"/>
  <c r="F1642" i="6"/>
  <c r="L1640" i="6"/>
  <c r="K1380" i="6"/>
  <c r="J1638" i="6"/>
  <c r="I1637" i="6"/>
  <c r="H1636" i="6"/>
  <c r="G1635" i="6"/>
  <c r="F1634" i="6"/>
  <c r="L1632" i="6"/>
  <c r="K1372" i="6"/>
  <c r="J1630" i="6"/>
  <c r="I1629" i="6"/>
  <c r="H1628" i="6"/>
  <c r="I1649" i="6"/>
  <c r="H1648" i="6"/>
  <c r="G1647" i="6"/>
  <c r="F1646" i="6"/>
  <c r="L1644" i="6"/>
  <c r="K1384" i="6"/>
  <c r="J1642" i="6"/>
  <c r="I1641" i="6"/>
  <c r="H1640" i="6"/>
  <c r="G1639" i="6"/>
  <c r="F1638" i="6"/>
  <c r="L1636" i="6"/>
  <c r="K1376" i="6"/>
  <c r="J1634" i="6"/>
  <c r="I1633" i="6"/>
  <c r="H1632" i="6"/>
  <c r="G1631" i="6"/>
  <c r="F1630" i="6"/>
  <c r="L1628" i="6"/>
  <c r="K1368" i="6"/>
  <c r="G1627" i="6"/>
  <c r="J1626" i="6"/>
  <c r="F1626" i="6"/>
  <c r="I1625" i="6"/>
  <c r="L1624" i="6"/>
  <c r="H1624" i="6"/>
  <c r="K1364" i="6"/>
  <c r="G1623" i="6"/>
  <c r="J1622" i="6"/>
  <c r="F1622" i="6"/>
  <c r="I1621" i="6"/>
  <c r="L1620" i="6"/>
  <c r="H1620" i="6"/>
  <c r="K1360" i="6"/>
  <c r="G1619" i="6"/>
  <c r="J1618" i="6"/>
  <c r="F1618" i="6"/>
  <c r="I1617" i="6"/>
  <c r="L1616" i="6"/>
  <c r="H1616" i="6"/>
  <c r="K1356" i="6"/>
  <c r="G1615" i="6"/>
  <c r="J1614" i="6"/>
  <c r="F1614" i="6"/>
  <c r="I1613" i="6"/>
  <c r="L1612" i="6"/>
  <c r="H1612" i="6"/>
  <c r="K1352" i="6"/>
  <c r="G1611" i="6"/>
  <c r="J1610" i="6"/>
  <c r="F1610" i="6"/>
  <c r="I1609" i="6"/>
  <c r="L1608" i="6"/>
  <c r="H1608" i="6"/>
  <c r="K1348" i="6"/>
  <c r="G1607" i="6"/>
  <c r="J1606" i="6"/>
  <c r="F1606" i="6"/>
  <c r="I1605" i="6"/>
  <c r="L1604" i="6"/>
  <c r="H1604" i="6"/>
  <c r="K1344" i="6"/>
  <c r="G1603" i="6"/>
  <c r="J1602" i="6"/>
  <c r="F1602" i="6"/>
  <c r="I1601" i="6"/>
  <c r="L1600" i="6"/>
  <c r="H1600" i="6"/>
  <c r="K1340" i="6"/>
  <c r="G1599" i="6"/>
  <c r="J1598" i="6"/>
  <c r="F1598" i="6"/>
  <c r="I1597" i="6"/>
  <c r="L1596" i="6"/>
  <c r="H1596" i="6"/>
  <c r="K1336" i="6"/>
  <c r="G1595" i="6"/>
  <c r="J1594" i="6"/>
  <c r="F1594" i="6"/>
  <c r="I1593" i="6"/>
  <c r="L1592" i="6"/>
  <c r="H1592" i="6"/>
  <c r="K1332" i="6"/>
  <c r="G1591" i="6"/>
  <c r="J1590" i="6"/>
  <c r="F1590" i="6"/>
  <c r="I1589" i="6"/>
  <c r="L1588" i="6"/>
  <c r="H1588" i="6"/>
  <c r="K1328" i="6"/>
  <c r="G1587" i="6"/>
  <c r="J1586" i="6"/>
  <c r="F1586" i="6"/>
  <c r="I1585" i="6"/>
  <c r="L1584" i="6"/>
  <c r="H1584" i="6"/>
  <c r="K1324" i="6"/>
  <c r="G1583" i="6"/>
  <c r="J1582" i="6"/>
  <c r="F1582" i="6"/>
  <c r="I1581" i="6"/>
  <c r="L1580" i="6"/>
  <c r="H1580" i="6"/>
  <c r="K1320" i="6"/>
  <c r="G1579" i="6"/>
  <c r="J1578" i="6"/>
  <c r="F1578" i="6"/>
  <c r="I1577" i="6"/>
  <c r="L1576" i="6"/>
  <c r="H1576" i="6"/>
  <c r="K1316" i="6"/>
  <c r="G1575" i="6"/>
  <c r="J1574" i="6"/>
  <c r="F1574" i="6"/>
  <c r="I1573" i="6"/>
  <c r="L1572" i="6"/>
  <c r="H1572" i="6"/>
  <c r="K1312" i="6"/>
  <c r="G1571" i="6"/>
  <c r="J1570" i="6"/>
  <c r="F1570" i="6"/>
  <c r="I1569" i="6"/>
  <c r="L1568" i="6"/>
  <c r="H1568" i="6"/>
  <c r="K1308" i="6"/>
  <c r="G1567" i="6"/>
  <c r="J1566" i="6"/>
  <c r="F1566" i="6"/>
  <c r="I1565" i="6"/>
  <c r="L1564" i="6"/>
  <c r="H1564" i="6"/>
  <c r="K1304" i="6"/>
  <c r="G1563" i="6"/>
  <c r="J1562" i="6"/>
  <c r="F1562" i="6"/>
  <c r="I1561" i="6"/>
  <c r="L1560" i="6"/>
  <c r="H1560" i="6"/>
  <c r="K1300" i="6"/>
  <c r="G1559" i="6"/>
  <c r="J1558" i="6"/>
  <c r="F1558" i="6"/>
  <c r="I1557" i="6"/>
  <c r="L1556" i="6"/>
  <c r="H1556" i="6"/>
  <c r="K1296" i="6"/>
  <c r="G1555" i="6"/>
  <c r="J1554" i="6"/>
  <c r="F1554" i="6"/>
  <c r="I1553" i="6"/>
  <c r="L1552" i="6"/>
  <c r="H1552" i="6"/>
  <c r="K1292" i="6"/>
  <c r="G1551" i="6"/>
  <c r="J1550" i="6"/>
  <c r="F1550" i="6"/>
  <c r="I1549" i="6"/>
  <c r="L1548" i="6"/>
  <c r="H1548" i="6"/>
  <c r="K1288" i="6"/>
  <c r="G1547" i="6"/>
  <c r="J1546" i="6"/>
  <c r="F1546" i="6"/>
  <c r="I1545" i="6"/>
  <c r="L1544" i="6"/>
  <c r="H1544" i="6"/>
  <c r="K1284" i="6"/>
  <c r="G1543" i="6"/>
  <c r="J1542" i="6"/>
  <c r="F1542" i="6"/>
  <c r="I1541" i="6"/>
  <c r="L1540" i="6"/>
  <c r="H1540" i="6"/>
  <c r="K1280" i="6"/>
  <c r="G1539" i="6"/>
  <c r="J1538" i="6"/>
  <c r="F1538" i="6"/>
  <c r="I1537" i="6"/>
  <c r="L1536" i="6"/>
  <c r="H1536" i="6"/>
  <c r="K1276" i="6"/>
  <c r="G1535" i="6"/>
  <c r="J1534" i="6"/>
  <c r="F1534" i="6"/>
  <c r="I1533" i="6"/>
  <c r="L1532" i="6"/>
  <c r="H1532" i="6"/>
  <c r="K1272" i="6"/>
  <c r="G1531" i="6"/>
  <c r="J1530" i="6"/>
  <c r="F1530" i="6"/>
  <c r="I1529" i="6"/>
  <c r="L1528" i="6"/>
  <c r="H1528" i="6"/>
  <c r="K1268" i="6"/>
  <c r="G1527" i="6"/>
  <c r="J1526" i="6"/>
  <c r="F1526" i="6"/>
  <c r="I1525" i="6"/>
  <c r="L1524" i="6"/>
  <c r="H1524" i="6"/>
  <c r="K1264" i="6"/>
  <c r="G1523" i="6"/>
  <c r="J1522" i="6"/>
  <c r="F1522" i="6"/>
  <c r="I1521" i="6"/>
  <c r="L1520" i="6"/>
  <c r="H1520" i="6"/>
  <c r="K1260" i="6"/>
  <c r="G1519" i="6"/>
  <c r="J1518" i="6"/>
  <c r="F1518" i="6"/>
  <c r="I1517" i="6"/>
  <c r="L1516" i="6"/>
  <c r="H1516" i="6"/>
  <c r="K1256" i="6"/>
  <c r="G1515" i="6"/>
  <c r="J1514" i="6"/>
  <c r="F1514" i="6"/>
  <c r="I1513" i="6"/>
  <c r="L1512" i="6"/>
  <c r="H1512" i="6"/>
  <c r="K1252" i="6"/>
  <c r="G1511" i="6"/>
  <c r="J1510" i="6"/>
  <c r="F1510" i="6"/>
  <c r="I1509" i="6"/>
  <c r="L1508" i="6"/>
  <c r="H1508" i="6"/>
  <c r="K1248" i="6"/>
  <c r="G1507" i="6"/>
  <c r="J1506" i="6"/>
  <c r="F1506" i="6"/>
  <c r="I1505" i="6"/>
  <c r="L1504" i="6"/>
  <c r="H1504" i="6"/>
  <c r="K1244" i="6"/>
  <c r="G1503" i="6"/>
  <c r="J1502" i="6"/>
  <c r="F1502" i="6"/>
  <c r="I1501" i="6"/>
  <c r="L1500" i="6"/>
  <c r="H1500" i="6"/>
  <c r="K1240" i="6"/>
  <c r="G1499" i="6"/>
  <c r="J1498" i="6"/>
  <c r="F1498" i="6"/>
  <c r="I1497" i="6"/>
  <c r="L1496" i="6"/>
  <c r="H1496" i="6"/>
  <c r="K1236" i="6"/>
  <c r="G1495" i="6"/>
  <c r="J1494" i="6"/>
  <c r="F1494" i="6"/>
  <c r="I1493" i="6"/>
  <c r="L1492" i="6"/>
  <c r="H1492" i="6"/>
  <c r="K1232" i="6"/>
  <c r="G1491" i="6"/>
  <c r="J1490" i="6"/>
  <c r="F1490" i="6"/>
  <c r="I1489" i="6"/>
  <c r="L1488" i="6"/>
  <c r="H1488" i="6"/>
  <c r="K1228" i="6"/>
  <c r="G1487" i="6"/>
  <c r="J1486" i="6"/>
  <c r="F1486" i="6"/>
  <c r="I1485" i="6"/>
  <c r="L1484" i="6"/>
  <c r="H1484" i="6"/>
  <c r="K1224" i="6"/>
  <c r="G1483" i="6"/>
  <c r="J1482" i="6"/>
  <c r="F1482" i="6"/>
  <c r="I1481" i="6"/>
  <c r="L1480" i="6"/>
  <c r="H1480" i="6"/>
  <c r="K1220" i="6"/>
  <c r="G1479" i="6"/>
  <c r="J1478" i="6"/>
  <c r="F1478" i="6"/>
  <c r="I1477" i="6"/>
  <c r="L1476" i="6"/>
  <c r="H1476" i="6"/>
  <c r="K1216" i="6"/>
  <c r="G1475" i="6"/>
  <c r="J1474" i="6"/>
  <c r="F1474" i="6"/>
  <c r="I1473" i="6"/>
  <c r="L1472" i="6"/>
  <c r="H1472" i="6"/>
  <c r="K1212" i="6"/>
  <c r="G1471" i="6"/>
  <c r="J1470" i="6"/>
  <c r="F1470" i="6"/>
  <c r="I1469" i="6"/>
  <c r="L1468" i="6"/>
  <c r="H1468" i="6"/>
  <c r="K1208" i="6"/>
  <c r="G1467" i="6"/>
  <c r="J1466" i="6"/>
  <c r="F1466" i="6"/>
  <c r="I1465" i="6"/>
  <c r="L1464" i="6"/>
  <c r="H1464" i="6"/>
  <c r="K1204" i="6"/>
  <c r="G1463" i="6"/>
  <c r="J1462" i="6"/>
  <c r="F1462" i="6"/>
  <c r="I1461" i="6"/>
  <c r="L1460" i="6"/>
  <c r="H1460" i="6"/>
  <c r="K1200" i="6"/>
  <c r="G1459" i="6"/>
  <c r="J1458" i="6"/>
  <c r="F1458" i="6"/>
  <c r="I1457" i="6"/>
  <c r="L1456" i="6"/>
  <c r="H1456" i="6"/>
  <c r="K1196" i="6"/>
  <c r="G1455" i="6"/>
  <c r="J1454" i="6"/>
  <c r="F1454" i="6"/>
  <c r="I1453" i="6"/>
  <c r="L1452" i="6"/>
  <c r="H1452" i="6"/>
  <c r="K1192" i="6"/>
  <c r="G1451" i="6"/>
  <c r="J1450" i="6"/>
  <c r="F1450" i="6"/>
  <c r="I1449" i="6"/>
  <c r="L1448" i="6"/>
  <c r="H1448" i="6"/>
  <c r="K1188" i="6"/>
  <c r="G1447" i="6"/>
  <c r="J1446" i="6"/>
  <c r="F1446" i="6"/>
  <c r="I1445" i="6"/>
  <c r="L1444" i="6"/>
  <c r="H1444" i="6"/>
  <c r="K1184" i="6"/>
  <c r="G1443" i="6"/>
  <c r="J1442" i="6"/>
  <c r="F1442" i="6"/>
  <c r="I1441" i="6"/>
  <c r="L1440" i="6"/>
  <c r="H1440" i="6"/>
  <c r="K1180" i="6"/>
  <c r="G1439" i="6"/>
  <c r="J1438" i="6"/>
  <c r="F1438" i="6"/>
  <c r="I1437" i="6"/>
  <c r="L1436" i="6"/>
  <c r="H1436" i="6"/>
  <c r="K1176" i="6"/>
  <c r="G1435" i="6"/>
  <c r="J1434" i="6"/>
  <c r="F1434" i="6"/>
  <c r="I1433" i="6"/>
  <c r="L1432" i="6"/>
  <c r="H1432" i="6"/>
  <c r="K1172" i="6"/>
  <c r="G1431" i="6"/>
  <c r="J1430" i="6"/>
  <c r="F1430" i="6"/>
  <c r="I1429" i="6"/>
  <c r="L1428" i="6"/>
  <c r="H1428" i="6"/>
  <c r="K1168" i="6"/>
  <c r="G1427" i="6"/>
  <c r="J1426" i="6"/>
  <c r="F1426" i="6"/>
  <c r="I1425" i="6"/>
  <c r="L1424" i="6"/>
  <c r="H1424" i="6"/>
  <c r="K1164" i="6"/>
  <c r="G1423" i="6"/>
  <c r="J1422" i="6"/>
  <c r="F1422" i="6"/>
  <c r="I1421" i="6"/>
  <c r="L1420" i="6"/>
  <c r="H1420" i="6"/>
  <c r="K1160" i="6"/>
  <c r="G1419" i="6"/>
  <c r="J1418" i="6"/>
  <c r="F1418" i="6"/>
  <c r="I1417" i="6"/>
  <c r="L1416" i="6"/>
  <c r="H1416" i="6"/>
  <c r="K1156" i="6"/>
  <c r="G1415" i="6"/>
  <c r="J1414" i="6"/>
  <c r="F1414" i="6"/>
  <c r="I1413" i="6"/>
  <c r="L1412" i="6"/>
  <c r="H1412" i="6"/>
  <c r="K1152" i="6"/>
  <c r="G1411" i="6"/>
  <c r="J1410" i="6"/>
  <c r="F1410" i="6"/>
  <c r="I1409" i="6"/>
  <c r="L1408" i="6"/>
  <c r="H1408" i="6"/>
  <c r="K1148" i="6"/>
  <c r="G1407" i="6"/>
  <c r="J1406" i="6"/>
  <c r="F1406" i="6"/>
  <c r="I1405" i="6"/>
  <c r="L1404" i="6"/>
  <c r="H1404" i="6"/>
  <c r="K1144" i="6"/>
  <c r="G1403" i="6"/>
  <c r="J1402" i="6"/>
  <c r="F1402" i="6"/>
  <c r="I1401" i="6"/>
  <c r="L1400" i="6"/>
  <c r="H1400" i="6"/>
  <c r="K1140" i="6"/>
  <c r="G1399" i="6"/>
  <c r="J1398" i="6"/>
  <c r="F1398" i="6"/>
  <c r="I1397" i="6"/>
  <c r="L1396" i="6"/>
  <c r="H1396" i="6"/>
  <c r="K1136" i="6"/>
  <c r="G1395" i="6"/>
  <c r="J1394" i="6"/>
  <c r="F1394" i="6"/>
  <c r="I1393" i="6"/>
  <c r="L1392" i="6"/>
  <c r="H1392" i="6"/>
  <c r="K1132" i="6"/>
  <c r="G1391" i="6"/>
  <c r="J1390" i="6"/>
  <c r="F1390" i="6"/>
  <c r="I1389" i="6"/>
  <c r="L1388" i="6"/>
  <c r="H1388" i="6"/>
  <c r="K1128" i="6"/>
  <c r="G1387" i="6"/>
  <c r="J1386" i="6"/>
  <c r="F1386" i="6"/>
  <c r="I1385" i="6"/>
  <c r="L1384" i="6"/>
  <c r="H1384" i="6"/>
  <c r="K1124" i="6"/>
  <c r="G1383" i="6"/>
  <c r="J1382" i="6"/>
  <c r="F1382" i="6"/>
  <c r="I1381" i="6"/>
  <c r="L1380" i="6"/>
  <c r="H1380" i="6"/>
  <c r="K1120" i="6"/>
  <c r="G1379" i="6"/>
  <c r="J1378" i="6"/>
  <c r="F1378" i="6"/>
  <c r="I1377" i="6"/>
  <c r="L1376" i="6"/>
  <c r="H1376" i="6"/>
  <c r="K1116" i="6"/>
  <c r="G1375" i="6"/>
  <c r="J1374" i="6"/>
  <c r="F1374" i="6"/>
  <c r="I1373" i="6"/>
  <c r="L1372" i="6"/>
  <c r="H1372" i="6"/>
  <c r="K1112" i="6"/>
  <c r="G1371" i="6"/>
  <c r="J1370" i="6"/>
  <c r="F1370" i="6"/>
  <c r="I1369" i="6"/>
  <c r="L1368" i="6"/>
  <c r="H1368" i="6"/>
  <c r="K1108" i="6"/>
  <c r="G1367" i="6"/>
  <c r="J1366" i="6"/>
  <c r="F1366" i="6"/>
  <c r="I1365" i="6"/>
  <c r="L1364" i="6"/>
  <c r="H1364" i="6"/>
  <c r="K1104" i="6"/>
  <c r="G1363" i="6"/>
  <c r="J1362" i="6"/>
  <c r="F1362" i="6"/>
  <c r="I1361" i="6"/>
  <c r="L1360" i="6"/>
  <c r="H1360" i="6"/>
  <c r="K1100" i="6"/>
  <c r="G1359" i="6"/>
  <c r="J1358" i="6"/>
  <c r="F1358" i="6"/>
  <c r="I1357" i="6"/>
  <c r="L1356" i="6"/>
  <c r="H1356" i="6"/>
  <c r="K1096" i="6"/>
  <c r="G1355" i="6"/>
  <c r="J1354" i="6"/>
  <c r="F1354" i="6"/>
  <c r="I1353" i="6"/>
  <c r="L1352" i="6"/>
  <c r="H1352" i="6"/>
  <c r="K1092" i="6"/>
  <c r="G1351" i="6"/>
  <c r="J1350" i="6"/>
  <c r="F1350" i="6"/>
  <c r="I1349" i="6"/>
  <c r="L1348" i="6"/>
  <c r="H1348" i="6"/>
  <c r="K1088" i="6"/>
  <c r="G1347" i="6"/>
  <c r="J1346" i="6"/>
  <c r="F1346" i="6"/>
  <c r="I1345" i="6"/>
  <c r="L1344" i="6"/>
  <c r="H1344" i="6"/>
  <c r="K1084" i="6"/>
  <c r="G1343" i="6"/>
  <c r="J1342" i="6"/>
  <c r="F1342" i="6"/>
  <c r="I1341" i="6"/>
  <c r="L1340" i="6"/>
  <c r="H1340" i="6"/>
  <c r="K1080" i="6"/>
  <c r="G1339" i="6"/>
  <c r="J1338" i="6"/>
  <c r="F1338" i="6"/>
  <c r="I1337" i="6"/>
  <c r="L1336" i="6"/>
  <c r="H1336" i="6"/>
  <c r="K1076" i="6"/>
  <c r="G1335" i="6"/>
  <c r="J1334" i="6"/>
  <c r="F1334" i="6"/>
  <c r="I1333" i="6"/>
  <c r="L1332" i="6"/>
  <c r="H1332" i="6"/>
  <c r="K1072" i="6"/>
  <c r="G1331" i="6"/>
  <c r="J1330" i="6"/>
  <c r="F1330" i="6"/>
  <c r="I1329" i="6"/>
  <c r="L1328" i="6"/>
  <c r="H1328" i="6"/>
  <c r="K1068" i="6"/>
  <c r="G1327" i="6"/>
  <c r="J1326" i="6"/>
  <c r="F1326" i="6"/>
  <c r="I1325" i="6"/>
  <c r="L1324" i="6"/>
  <c r="H1324" i="6"/>
  <c r="K1064" i="6"/>
  <c r="G1323" i="6"/>
  <c r="J1322" i="6"/>
  <c r="F1322" i="6"/>
  <c r="I1321" i="6"/>
  <c r="L1320" i="6"/>
  <c r="H1320" i="6"/>
  <c r="K1060" i="6"/>
  <c r="G1319" i="6"/>
  <c r="J1318" i="6"/>
  <c r="F1318" i="6"/>
  <c r="I1317" i="6"/>
  <c r="L1316" i="6"/>
  <c r="H1316" i="6"/>
  <c r="K1056" i="6"/>
  <c r="G1315" i="6"/>
  <c r="J1314" i="6"/>
  <c r="F1314" i="6"/>
  <c r="I1313" i="6"/>
  <c r="L1312" i="6"/>
  <c r="H1312" i="6"/>
  <c r="K1052" i="6"/>
  <c r="G1311" i="6"/>
  <c r="J1310" i="6"/>
  <c r="F1310" i="6"/>
  <c r="I1309" i="6"/>
  <c r="L1308" i="6"/>
  <c r="H1308" i="6"/>
  <c r="K1048" i="6"/>
  <c r="G1307" i="6"/>
  <c r="J1306" i="6"/>
  <c r="F1306" i="6"/>
  <c r="I1305" i="6"/>
  <c r="L1304" i="6"/>
  <c r="H1304" i="6"/>
  <c r="K1044" i="6"/>
  <c r="G1303" i="6"/>
  <c r="J1302" i="6"/>
  <c r="F1302" i="6"/>
  <c r="I1301" i="6"/>
  <c r="L1300" i="6"/>
  <c r="H1300" i="6"/>
  <c r="K1040" i="6"/>
  <c r="G1299" i="6"/>
  <c r="J1298" i="6"/>
  <c r="F1298" i="6"/>
  <c r="I1297" i="6"/>
  <c r="L1296" i="6"/>
  <c r="H1296" i="6"/>
  <c r="K1036" i="6"/>
  <c r="G1295" i="6"/>
  <c r="J1294" i="6"/>
  <c r="F1294" i="6"/>
  <c r="I1293" i="6"/>
  <c r="L1292" i="6"/>
  <c r="H1292" i="6"/>
  <c r="K1032" i="6"/>
  <c r="G1291" i="6"/>
  <c r="J1290" i="6"/>
  <c r="F1290" i="6"/>
  <c r="I1289" i="6"/>
  <c r="L1288" i="6"/>
  <c r="H1288" i="6"/>
  <c r="K1028" i="6"/>
  <c r="G1287" i="6"/>
  <c r="J1286" i="6"/>
  <c r="F1286" i="6"/>
  <c r="I1285" i="6"/>
  <c r="L1284" i="6"/>
  <c r="H1284" i="6"/>
  <c r="K1024" i="6"/>
  <c r="G1283" i="6"/>
  <c r="J1282" i="6"/>
  <c r="F1282" i="6"/>
  <c r="I1281" i="6"/>
  <c r="L1280" i="6"/>
  <c r="H1280" i="6"/>
  <c r="K1020" i="6"/>
  <c r="G1279" i="6"/>
  <c r="J1278" i="6"/>
  <c r="F1278" i="6"/>
  <c r="I1277" i="6"/>
  <c r="L1276" i="6"/>
  <c r="H1276" i="6"/>
  <c r="K1016" i="6"/>
  <c r="G1275" i="6"/>
  <c r="J1274" i="6"/>
  <c r="F1274" i="6"/>
  <c r="I1273" i="6"/>
  <c r="L1272" i="6"/>
  <c r="H1272" i="6"/>
  <c r="K1012" i="6"/>
  <c r="G1271" i="6"/>
  <c r="J1270" i="6"/>
  <c r="F1270" i="6"/>
  <c r="I1269" i="6"/>
  <c r="L1268" i="6"/>
  <c r="H1268" i="6"/>
  <c r="K1008" i="6"/>
  <c r="G1267" i="6"/>
  <c r="J1266" i="6"/>
  <c r="F1266" i="6"/>
  <c r="I1265" i="6"/>
  <c r="L1264" i="6"/>
  <c r="H1264" i="6"/>
  <c r="K1004" i="6"/>
  <c r="G1263" i="6"/>
  <c r="J1262" i="6"/>
  <c r="F1262" i="6"/>
  <c r="I1261" i="6"/>
  <c r="L1260" i="6"/>
  <c r="H1260" i="6"/>
  <c r="K1000" i="6"/>
  <c r="G1259" i="6"/>
  <c r="J1258" i="6"/>
  <c r="F1258" i="6"/>
  <c r="I1257" i="6"/>
  <c r="L1256" i="6"/>
  <c r="H1256" i="6"/>
  <c r="K996" i="6"/>
  <c r="G1255" i="6"/>
  <c r="J1254" i="6"/>
  <c r="F1254" i="6"/>
  <c r="I1253" i="6"/>
  <c r="L1252" i="6"/>
  <c r="H1252" i="6"/>
  <c r="K992" i="6"/>
  <c r="G1251" i="6"/>
  <c r="J1250" i="6"/>
  <c r="F1250" i="6"/>
  <c r="I1249" i="6"/>
  <c r="L1248" i="6"/>
  <c r="H1248" i="6"/>
  <c r="K988" i="6"/>
  <c r="G1247" i="6"/>
  <c r="J1246" i="6"/>
  <c r="F1246" i="6"/>
  <c r="I1245" i="6"/>
  <c r="L1244" i="6"/>
  <c r="H1244" i="6"/>
  <c r="K984" i="6"/>
  <c r="G1243" i="6"/>
  <c r="J1242" i="6"/>
  <c r="F1242" i="6"/>
  <c r="I1241" i="6"/>
  <c r="L1240" i="6"/>
  <c r="H1240" i="6"/>
  <c r="K980" i="6"/>
  <c r="G1239" i="6"/>
  <c r="J1238" i="6"/>
  <c r="F1238" i="6"/>
  <c r="I1237" i="6"/>
  <c r="L1236" i="6"/>
  <c r="H1236" i="6"/>
  <c r="K976" i="6"/>
  <c r="G1235" i="6"/>
  <c r="J1234" i="6"/>
  <c r="F1234" i="6"/>
  <c r="I1233" i="6"/>
  <c r="L1232" i="6"/>
  <c r="H1232" i="6"/>
  <c r="K972" i="6"/>
  <c r="G1231" i="6"/>
  <c r="J1230" i="6"/>
  <c r="F1230" i="6"/>
  <c r="I1229" i="6"/>
  <c r="L1228" i="6"/>
  <c r="H1228" i="6"/>
  <c r="K968" i="6"/>
  <c r="G1227" i="6"/>
  <c r="J1226" i="6"/>
  <c r="F1226" i="6"/>
  <c r="I1225" i="6"/>
  <c r="L1224" i="6"/>
  <c r="H1224" i="6"/>
  <c r="K964" i="6"/>
  <c r="G1223" i="6"/>
  <c r="J1222" i="6"/>
  <c r="F1222" i="6"/>
  <c r="I1221" i="6"/>
  <c r="L1220" i="6"/>
  <c r="H1220" i="6"/>
  <c r="K960" i="6"/>
  <c r="G1219" i="6"/>
  <c r="J1218" i="6"/>
  <c r="F1218" i="6"/>
  <c r="I1217" i="6"/>
  <c r="L1216" i="6"/>
  <c r="H1216" i="6"/>
  <c r="K956" i="6"/>
  <c r="G1215" i="6"/>
  <c r="J1214" i="6"/>
  <c r="F1214" i="6"/>
  <c r="I1213" i="6"/>
  <c r="L1212" i="6"/>
  <c r="H1212" i="6"/>
  <c r="K952" i="6"/>
  <c r="G1211" i="6"/>
  <c r="J1210" i="6"/>
  <c r="F1210" i="6"/>
  <c r="I1209" i="6"/>
  <c r="L1208" i="6"/>
  <c r="H1208" i="6"/>
  <c r="K948" i="6"/>
  <c r="G1207" i="6"/>
  <c r="J1206" i="6"/>
  <c r="F1206" i="6"/>
  <c r="I1205" i="6"/>
  <c r="L1204" i="6"/>
  <c r="H1204" i="6"/>
  <c r="K944" i="6"/>
  <c r="G1203" i="6"/>
  <c r="J1202" i="6"/>
  <c r="F1202" i="6"/>
  <c r="I1201" i="6"/>
  <c r="L1200" i="6"/>
  <c r="H1200" i="6"/>
  <c r="K940" i="6"/>
  <c r="G1199" i="6"/>
  <c r="J1198" i="6"/>
  <c r="F1198" i="6"/>
  <c r="I1197" i="6"/>
  <c r="L1196" i="6"/>
  <c r="H1196" i="6"/>
  <c r="K936" i="6"/>
  <c r="G1195" i="6"/>
  <c r="J1194" i="6"/>
  <c r="F1194" i="6"/>
  <c r="I1193" i="6"/>
  <c r="L1192" i="6"/>
  <c r="H1192" i="6"/>
  <c r="K932" i="6"/>
  <c r="G1191" i="6"/>
  <c r="J1190" i="6"/>
  <c r="F1190" i="6"/>
  <c r="I1189" i="6"/>
  <c r="L1188" i="6"/>
  <c r="H1188" i="6"/>
  <c r="K928" i="6"/>
  <c r="G1187" i="6"/>
  <c r="J1186" i="6"/>
  <c r="F1186" i="6"/>
  <c r="I1185" i="6"/>
  <c r="L1184" i="6"/>
  <c r="H1184" i="6"/>
  <c r="K924" i="6"/>
  <c r="G1183" i="6"/>
  <c r="J1182" i="6"/>
  <c r="F1182" i="6"/>
  <c r="I1181" i="6"/>
  <c r="L1180" i="6"/>
  <c r="H1180" i="6"/>
  <c r="K920" i="6"/>
  <c r="G1179" i="6"/>
  <c r="J1178" i="6"/>
  <c r="F1178" i="6"/>
  <c r="I1177" i="6"/>
  <c r="L1176" i="6"/>
  <c r="H1176" i="6"/>
  <c r="K916" i="6"/>
  <c r="G1175" i="6"/>
  <c r="J1174" i="6"/>
  <c r="F1174" i="6"/>
  <c r="J1173" i="6"/>
  <c r="F1173" i="6"/>
  <c r="J1172" i="6"/>
  <c r="F1172" i="6"/>
  <c r="J1171" i="6"/>
  <c r="F1171" i="6"/>
  <c r="J1170" i="6"/>
  <c r="F1170" i="6"/>
  <c r="J1169" i="6"/>
  <c r="F1169" i="6"/>
  <c r="J1168" i="6"/>
  <c r="F1168" i="6"/>
  <c r="J1167" i="6"/>
  <c r="F1167" i="6"/>
  <c r="J1166" i="6"/>
  <c r="F1166" i="6"/>
  <c r="J1165" i="6"/>
  <c r="F1165" i="6"/>
  <c r="J1164" i="6"/>
  <c r="F1164" i="6"/>
  <c r="J1163" i="6"/>
  <c r="F1163" i="6"/>
  <c r="J1162" i="6"/>
  <c r="F1162" i="6"/>
  <c r="J1161" i="6"/>
  <c r="F1161" i="6"/>
  <c r="J1160" i="6"/>
  <c r="F1160" i="6"/>
  <c r="J1159" i="6"/>
  <c r="F1159" i="6"/>
  <c r="J1158" i="6"/>
  <c r="F1158" i="6"/>
  <c r="J1157" i="6"/>
  <c r="F1157" i="6"/>
  <c r="J1156" i="6"/>
  <c r="F1156" i="6"/>
  <c r="J1155" i="6"/>
  <c r="F1155" i="6"/>
  <c r="J1154" i="6"/>
  <c r="G1153" i="6"/>
  <c r="G1151" i="6"/>
  <c r="G1149" i="6"/>
  <c r="G1147" i="6"/>
  <c r="G1145" i="6"/>
  <c r="G1143" i="6"/>
  <c r="G1141" i="6"/>
  <c r="G1139" i="6"/>
  <c r="G1137" i="6"/>
  <c r="G1135" i="6"/>
  <c r="G1133" i="6"/>
  <c r="G113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I200" i="6"/>
  <c r="D201" i="6"/>
  <c r="I201" i="6"/>
  <c r="D202" i="6"/>
  <c r="I202" i="6"/>
  <c r="D203" i="6"/>
  <c r="I203" i="6"/>
  <c r="D204" i="6"/>
  <c r="I204" i="6"/>
  <c r="D205" i="6"/>
  <c r="I205" i="6"/>
  <c r="D206" i="6"/>
  <c r="I206" i="6"/>
  <c r="D207" i="6"/>
  <c r="I207" i="6"/>
  <c r="D208" i="6"/>
  <c r="I208" i="6"/>
  <c r="D209" i="6"/>
  <c r="I209" i="6"/>
  <c r="D210" i="6"/>
  <c r="I210" i="6"/>
  <c r="D211" i="6"/>
  <c r="I211" i="6"/>
  <c r="D212" i="6"/>
  <c r="I212" i="6"/>
  <c r="D213" i="6"/>
  <c r="I213" i="6"/>
  <c r="D214" i="6"/>
  <c r="I214" i="6"/>
  <c r="D215" i="6"/>
  <c r="I215" i="6"/>
  <c r="D216" i="6"/>
  <c r="I216" i="6"/>
  <c r="D217" i="6"/>
  <c r="I217" i="6"/>
  <c r="D218" i="6"/>
  <c r="I218" i="6"/>
  <c r="D219" i="6"/>
  <c r="I219" i="6"/>
  <c r="D220" i="6"/>
  <c r="I220" i="6"/>
  <c r="D221" i="6"/>
  <c r="I221" i="6"/>
  <c r="D222" i="6"/>
  <c r="I222" i="6"/>
  <c r="D223" i="6"/>
  <c r="I223" i="6"/>
  <c r="D224" i="6"/>
  <c r="I224" i="6"/>
  <c r="D225" i="6"/>
  <c r="I225" i="6"/>
  <c r="D226" i="6"/>
  <c r="I226" i="6"/>
  <c r="D227" i="6"/>
  <c r="I227" i="6"/>
  <c r="D228" i="6"/>
  <c r="I228" i="6"/>
  <c r="D229" i="6"/>
  <c r="I229" i="6"/>
  <c r="D230" i="6"/>
  <c r="I230" i="6"/>
  <c r="D231" i="6"/>
  <c r="I231" i="6"/>
  <c r="D232" i="6"/>
  <c r="I232" i="6"/>
  <c r="D233" i="6"/>
  <c r="I233" i="6"/>
  <c r="D234" i="6"/>
  <c r="I234" i="6"/>
  <c r="D235" i="6"/>
  <c r="I235" i="6"/>
  <c r="D236" i="6"/>
  <c r="I236" i="6"/>
  <c r="D237" i="6"/>
  <c r="I237" i="6"/>
  <c r="D238" i="6"/>
  <c r="I238" i="6"/>
  <c r="D239" i="6"/>
  <c r="I239" i="6"/>
  <c r="D240" i="6"/>
  <c r="I240" i="6"/>
  <c r="D241" i="6"/>
  <c r="I241" i="6"/>
  <c r="D242" i="6"/>
  <c r="I242" i="6"/>
  <c r="D243" i="6"/>
  <c r="I243" i="6"/>
  <c r="D244" i="6"/>
  <c r="I244" i="6"/>
  <c r="D245" i="6"/>
  <c r="I245" i="6"/>
  <c r="D246" i="6"/>
  <c r="I246" i="6"/>
  <c r="D247" i="6"/>
  <c r="I247" i="6"/>
  <c r="D248" i="6"/>
  <c r="I248" i="6"/>
  <c r="D249" i="6"/>
  <c r="I249" i="6"/>
  <c r="D250" i="6"/>
  <c r="I250" i="6"/>
  <c r="D251" i="6"/>
  <c r="I251" i="6"/>
  <c r="D252" i="6"/>
  <c r="I252" i="6"/>
  <c r="D253" i="6"/>
  <c r="I253" i="6"/>
  <c r="D254" i="6"/>
  <c r="I254" i="6"/>
  <c r="D255" i="6"/>
  <c r="I255" i="6"/>
  <c r="D256" i="6"/>
  <c r="I256" i="6"/>
  <c r="D257" i="6"/>
  <c r="I257" i="6"/>
  <c r="D258" i="6"/>
  <c r="I258" i="6"/>
  <c r="D259" i="6"/>
  <c r="I259" i="6"/>
  <c r="D260" i="6"/>
  <c r="I260" i="6"/>
  <c r="D261" i="6"/>
  <c r="I261" i="6"/>
  <c r="D262" i="6"/>
  <c r="I262" i="6"/>
  <c r="D263" i="6"/>
  <c r="I263" i="6"/>
  <c r="D264" i="6"/>
  <c r="I264" i="6"/>
  <c r="D265" i="6"/>
  <c r="I265" i="6"/>
  <c r="D266" i="6"/>
  <c r="I266" i="6"/>
  <c r="D267" i="6"/>
  <c r="I267" i="6"/>
  <c r="D268" i="6"/>
  <c r="I268" i="6"/>
  <c r="D269" i="6"/>
  <c r="I269" i="6"/>
  <c r="D270" i="6"/>
  <c r="I270" i="6"/>
  <c r="D271" i="6"/>
  <c r="I271" i="6"/>
  <c r="D272" i="6"/>
  <c r="I272" i="6"/>
  <c r="D273" i="6"/>
  <c r="I273" i="6"/>
  <c r="D274" i="6"/>
  <c r="I274" i="6"/>
  <c r="D275" i="6"/>
  <c r="I275" i="6"/>
  <c r="D276" i="6"/>
  <c r="I276" i="6"/>
  <c r="D277" i="6"/>
  <c r="I277" i="6"/>
  <c r="D278" i="6"/>
  <c r="I278" i="6"/>
  <c r="D279" i="6"/>
  <c r="I279" i="6"/>
  <c r="D280" i="6"/>
  <c r="I280" i="6"/>
  <c r="D281" i="6"/>
  <c r="I281" i="6"/>
  <c r="D282" i="6"/>
  <c r="I282" i="6"/>
  <c r="D283" i="6"/>
  <c r="I283" i="6"/>
  <c r="D284" i="6"/>
  <c r="I284" i="6"/>
  <c r="D285" i="6"/>
  <c r="I285" i="6"/>
  <c r="D286" i="6"/>
  <c r="I286" i="6"/>
  <c r="D287" i="6"/>
  <c r="I287" i="6"/>
  <c r="D288" i="6"/>
  <c r="I288" i="6"/>
  <c r="D289" i="6"/>
  <c r="I289" i="6"/>
  <c r="D290" i="6"/>
  <c r="I290" i="6"/>
  <c r="D291" i="6"/>
  <c r="I291" i="6"/>
  <c r="D292" i="6"/>
  <c r="I292" i="6"/>
  <c r="D293" i="6"/>
  <c r="I293" i="6"/>
  <c r="D294" i="6"/>
  <c r="I294" i="6"/>
  <c r="D295" i="6"/>
  <c r="I295" i="6"/>
  <c r="D296" i="6"/>
  <c r="I296" i="6"/>
  <c r="D297" i="6"/>
  <c r="I297" i="6"/>
  <c r="D298" i="6"/>
  <c r="I298" i="6"/>
  <c r="D299" i="6"/>
  <c r="I299" i="6"/>
  <c r="D300" i="6"/>
  <c r="I300" i="6"/>
  <c r="D301" i="6"/>
  <c r="I301" i="6"/>
  <c r="D302" i="6"/>
  <c r="I302" i="6"/>
  <c r="D303" i="6"/>
  <c r="I303" i="6"/>
  <c r="D304" i="6"/>
  <c r="I304" i="6"/>
  <c r="D305" i="6"/>
  <c r="I305" i="6"/>
  <c r="D306" i="6"/>
  <c r="I306" i="6"/>
  <c r="D307" i="6"/>
  <c r="I307" i="6"/>
  <c r="D308" i="6"/>
  <c r="I308" i="6"/>
  <c r="D309" i="6"/>
  <c r="I309" i="6"/>
  <c r="D310" i="6"/>
  <c r="I310" i="6"/>
  <c r="D311" i="6"/>
  <c r="I311" i="6"/>
  <c r="D312" i="6"/>
  <c r="I312" i="6"/>
  <c r="D313" i="6"/>
  <c r="I313" i="6"/>
  <c r="D314" i="6"/>
  <c r="I314" i="6"/>
  <c r="D315" i="6"/>
  <c r="I315" i="6"/>
  <c r="D316" i="6"/>
  <c r="I316" i="6"/>
  <c r="D317" i="6"/>
  <c r="I317" i="6"/>
  <c r="D318" i="6"/>
  <c r="I318" i="6"/>
  <c r="D319" i="6"/>
  <c r="I319" i="6"/>
  <c r="D320" i="6"/>
  <c r="I320" i="6"/>
  <c r="D321" i="6"/>
  <c r="I321" i="6"/>
  <c r="D322" i="6"/>
  <c r="I322" i="6"/>
  <c r="D323" i="6"/>
  <c r="I323" i="6"/>
  <c r="D324" i="6"/>
  <c r="I324" i="6"/>
  <c r="D325" i="6"/>
  <c r="I325" i="6"/>
  <c r="D326" i="6"/>
  <c r="I326" i="6"/>
  <c r="D327" i="6"/>
  <c r="I327" i="6"/>
  <c r="D328" i="6"/>
  <c r="I328" i="6"/>
  <c r="D329" i="6"/>
  <c r="I329" i="6"/>
  <c r="D330" i="6"/>
  <c r="I330" i="6"/>
  <c r="D331" i="6"/>
  <c r="I331" i="6"/>
  <c r="D332" i="6"/>
  <c r="I332" i="6"/>
  <c r="D333" i="6"/>
  <c r="I333" i="6"/>
  <c r="D334" i="6"/>
  <c r="I334" i="6"/>
  <c r="D335" i="6"/>
  <c r="I335" i="6"/>
  <c r="D336" i="6"/>
  <c r="I336" i="6"/>
  <c r="D337" i="6"/>
  <c r="I337" i="6"/>
  <c r="D338" i="6"/>
  <c r="I338" i="6"/>
  <c r="D339" i="6"/>
  <c r="I339" i="6"/>
  <c r="D340" i="6"/>
  <c r="I340" i="6"/>
  <c r="D341" i="6"/>
  <c r="I341" i="6"/>
  <c r="D342" i="6"/>
  <c r="I342" i="6"/>
  <c r="D343" i="6"/>
  <c r="I343" i="6"/>
  <c r="D344" i="6"/>
  <c r="I344" i="6"/>
  <c r="D345" i="6"/>
  <c r="I345" i="6"/>
  <c r="D346" i="6"/>
  <c r="I346" i="6"/>
  <c r="D347" i="6"/>
  <c r="I347" i="6"/>
  <c r="D348" i="6"/>
  <c r="I348" i="6"/>
  <c r="D349" i="6"/>
  <c r="I349" i="6"/>
  <c r="D350" i="6"/>
  <c r="I350" i="6"/>
  <c r="D351" i="6"/>
  <c r="I351" i="6"/>
  <c r="D352" i="6"/>
  <c r="I352" i="6"/>
  <c r="D353" i="6"/>
  <c r="I353" i="6"/>
  <c r="D354" i="6"/>
  <c r="I354" i="6"/>
  <c r="D355" i="6"/>
  <c r="I355" i="6"/>
  <c r="D356" i="6"/>
  <c r="I356" i="6"/>
  <c r="D357" i="6"/>
  <c r="I357" i="6"/>
  <c r="D358" i="6"/>
  <c r="I358" i="6"/>
  <c r="D359" i="6"/>
  <c r="I359" i="6"/>
  <c r="D360" i="6"/>
  <c r="I360" i="6"/>
  <c r="D361" i="6"/>
  <c r="I361" i="6"/>
  <c r="D362" i="6"/>
  <c r="I362" i="6"/>
  <c r="D363" i="6"/>
  <c r="I363" i="6"/>
  <c r="D364" i="6"/>
  <c r="I364" i="6"/>
  <c r="D365" i="6"/>
  <c r="I365" i="6"/>
  <c r="D366" i="6"/>
  <c r="I366" i="6"/>
  <c r="D367" i="6"/>
  <c r="I367" i="6"/>
  <c r="D368" i="6"/>
  <c r="I368" i="6"/>
  <c r="D369" i="6"/>
  <c r="I369" i="6"/>
  <c r="D370" i="6"/>
  <c r="I370" i="6"/>
  <c r="D371" i="6"/>
  <c r="I371" i="6"/>
  <c r="D372" i="6"/>
  <c r="I372" i="6"/>
  <c r="D373" i="6"/>
  <c r="I373" i="6"/>
  <c r="D374" i="6"/>
  <c r="I374" i="6"/>
  <c r="D375" i="6"/>
  <c r="I375" i="6"/>
  <c r="D376" i="6"/>
  <c r="I376" i="6"/>
  <c r="D377" i="6"/>
  <c r="I377" i="6"/>
  <c r="D378" i="6"/>
  <c r="I378" i="6"/>
  <c r="D379" i="6"/>
  <c r="I379" i="6"/>
  <c r="D380" i="6"/>
  <c r="I380" i="6"/>
  <c r="D381" i="6"/>
  <c r="I381" i="6"/>
  <c r="D382" i="6"/>
  <c r="I382" i="6"/>
  <c r="D383" i="6"/>
  <c r="I383" i="6"/>
  <c r="D384" i="6"/>
  <c r="I384" i="6"/>
  <c r="D385" i="6"/>
  <c r="I385" i="6"/>
  <c r="D386" i="6"/>
  <c r="I386" i="6"/>
  <c r="D387" i="6"/>
  <c r="I387" i="6"/>
  <c r="D388" i="6"/>
  <c r="I388" i="6"/>
  <c r="D389" i="6"/>
  <c r="I389" i="6"/>
  <c r="D390" i="6"/>
  <c r="I390" i="6"/>
  <c r="D391" i="6"/>
  <c r="I391" i="6"/>
  <c r="D392" i="6"/>
  <c r="I392" i="6"/>
  <c r="D393" i="6"/>
  <c r="I393" i="6"/>
  <c r="D394" i="6"/>
  <c r="I394" i="6"/>
  <c r="D395" i="6"/>
  <c r="I395" i="6"/>
  <c r="D396" i="6"/>
  <c r="I396" i="6"/>
  <c r="D397" i="6"/>
  <c r="I397" i="6"/>
  <c r="D398" i="6"/>
  <c r="I398" i="6"/>
  <c r="D399" i="6"/>
  <c r="I399" i="6"/>
  <c r="D400" i="6"/>
  <c r="I400" i="6"/>
  <c r="D401" i="6"/>
  <c r="I401" i="6"/>
  <c r="D402" i="6"/>
  <c r="I402" i="6"/>
  <c r="D403" i="6"/>
  <c r="I403" i="6"/>
  <c r="D404" i="6"/>
  <c r="I404" i="6"/>
  <c r="D405" i="6"/>
  <c r="I405" i="6"/>
  <c r="D406" i="6"/>
  <c r="I406" i="6"/>
  <c r="D407" i="6"/>
  <c r="I407" i="6"/>
  <c r="D408" i="6"/>
  <c r="I408" i="6"/>
  <c r="D409" i="6"/>
  <c r="I409" i="6"/>
  <c r="D410" i="6"/>
  <c r="I410" i="6"/>
  <c r="D411" i="6"/>
  <c r="I411" i="6"/>
  <c r="D412" i="6"/>
  <c r="I412" i="6"/>
  <c r="D413" i="6"/>
  <c r="I413" i="6"/>
  <c r="D414" i="6"/>
  <c r="I414" i="6"/>
  <c r="D415" i="6"/>
  <c r="I415" i="6"/>
  <c r="D416" i="6"/>
  <c r="I416" i="6"/>
  <c r="D417" i="6"/>
  <c r="I417" i="6"/>
  <c r="D418" i="6"/>
  <c r="I418" i="6"/>
  <c r="D419" i="6"/>
  <c r="I419" i="6"/>
  <c r="D420" i="6"/>
  <c r="I420" i="6"/>
  <c r="D421" i="6"/>
  <c r="I421" i="6"/>
  <c r="D422" i="6"/>
  <c r="I422" i="6"/>
  <c r="D423" i="6"/>
  <c r="I423" i="6"/>
  <c r="D424" i="6"/>
  <c r="I424" i="6"/>
  <c r="D425" i="6"/>
  <c r="I425" i="6"/>
  <c r="D426" i="6"/>
  <c r="I426" i="6"/>
  <c r="D427" i="6"/>
  <c r="I427" i="6"/>
  <c r="D428" i="6"/>
  <c r="I428" i="6"/>
  <c r="D429" i="6"/>
  <c r="I429" i="6"/>
  <c r="D430" i="6"/>
  <c r="I430" i="6"/>
  <c r="D431" i="6"/>
  <c r="I431" i="6"/>
  <c r="D432" i="6"/>
  <c r="I432" i="6"/>
  <c r="D433" i="6"/>
  <c r="I433" i="6"/>
  <c r="D434" i="6"/>
  <c r="I434" i="6"/>
  <c r="D435" i="6"/>
  <c r="I435" i="6"/>
  <c r="D436" i="6"/>
  <c r="I436" i="6"/>
  <c r="D437" i="6"/>
  <c r="I437" i="6"/>
  <c r="D438" i="6"/>
  <c r="I438" i="6"/>
  <c r="D439" i="6"/>
  <c r="I439" i="6"/>
  <c r="D440" i="6"/>
  <c r="I440" i="6"/>
  <c r="D441" i="6"/>
  <c r="I441" i="6"/>
  <c r="D442" i="6"/>
  <c r="I442" i="6"/>
  <c r="D443" i="6"/>
  <c r="I443" i="6"/>
  <c r="D444" i="6"/>
  <c r="I444" i="6"/>
  <c r="D445" i="6"/>
  <c r="I445" i="6"/>
  <c r="D446" i="6"/>
  <c r="I446" i="6"/>
  <c r="D447" i="6"/>
  <c r="I447" i="6"/>
  <c r="D448" i="6"/>
  <c r="I448" i="6"/>
  <c r="D449" i="6"/>
  <c r="I449" i="6"/>
  <c r="D450" i="6"/>
  <c r="I450" i="6"/>
  <c r="D451" i="6"/>
  <c r="I451" i="6"/>
  <c r="D452" i="6"/>
  <c r="I452" i="6"/>
  <c r="D453" i="6"/>
  <c r="I453" i="6"/>
  <c r="D454" i="6"/>
  <c r="I454" i="6"/>
  <c r="D455" i="6"/>
  <c r="I455" i="6"/>
  <c r="D456" i="6"/>
  <c r="I456" i="6"/>
  <c r="D457" i="6"/>
  <c r="I457" i="6"/>
  <c r="D458" i="6"/>
  <c r="I458" i="6"/>
  <c r="D459" i="6"/>
  <c r="I459" i="6"/>
  <c r="D460" i="6"/>
  <c r="I460" i="6"/>
  <c r="D461" i="6"/>
  <c r="I461" i="6"/>
  <c r="D462" i="6"/>
  <c r="I462" i="6"/>
  <c r="D463" i="6"/>
  <c r="I463" i="6"/>
  <c r="D464" i="6"/>
  <c r="I464" i="6"/>
  <c r="D465" i="6"/>
  <c r="I465" i="6"/>
  <c r="D466" i="6"/>
  <c r="I466" i="6"/>
  <c r="D467" i="6"/>
  <c r="I467" i="6"/>
  <c r="D468" i="6"/>
  <c r="I468" i="6"/>
  <c r="D469" i="6"/>
  <c r="I469" i="6"/>
  <c r="D470" i="6"/>
  <c r="I470" i="6"/>
  <c r="D471" i="6"/>
  <c r="F200" i="6"/>
  <c r="J200" i="6"/>
  <c r="F201" i="6"/>
  <c r="J201" i="6"/>
  <c r="F202" i="6"/>
  <c r="J202" i="6"/>
  <c r="F203" i="6"/>
  <c r="J203" i="6"/>
  <c r="F204" i="6"/>
  <c r="J204" i="6"/>
  <c r="F205" i="6"/>
  <c r="J205" i="6"/>
  <c r="F206" i="6"/>
  <c r="J206" i="6"/>
  <c r="F207" i="6"/>
  <c r="J207" i="6"/>
  <c r="F208" i="6"/>
  <c r="J208" i="6"/>
  <c r="F209" i="6"/>
  <c r="J209" i="6"/>
  <c r="F210" i="6"/>
  <c r="J210" i="6"/>
  <c r="F211" i="6"/>
  <c r="J211" i="6"/>
  <c r="F212" i="6"/>
  <c r="J212" i="6"/>
  <c r="F213" i="6"/>
  <c r="J213" i="6"/>
  <c r="F214" i="6"/>
  <c r="J214" i="6"/>
  <c r="F215" i="6"/>
  <c r="J215" i="6"/>
  <c r="F216" i="6"/>
  <c r="J216" i="6"/>
  <c r="F217" i="6"/>
  <c r="J217" i="6"/>
  <c r="F218" i="6"/>
  <c r="J218" i="6"/>
  <c r="F219" i="6"/>
  <c r="J219" i="6"/>
  <c r="F220" i="6"/>
  <c r="J220" i="6"/>
  <c r="F221" i="6"/>
  <c r="J221" i="6"/>
  <c r="F222" i="6"/>
  <c r="J222" i="6"/>
  <c r="F223" i="6"/>
  <c r="J223" i="6"/>
  <c r="F224" i="6"/>
  <c r="J224" i="6"/>
  <c r="F225" i="6"/>
  <c r="J225" i="6"/>
  <c r="F226" i="6"/>
  <c r="J226" i="6"/>
  <c r="F227" i="6"/>
  <c r="J227" i="6"/>
  <c r="F228" i="6"/>
  <c r="J228" i="6"/>
  <c r="F229" i="6"/>
  <c r="J229" i="6"/>
  <c r="F230" i="6"/>
  <c r="J230" i="6"/>
  <c r="F231" i="6"/>
  <c r="J231" i="6"/>
  <c r="F232" i="6"/>
  <c r="J232" i="6"/>
  <c r="F233" i="6"/>
  <c r="J233" i="6"/>
  <c r="F234" i="6"/>
  <c r="J234" i="6"/>
  <c r="F235" i="6"/>
  <c r="J235" i="6"/>
  <c r="F236" i="6"/>
  <c r="J236" i="6"/>
  <c r="F237" i="6"/>
  <c r="J237" i="6"/>
  <c r="F238" i="6"/>
  <c r="J238" i="6"/>
  <c r="F239" i="6"/>
  <c r="J239" i="6"/>
  <c r="F240" i="6"/>
  <c r="J240" i="6"/>
  <c r="F241" i="6"/>
  <c r="J241" i="6"/>
  <c r="F242" i="6"/>
  <c r="J242" i="6"/>
  <c r="F243" i="6"/>
  <c r="J243" i="6"/>
  <c r="F244" i="6"/>
  <c r="J244" i="6"/>
  <c r="F245" i="6"/>
  <c r="J245" i="6"/>
  <c r="F246" i="6"/>
  <c r="J246" i="6"/>
  <c r="F247" i="6"/>
  <c r="J247" i="6"/>
  <c r="F248" i="6"/>
  <c r="J248" i="6"/>
  <c r="F249" i="6"/>
  <c r="J249" i="6"/>
  <c r="F250" i="6"/>
  <c r="J250" i="6"/>
  <c r="F251" i="6"/>
  <c r="J251" i="6"/>
  <c r="F252" i="6"/>
  <c r="J252" i="6"/>
  <c r="F253" i="6"/>
  <c r="J253" i="6"/>
  <c r="F254" i="6"/>
  <c r="J254" i="6"/>
  <c r="F255" i="6"/>
  <c r="J255" i="6"/>
  <c r="F256" i="6"/>
  <c r="J256" i="6"/>
  <c r="F257" i="6"/>
  <c r="J257" i="6"/>
  <c r="F258" i="6"/>
  <c r="J258" i="6"/>
  <c r="F259" i="6"/>
  <c r="J259" i="6"/>
  <c r="F260" i="6"/>
  <c r="J260" i="6"/>
  <c r="F261" i="6"/>
  <c r="J261" i="6"/>
  <c r="F262" i="6"/>
  <c r="J262" i="6"/>
  <c r="F263" i="6"/>
  <c r="J263" i="6"/>
  <c r="F264" i="6"/>
  <c r="J264" i="6"/>
  <c r="F265" i="6"/>
  <c r="J265" i="6"/>
  <c r="F266" i="6"/>
  <c r="J266" i="6"/>
  <c r="F267" i="6"/>
  <c r="J267" i="6"/>
  <c r="F268" i="6"/>
  <c r="J268" i="6"/>
  <c r="F269" i="6"/>
  <c r="J269" i="6"/>
  <c r="F270" i="6"/>
  <c r="J270" i="6"/>
  <c r="F271" i="6"/>
  <c r="J271" i="6"/>
  <c r="F272" i="6"/>
  <c r="J272" i="6"/>
  <c r="F273" i="6"/>
  <c r="J273" i="6"/>
  <c r="F274" i="6"/>
  <c r="J274" i="6"/>
  <c r="F275" i="6"/>
  <c r="J275" i="6"/>
  <c r="F276" i="6"/>
  <c r="J276" i="6"/>
  <c r="F277" i="6"/>
  <c r="J277" i="6"/>
  <c r="F278" i="6"/>
  <c r="J278" i="6"/>
  <c r="F279" i="6"/>
  <c r="J279" i="6"/>
  <c r="F280" i="6"/>
  <c r="J280" i="6"/>
  <c r="F281" i="6"/>
  <c r="J281" i="6"/>
  <c r="F282" i="6"/>
  <c r="J282" i="6"/>
  <c r="F283" i="6"/>
  <c r="J283" i="6"/>
  <c r="F284" i="6"/>
  <c r="J284" i="6"/>
  <c r="F285" i="6"/>
  <c r="J285" i="6"/>
  <c r="F286" i="6"/>
  <c r="J286" i="6"/>
  <c r="F287" i="6"/>
  <c r="J287" i="6"/>
  <c r="F288" i="6"/>
  <c r="J288" i="6"/>
  <c r="F289" i="6"/>
  <c r="J289" i="6"/>
  <c r="F290" i="6"/>
  <c r="J290" i="6"/>
  <c r="F291" i="6"/>
  <c r="J291" i="6"/>
  <c r="F292" i="6"/>
  <c r="J292" i="6"/>
  <c r="F293" i="6"/>
  <c r="J293" i="6"/>
  <c r="F294" i="6"/>
  <c r="J294" i="6"/>
  <c r="F295" i="6"/>
  <c r="J295" i="6"/>
  <c r="F296" i="6"/>
  <c r="J296" i="6"/>
  <c r="F297" i="6"/>
  <c r="J297" i="6"/>
  <c r="F298" i="6"/>
  <c r="J298" i="6"/>
  <c r="F299" i="6"/>
  <c r="J299" i="6"/>
  <c r="F300" i="6"/>
  <c r="J300" i="6"/>
  <c r="F301" i="6"/>
  <c r="J301" i="6"/>
  <c r="F302" i="6"/>
  <c r="J302" i="6"/>
  <c r="F303" i="6"/>
  <c r="J303" i="6"/>
  <c r="F304" i="6"/>
  <c r="J304" i="6"/>
  <c r="F305" i="6"/>
  <c r="J305" i="6"/>
  <c r="F306" i="6"/>
  <c r="J306" i="6"/>
  <c r="F307" i="6"/>
  <c r="J307" i="6"/>
  <c r="F308" i="6"/>
  <c r="J308" i="6"/>
  <c r="F309" i="6"/>
  <c r="J309" i="6"/>
  <c r="F310" i="6"/>
  <c r="J310" i="6"/>
  <c r="F311" i="6"/>
  <c r="J311" i="6"/>
  <c r="F312" i="6"/>
  <c r="J312" i="6"/>
  <c r="F313" i="6"/>
  <c r="J313" i="6"/>
  <c r="F314" i="6"/>
  <c r="J314" i="6"/>
  <c r="F315" i="6"/>
  <c r="J315" i="6"/>
  <c r="F316" i="6"/>
  <c r="J316" i="6"/>
  <c r="F317" i="6"/>
  <c r="J317" i="6"/>
  <c r="F318" i="6"/>
  <c r="J318" i="6"/>
  <c r="F319" i="6"/>
  <c r="J319" i="6"/>
  <c r="F320" i="6"/>
  <c r="J320" i="6"/>
  <c r="F321" i="6"/>
  <c r="J321" i="6"/>
  <c r="F322" i="6"/>
  <c r="J322" i="6"/>
  <c r="F323" i="6"/>
  <c r="J323" i="6"/>
  <c r="F324" i="6"/>
  <c r="J324" i="6"/>
  <c r="F325" i="6"/>
  <c r="J325" i="6"/>
  <c r="F326" i="6"/>
  <c r="J326" i="6"/>
  <c r="F327" i="6"/>
  <c r="J327" i="6"/>
  <c r="F328" i="6"/>
  <c r="J328" i="6"/>
  <c r="F329" i="6"/>
  <c r="J329" i="6"/>
  <c r="F330" i="6"/>
  <c r="J330" i="6"/>
  <c r="F331" i="6"/>
  <c r="J331" i="6"/>
  <c r="F332" i="6"/>
  <c r="J332" i="6"/>
  <c r="F333" i="6"/>
  <c r="J333" i="6"/>
  <c r="F334" i="6"/>
  <c r="J334" i="6"/>
  <c r="F335" i="6"/>
  <c r="J335" i="6"/>
  <c r="F336" i="6"/>
  <c r="J336" i="6"/>
  <c r="F337" i="6"/>
  <c r="J337" i="6"/>
  <c r="F338" i="6"/>
  <c r="J338" i="6"/>
  <c r="F339" i="6"/>
  <c r="J339" i="6"/>
  <c r="F340" i="6"/>
  <c r="J340" i="6"/>
  <c r="F341" i="6"/>
  <c r="J341" i="6"/>
  <c r="F342" i="6"/>
  <c r="J342" i="6"/>
  <c r="F343" i="6"/>
  <c r="J343" i="6"/>
  <c r="F344" i="6"/>
  <c r="J344" i="6"/>
  <c r="F345" i="6"/>
  <c r="J345" i="6"/>
  <c r="F346" i="6"/>
  <c r="J346" i="6"/>
  <c r="F347" i="6"/>
  <c r="J347" i="6"/>
  <c r="F348" i="6"/>
  <c r="J348" i="6"/>
  <c r="F349" i="6"/>
  <c r="J349" i="6"/>
  <c r="F350" i="6"/>
  <c r="J350" i="6"/>
  <c r="F351" i="6"/>
  <c r="J351" i="6"/>
  <c r="F352" i="6"/>
  <c r="J352" i="6"/>
  <c r="F353" i="6"/>
  <c r="J353" i="6"/>
  <c r="F354" i="6"/>
  <c r="J354" i="6"/>
  <c r="F355" i="6"/>
  <c r="J355" i="6"/>
  <c r="F356" i="6"/>
  <c r="J356" i="6"/>
  <c r="F357" i="6"/>
  <c r="J357" i="6"/>
  <c r="F358" i="6"/>
  <c r="J358" i="6"/>
  <c r="F359" i="6"/>
  <c r="J359" i="6"/>
  <c r="F360" i="6"/>
  <c r="J360" i="6"/>
  <c r="F361" i="6"/>
  <c r="J361" i="6"/>
  <c r="F362" i="6"/>
  <c r="J362" i="6"/>
  <c r="F363" i="6"/>
  <c r="J363" i="6"/>
  <c r="F364" i="6"/>
  <c r="J364" i="6"/>
  <c r="F365" i="6"/>
  <c r="J365" i="6"/>
  <c r="F366" i="6"/>
  <c r="J366" i="6"/>
  <c r="F367" i="6"/>
  <c r="J367" i="6"/>
  <c r="F368" i="6"/>
  <c r="J368" i="6"/>
  <c r="F369" i="6"/>
  <c r="J369" i="6"/>
  <c r="F370" i="6"/>
  <c r="J370" i="6"/>
  <c r="F371" i="6"/>
  <c r="J371" i="6"/>
  <c r="F372" i="6"/>
  <c r="J372" i="6"/>
  <c r="F373" i="6"/>
  <c r="J373" i="6"/>
  <c r="F374" i="6"/>
  <c r="J374" i="6"/>
  <c r="F375" i="6"/>
  <c r="J375" i="6"/>
  <c r="F376" i="6"/>
  <c r="J376" i="6"/>
  <c r="F377" i="6"/>
  <c r="J377" i="6"/>
  <c r="F378" i="6"/>
  <c r="J378" i="6"/>
  <c r="F379" i="6"/>
  <c r="J379" i="6"/>
  <c r="F380" i="6"/>
  <c r="J380" i="6"/>
  <c r="F381" i="6"/>
  <c r="J381" i="6"/>
  <c r="F382" i="6"/>
  <c r="J382" i="6"/>
  <c r="F383" i="6"/>
  <c r="J383" i="6"/>
  <c r="F384" i="6"/>
  <c r="J384" i="6"/>
  <c r="F385" i="6"/>
  <c r="J385" i="6"/>
  <c r="F386" i="6"/>
  <c r="J386" i="6"/>
  <c r="F387" i="6"/>
  <c r="J387" i="6"/>
  <c r="F388" i="6"/>
  <c r="J388" i="6"/>
  <c r="F389" i="6"/>
  <c r="J389" i="6"/>
  <c r="F390" i="6"/>
  <c r="J390" i="6"/>
  <c r="F391" i="6"/>
  <c r="J391" i="6"/>
  <c r="F392" i="6"/>
  <c r="J392" i="6"/>
  <c r="F393" i="6"/>
  <c r="J393" i="6"/>
  <c r="F394" i="6"/>
  <c r="J394" i="6"/>
  <c r="F395" i="6"/>
  <c r="J395" i="6"/>
  <c r="F396" i="6"/>
  <c r="J396" i="6"/>
  <c r="F397" i="6"/>
  <c r="J397" i="6"/>
  <c r="F398" i="6"/>
  <c r="J398" i="6"/>
  <c r="F399" i="6"/>
  <c r="J399" i="6"/>
  <c r="F400" i="6"/>
  <c r="J400" i="6"/>
  <c r="F401" i="6"/>
  <c r="J401" i="6"/>
  <c r="F402" i="6"/>
  <c r="J402" i="6"/>
  <c r="F403" i="6"/>
  <c r="J403" i="6"/>
  <c r="F404" i="6"/>
  <c r="J404" i="6"/>
  <c r="F405" i="6"/>
  <c r="J405" i="6"/>
  <c r="F406" i="6"/>
  <c r="J406" i="6"/>
  <c r="F407" i="6"/>
  <c r="J407" i="6"/>
  <c r="F408" i="6"/>
  <c r="J408" i="6"/>
  <c r="F409" i="6"/>
  <c r="J409" i="6"/>
  <c r="F410" i="6"/>
  <c r="J410" i="6"/>
  <c r="F411" i="6"/>
  <c r="J411" i="6"/>
  <c r="F412" i="6"/>
  <c r="J412" i="6"/>
  <c r="F413" i="6"/>
  <c r="J413" i="6"/>
  <c r="F414" i="6"/>
  <c r="J414" i="6"/>
  <c r="F415" i="6"/>
  <c r="J415" i="6"/>
  <c r="F416" i="6"/>
  <c r="J416" i="6"/>
  <c r="F417" i="6"/>
  <c r="J417" i="6"/>
  <c r="F418" i="6"/>
  <c r="J418" i="6"/>
  <c r="F419" i="6"/>
  <c r="J419" i="6"/>
  <c r="F420" i="6"/>
  <c r="J420" i="6"/>
  <c r="F421" i="6"/>
  <c r="J421" i="6"/>
  <c r="F422" i="6"/>
  <c r="J422" i="6"/>
  <c r="F423" i="6"/>
  <c r="J423" i="6"/>
  <c r="F424" i="6"/>
  <c r="J424" i="6"/>
  <c r="F425" i="6"/>
  <c r="J425" i="6"/>
  <c r="F426" i="6"/>
  <c r="J426" i="6"/>
  <c r="F427" i="6"/>
  <c r="J427" i="6"/>
  <c r="F428" i="6"/>
  <c r="J428" i="6"/>
  <c r="F429" i="6"/>
  <c r="J429" i="6"/>
  <c r="F430" i="6"/>
  <c r="J430" i="6"/>
  <c r="F431" i="6"/>
  <c r="J431" i="6"/>
  <c r="F432" i="6"/>
  <c r="J432" i="6"/>
  <c r="F433" i="6"/>
  <c r="J433" i="6"/>
  <c r="F434" i="6"/>
  <c r="J434" i="6"/>
  <c r="F435" i="6"/>
  <c r="J435" i="6"/>
  <c r="F436" i="6"/>
  <c r="J436" i="6"/>
  <c r="F437" i="6"/>
  <c r="J437" i="6"/>
  <c r="F438" i="6"/>
  <c r="J438" i="6"/>
  <c r="F439" i="6"/>
  <c r="J439" i="6"/>
  <c r="F440" i="6"/>
  <c r="J440" i="6"/>
  <c r="F441" i="6"/>
  <c r="J441" i="6"/>
  <c r="F442" i="6"/>
  <c r="J442" i="6"/>
  <c r="F443" i="6"/>
  <c r="J443" i="6"/>
  <c r="F444" i="6"/>
  <c r="J444" i="6"/>
  <c r="F445" i="6"/>
  <c r="J445" i="6"/>
  <c r="F446" i="6"/>
  <c r="J446" i="6"/>
  <c r="F447" i="6"/>
  <c r="J447" i="6"/>
  <c r="F448" i="6"/>
  <c r="J448" i="6"/>
  <c r="F449" i="6"/>
  <c r="J449" i="6"/>
  <c r="F450" i="6"/>
  <c r="J450" i="6"/>
  <c r="F451" i="6"/>
  <c r="J451" i="6"/>
  <c r="F452" i="6"/>
  <c r="J452" i="6"/>
  <c r="F453" i="6"/>
  <c r="J453" i="6"/>
  <c r="F454" i="6"/>
  <c r="J454" i="6"/>
  <c r="F455" i="6"/>
  <c r="J455" i="6"/>
  <c r="F456" i="6"/>
  <c r="J456" i="6"/>
  <c r="F457" i="6"/>
  <c r="J457" i="6"/>
  <c r="F458" i="6"/>
  <c r="J458" i="6"/>
  <c r="F459" i="6"/>
  <c r="J459" i="6"/>
  <c r="F460" i="6"/>
  <c r="J460" i="6"/>
  <c r="F461" i="6"/>
  <c r="J461" i="6"/>
  <c r="F462" i="6"/>
  <c r="J462" i="6"/>
  <c r="F463" i="6"/>
  <c r="J463" i="6"/>
  <c r="F464" i="6"/>
  <c r="J464" i="6"/>
  <c r="F465" i="6"/>
  <c r="J465" i="6"/>
  <c r="F466" i="6"/>
  <c r="J466" i="6"/>
  <c r="F467" i="6"/>
  <c r="J467" i="6"/>
  <c r="F468" i="6"/>
  <c r="J468" i="6"/>
  <c r="F469" i="6"/>
  <c r="J469" i="6"/>
  <c r="F470" i="6"/>
  <c r="J470" i="6"/>
  <c r="F471" i="6"/>
  <c r="J471" i="6"/>
  <c r="F472" i="6"/>
  <c r="J472" i="6"/>
  <c r="F473" i="6"/>
  <c r="J473" i="6"/>
  <c r="F474" i="6"/>
  <c r="J474" i="6"/>
  <c r="F475" i="6"/>
  <c r="J475" i="6"/>
  <c r="F476" i="6"/>
  <c r="J476" i="6"/>
  <c r="F477" i="6"/>
  <c r="J477" i="6"/>
  <c r="F478" i="6"/>
  <c r="J478" i="6"/>
  <c r="F479" i="6"/>
  <c r="J479" i="6"/>
  <c r="F480" i="6"/>
  <c r="J480" i="6"/>
  <c r="F481" i="6"/>
  <c r="J481" i="6"/>
  <c r="F482" i="6"/>
  <c r="J482" i="6"/>
  <c r="F483" i="6"/>
  <c r="J483" i="6"/>
  <c r="F484" i="6"/>
  <c r="J484" i="6"/>
  <c r="F485" i="6"/>
  <c r="J485" i="6"/>
  <c r="F486" i="6"/>
  <c r="J486" i="6"/>
  <c r="F487" i="6"/>
  <c r="J487" i="6"/>
  <c r="F488" i="6"/>
  <c r="J488" i="6"/>
  <c r="F489" i="6"/>
  <c r="J489" i="6"/>
  <c r="F490" i="6"/>
  <c r="J490" i="6"/>
  <c r="F491" i="6"/>
  <c r="J491" i="6"/>
  <c r="F492" i="6"/>
  <c r="J492" i="6"/>
  <c r="F493" i="6"/>
  <c r="J493" i="6"/>
  <c r="F494" i="6"/>
  <c r="J494" i="6"/>
  <c r="F495" i="6"/>
  <c r="J495" i="6"/>
  <c r="F496" i="6"/>
  <c r="J496" i="6"/>
  <c r="F497" i="6"/>
  <c r="J497" i="6"/>
  <c r="F498" i="6"/>
  <c r="J498" i="6"/>
  <c r="F499" i="6"/>
  <c r="J499" i="6"/>
  <c r="F500" i="6"/>
  <c r="J500" i="6"/>
  <c r="F501" i="6"/>
  <c r="J501" i="6"/>
  <c r="F502" i="6"/>
  <c r="J502" i="6"/>
  <c r="F503" i="6"/>
  <c r="J503" i="6"/>
  <c r="F504" i="6"/>
  <c r="J504" i="6"/>
  <c r="F505" i="6"/>
  <c r="J505" i="6"/>
  <c r="F506" i="6"/>
  <c r="J506" i="6"/>
  <c r="F507" i="6"/>
  <c r="J507" i="6"/>
  <c r="F508" i="6"/>
  <c r="J508" i="6"/>
  <c r="F509" i="6"/>
  <c r="J509" i="6"/>
  <c r="F510" i="6"/>
  <c r="J510" i="6"/>
  <c r="F511" i="6"/>
  <c r="J511" i="6"/>
  <c r="F512" i="6"/>
  <c r="J512" i="6"/>
  <c r="F513" i="6"/>
  <c r="J513" i="6"/>
  <c r="F514" i="6"/>
  <c r="J514" i="6"/>
  <c r="F515" i="6"/>
  <c r="J515" i="6"/>
  <c r="F516" i="6"/>
  <c r="J516" i="6"/>
  <c r="F517" i="6"/>
  <c r="J517" i="6"/>
  <c r="F518" i="6"/>
  <c r="J518" i="6"/>
  <c r="F519" i="6"/>
  <c r="J519" i="6"/>
  <c r="F520" i="6"/>
  <c r="J520" i="6"/>
  <c r="F521" i="6"/>
  <c r="J521" i="6"/>
  <c r="F522" i="6"/>
  <c r="J522" i="6"/>
  <c r="F523" i="6"/>
  <c r="J523" i="6"/>
  <c r="F524" i="6"/>
  <c r="J524" i="6"/>
  <c r="F525" i="6"/>
  <c r="J525" i="6"/>
  <c r="F526" i="6"/>
  <c r="J526" i="6"/>
  <c r="F527" i="6"/>
  <c r="J527" i="6"/>
  <c r="F528" i="6"/>
  <c r="J528" i="6"/>
  <c r="F529" i="6"/>
  <c r="J529" i="6"/>
  <c r="F530" i="6"/>
  <c r="J530" i="6"/>
  <c r="F531" i="6"/>
  <c r="J531" i="6"/>
  <c r="F532" i="6"/>
  <c r="J532" i="6"/>
  <c r="F533" i="6"/>
  <c r="J533" i="6"/>
  <c r="F534" i="6"/>
  <c r="J534" i="6"/>
  <c r="F535" i="6"/>
  <c r="J535" i="6"/>
  <c r="F536" i="6"/>
  <c r="J536" i="6"/>
  <c r="F537" i="6"/>
  <c r="J537" i="6"/>
  <c r="F538" i="6"/>
  <c r="J538" i="6"/>
  <c r="F539" i="6"/>
  <c r="J539" i="6"/>
  <c r="F540" i="6"/>
  <c r="J540" i="6"/>
  <c r="F541" i="6"/>
  <c r="J541" i="6"/>
  <c r="F542" i="6"/>
  <c r="J542" i="6"/>
  <c r="F543" i="6"/>
  <c r="J543" i="6"/>
  <c r="F544" i="6"/>
  <c r="J544" i="6"/>
  <c r="F545" i="6"/>
  <c r="J545" i="6"/>
  <c r="F546" i="6"/>
  <c r="J546" i="6"/>
  <c r="F547" i="6"/>
  <c r="J547" i="6"/>
  <c r="F548" i="6"/>
  <c r="J548" i="6"/>
  <c r="F549" i="6"/>
  <c r="J549" i="6"/>
  <c r="F550" i="6"/>
  <c r="J550" i="6"/>
  <c r="F551" i="6"/>
  <c r="J551" i="6"/>
  <c r="F552" i="6"/>
  <c r="J552" i="6"/>
  <c r="F553" i="6"/>
  <c r="J553" i="6"/>
  <c r="F554" i="6"/>
  <c r="J554" i="6"/>
  <c r="F555" i="6"/>
  <c r="J555" i="6"/>
  <c r="F556" i="6"/>
  <c r="J556" i="6"/>
  <c r="F557" i="6"/>
  <c r="J557" i="6"/>
  <c r="F558" i="6"/>
  <c r="J558" i="6"/>
  <c r="F559" i="6"/>
  <c r="J559" i="6"/>
  <c r="F560" i="6"/>
  <c r="J560" i="6"/>
  <c r="F561" i="6"/>
  <c r="J561" i="6"/>
  <c r="F562" i="6"/>
  <c r="J562" i="6"/>
  <c r="F563" i="6"/>
  <c r="J563" i="6"/>
  <c r="F564" i="6"/>
  <c r="J564" i="6"/>
  <c r="F565" i="6"/>
  <c r="J565" i="6"/>
  <c r="F566" i="6"/>
  <c r="J566" i="6"/>
  <c r="F567" i="6"/>
  <c r="J567" i="6"/>
  <c r="F568" i="6"/>
  <c r="J568" i="6"/>
  <c r="F569" i="6"/>
  <c r="J569" i="6"/>
  <c r="F570" i="6"/>
  <c r="J570" i="6"/>
  <c r="F571" i="6"/>
  <c r="J571" i="6"/>
  <c r="F572" i="6"/>
  <c r="J572" i="6"/>
  <c r="F573" i="6"/>
  <c r="J573" i="6"/>
  <c r="F574" i="6"/>
  <c r="J574" i="6"/>
  <c r="F575" i="6"/>
  <c r="J575" i="6"/>
  <c r="F576" i="6"/>
  <c r="J576" i="6"/>
  <c r="F577" i="6"/>
  <c r="J577" i="6"/>
  <c r="F578" i="6"/>
  <c r="J578" i="6"/>
  <c r="F579" i="6"/>
  <c r="J579" i="6"/>
  <c r="F580" i="6"/>
  <c r="J580" i="6"/>
  <c r="F581" i="6"/>
  <c r="J581" i="6"/>
  <c r="F582" i="6"/>
  <c r="J582" i="6"/>
  <c r="F583" i="6"/>
  <c r="J583" i="6"/>
  <c r="F584" i="6"/>
  <c r="J584" i="6"/>
  <c r="F585" i="6"/>
  <c r="J585" i="6"/>
  <c r="F586" i="6"/>
  <c r="J586" i="6"/>
  <c r="F587" i="6"/>
  <c r="J587" i="6"/>
  <c r="F588" i="6"/>
  <c r="J588" i="6"/>
  <c r="F589" i="6"/>
  <c r="J589" i="6"/>
  <c r="F590" i="6"/>
  <c r="J590" i="6"/>
  <c r="F591" i="6"/>
  <c r="J591" i="6"/>
  <c r="F592" i="6"/>
  <c r="J592" i="6"/>
  <c r="F593" i="6"/>
  <c r="J593" i="6"/>
  <c r="F594" i="6"/>
  <c r="J594" i="6"/>
  <c r="F595" i="6"/>
  <c r="J595" i="6"/>
  <c r="F596" i="6"/>
  <c r="J596" i="6"/>
  <c r="F597" i="6"/>
  <c r="J597" i="6"/>
  <c r="F598" i="6"/>
  <c r="J598" i="6"/>
  <c r="F599" i="6"/>
  <c r="J599" i="6"/>
  <c r="F600" i="6"/>
  <c r="J600" i="6"/>
  <c r="F601" i="6"/>
  <c r="J601" i="6"/>
  <c r="F602" i="6"/>
  <c r="J602" i="6"/>
  <c r="F603" i="6"/>
  <c r="J603" i="6"/>
  <c r="F604" i="6"/>
  <c r="J604" i="6"/>
  <c r="F605" i="6"/>
  <c r="J605" i="6"/>
  <c r="F606" i="6"/>
  <c r="J606" i="6"/>
  <c r="F607" i="6"/>
  <c r="J607" i="6"/>
  <c r="F608" i="6"/>
  <c r="J608" i="6"/>
  <c r="F609" i="6"/>
  <c r="J609" i="6"/>
  <c r="F610" i="6"/>
  <c r="J610" i="6"/>
  <c r="F611" i="6"/>
  <c r="J611" i="6"/>
  <c r="F612" i="6"/>
  <c r="J612" i="6"/>
  <c r="F613" i="6"/>
  <c r="J613" i="6"/>
  <c r="F614" i="6"/>
  <c r="J614" i="6"/>
  <c r="F615" i="6"/>
  <c r="J615" i="6"/>
  <c r="F616" i="6"/>
  <c r="J616" i="6"/>
  <c r="F617" i="6"/>
  <c r="J617" i="6"/>
  <c r="F618" i="6"/>
  <c r="J618" i="6"/>
  <c r="F619" i="6"/>
  <c r="J619" i="6"/>
  <c r="F620" i="6"/>
  <c r="J620" i="6"/>
  <c r="F621" i="6"/>
  <c r="J621" i="6"/>
  <c r="F622" i="6"/>
  <c r="J622" i="6"/>
  <c r="F623" i="6"/>
  <c r="J623" i="6"/>
  <c r="F624" i="6"/>
  <c r="J624" i="6"/>
  <c r="F625" i="6"/>
  <c r="J625" i="6"/>
  <c r="F626" i="6"/>
  <c r="J626" i="6"/>
  <c r="F627" i="6"/>
  <c r="J627" i="6"/>
  <c r="F628" i="6"/>
  <c r="J628" i="6"/>
  <c r="F629" i="6"/>
  <c r="J629" i="6"/>
  <c r="F630" i="6"/>
  <c r="J630" i="6"/>
  <c r="F631" i="6"/>
  <c r="J631" i="6"/>
  <c r="F632" i="6"/>
  <c r="J632" i="6"/>
  <c r="F633" i="6"/>
  <c r="J633" i="6"/>
  <c r="F634" i="6"/>
  <c r="J634" i="6"/>
  <c r="F635" i="6"/>
  <c r="J635" i="6"/>
  <c r="F636" i="6"/>
  <c r="J636" i="6"/>
  <c r="F637" i="6"/>
  <c r="J637" i="6"/>
  <c r="F638" i="6"/>
  <c r="J638" i="6"/>
  <c r="F639" i="6"/>
  <c r="J639" i="6"/>
  <c r="F640" i="6"/>
  <c r="J640" i="6"/>
  <c r="F641" i="6"/>
  <c r="J641" i="6"/>
  <c r="F642" i="6"/>
  <c r="J642" i="6"/>
  <c r="F643" i="6"/>
  <c r="J643" i="6"/>
  <c r="F644" i="6"/>
  <c r="J644" i="6"/>
  <c r="F645" i="6"/>
  <c r="J645" i="6"/>
  <c r="F646" i="6"/>
  <c r="J646" i="6"/>
  <c r="F647" i="6"/>
  <c r="J647" i="6"/>
  <c r="F648" i="6"/>
  <c r="J648" i="6"/>
  <c r="F649" i="6"/>
  <c r="J649" i="6"/>
  <c r="F650" i="6"/>
  <c r="J650" i="6"/>
  <c r="F651" i="6"/>
  <c r="J651" i="6"/>
  <c r="F652" i="6"/>
  <c r="J652" i="6"/>
  <c r="F653" i="6"/>
  <c r="J653" i="6"/>
  <c r="F654" i="6"/>
  <c r="J654" i="6"/>
  <c r="F655" i="6"/>
  <c r="J655" i="6"/>
  <c r="F656" i="6"/>
  <c r="J656" i="6"/>
  <c r="F657" i="6"/>
  <c r="J657" i="6"/>
  <c r="F658" i="6"/>
  <c r="J658" i="6"/>
  <c r="F659" i="6"/>
  <c r="J659" i="6"/>
  <c r="F660" i="6"/>
  <c r="J660" i="6"/>
  <c r="F661" i="6"/>
  <c r="J661" i="6"/>
  <c r="F662" i="6"/>
  <c r="J662" i="6"/>
  <c r="F663" i="6"/>
  <c r="J663" i="6"/>
  <c r="F664" i="6"/>
  <c r="J664" i="6"/>
  <c r="F665" i="6"/>
  <c r="J665" i="6"/>
  <c r="F666" i="6"/>
  <c r="J666" i="6"/>
  <c r="F667" i="6"/>
  <c r="J667" i="6"/>
  <c r="F668" i="6"/>
  <c r="J668" i="6"/>
  <c r="F669" i="6"/>
  <c r="J669" i="6"/>
  <c r="F670" i="6"/>
  <c r="J670" i="6"/>
  <c r="F671" i="6"/>
  <c r="J671" i="6"/>
  <c r="F672" i="6"/>
  <c r="J672" i="6"/>
  <c r="F673" i="6"/>
  <c r="J673" i="6"/>
  <c r="F674" i="6"/>
  <c r="J674" i="6"/>
  <c r="F675" i="6"/>
  <c r="J675" i="6"/>
  <c r="F676" i="6"/>
  <c r="J676" i="6"/>
  <c r="F677" i="6"/>
  <c r="J677" i="6"/>
  <c r="F678" i="6"/>
  <c r="J678" i="6"/>
  <c r="F679" i="6"/>
  <c r="J679" i="6"/>
  <c r="F680" i="6"/>
  <c r="J680" i="6"/>
  <c r="F681" i="6"/>
  <c r="J681" i="6"/>
  <c r="F682" i="6"/>
  <c r="J682" i="6"/>
  <c r="F683" i="6"/>
  <c r="J683" i="6"/>
  <c r="F684" i="6"/>
  <c r="J684" i="6"/>
  <c r="F685" i="6"/>
  <c r="J685" i="6"/>
  <c r="F686" i="6"/>
  <c r="J686" i="6"/>
  <c r="F687" i="6"/>
  <c r="J687" i="6"/>
  <c r="F688" i="6"/>
  <c r="J688" i="6"/>
  <c r="F689" i="6"/>
  <c r="J689" i="6"/>
  <c r="F690" i="6"/>
  <c r="J690" i="6"/>
  <c r="F691" i="6"/>
  <c r="J691" i="6"/>
  <c r="F692" i="6"/>
  <c r="J692" i="6"/>
  <c r="F693" i="6"/>
  <c r="J693" i="6"/>
  <c r="F694" i="6"/>
  <c r="J694" i="6"/>
  <c r="F695" i="6"/>
  <c r="J695" i="6"/>
  <c r="F696" i="6"/>
  <c r="J696" i="6"/>
  <c r="F697" i="6"/>
  <c r="J697" i="6"/>
  <c r="F698" i="6"/>
  <c r="J698" i="6"/>
  <c r="F699" i="6"/>
  <c r="J699" i="6"/>
  <c r="F700" i="6"/>
  <c r="J700" i="6"/>
  <c r="F701" i="6"/>
  <c r="J701" i="6"/>
  <c r="F702" i="6"/>
  <c r="J702" i="6"/>
  <c r="F703" i="6"/>
  <c r="J703" i="6"/>
  <c r="F704" i="6"/>
  <c r="J704" i="6"/>
  <c r="F705" i="6"/>
  <c r="J705" i="6"/>
  <c r="F706" i="6"/>
  <c r="J706" i="6"/>
  <c r="F707" i="6"/>
  <c r="J707" i="6"/>
  <c r="F708" i="6"/>
  <c r="J708" i="6"/>
  <c r="F709" i="6"/>
  <c r="J709" i="6"/>
  <c r="F710" i="6"/>
  <c r="J710" i="6"/>
  <c r="F711" i="6"/>
  <c r="J711" i="6"/>
  <c r="F712" i="6"/>
  <c r="J712" i="6"/>
  <c r="F713" i="6"/>
  <c r="J713" i="6"/>
  <c r="F714" i="6"/>
  <c r="J714" i="6"/>
  <c r="F715" i="6"/>
  <c r="J715" i="6"/>
  <c r="F716" i="6"/>
  <c r="J716" i="6"/>
  <c r="F717" i="6"/>
  <c r="J717" i="6"/>
  <c r="F718" i="6"/>
  <c r="J718" i="6"/>
  <c r="F719" i="6"/>
  <c r="J719" i="6"/>
  <c r="F720" i="6"/>
  <c r="J720" i="6"/>
  <c r="F721" i="6"/>
  <c r="J721" i="6"/>
  <c r="F722" i="6"/>
  <c r="J722" i="6"/>
  <c r="F723" i="6"/>
  <c r="J723" i="6"/>
  <c r="F724" i="6"/>
  <c r="J724" i="6"/>
  <c r="F725" i="6"/>
  <c r="J725" i="6"/>
  <c r="F726" i="6"/>
  <c r="J726" i="6"/>
  <c r="F727" i="6"/>
  <c r="J727" i="6"/>
  <c r="F728" i="6"/>
  <c r="J728" i="6"/>
  <c r="F729" i="6"/>
  <c r="J729" i="6"/>
  <c r="F730" i="6"/>
  <c r="J730" i="6"/>
  <c r="F731" i="6"/>
  <c r="J731" i="6"/>
  <c r="F732" i="6"/>
  <c r="J732" i="6"/>
  <c r="F733" i="6"/>
  <c r="J733" i="6"/>
  <c r="F734" i="6"/>
  <c r="J734" i="6"/>
  <c r="F735" i="6"/>
  <c r="J735" i="6"/>
  <c r="F736" i="6"/>
  <c r="J736" i="6"/>
  <c r="F737" i="6"/>
  <c r="J737" i="6"/>
  <c r="F738" i="6"/>
  <c r="J738" i="6"/>
  <c r="F739" i="6"/>
  <c r="J739" i="6"/>
  <c r="F740" i="6"/>
  <c r="J740" i="6"/>
  <c r="F741" i="6"/>
  <c r="J741" i="6"/>
  <c r="F742" i="6"/>
  <c r="J742" i="6"/>
  <c r="F743" i="6"/>
  <c r="J743" i="6"/>
  <c r="F744" i="6"/>
  <c r="J744" i="6"/>
  <c r="F745" i="6"/>
  <c r="J745" i="6"/>
  <c r="F746" i="6"/>
  <c r="J746" i="6"/>
  <c r="F747" i="6"/>
  <c r="J747" i="6"/>
  <c r="F748" i="6"/>
  <c r="J748" i="6"/>
  <c r="F749" i="6"/>
  <c r="J749" i="6"/>
  <c r="F750" i="6"/>
  <c r="J750" i="6"/>
  <c r="F751" i="6"/>
  <c r="J751" i="6"/>
  <c r="F752" i="6"/>
  <c r="J752" i="6"/>
  <c r="F753" i="6"/>
  <c r="J753" i="6"/>
  <c r="F754" i="6"/>
  <c r="J754" i="6"/>
  <c r="F755" i="6"/>
  <c r="J755" i="6"/>
  <c r="F756" i="6"/>
  <c r="J756" i="6"/>
  <c r="F757" i="6"/>
  <c r="J757" i="6"/>
  <c r="F758" i="6"/>
  <c r="J758" i="6"/>
  <c r="F759" i="6"/>
  <c r="J759" i="6"/>
  <c r="F760" i="6"/>
  <c r="J760" i="6"/>
  <c r="F761" i="6"/>
  <c r="J761" i="6"/>
  <c r="F762" i="6"/>
  <c r="J762" i="6"/>
  <c r="F763" i="6"/>
  <c r="J763" i="6"/>
  <c r="F764" i="6"/>
  <c r="J764" i="6"/>
  <c r="F765" i="6"/>
  <c r="J765" i="6"/>
  <c r="F766" i="6"/>
  <c r="J766" i="6"/>
  <c r="F767" i="6"/>
  <c r="J767" i="6"/>
  <c r="F768" i="6"/>
  <c r="J768" i="6"/>
  <c r="F769" i="6"/>
  <c r="J769" i="6"/>
  <c r="F770" i="6"/>
  <c r="J770" i="6"/>
  <c r="F771" i="6"/>
  <c r="J771" i="6"/>
  <c r="F772" i="6"/>
  <c r="J772" i="6"/>
  <c r="F773" i="6"/>
  <c r="J773" i="6"/>
  <c r="F774" i="6"/>
  <c r="J774" i="6"/>
  <c r="F775" i="6"/>
  <c r="J775" i="6"/>
  <c r="F776" i="6"/>
  <c r="J776" i="6"/>
  <c r="F777" i="6"/>
  <c r="J777" i="6"/>
  <c r="F778" i="6"/>
  <c r="J778" i="6"/>
  <c r="F779" i="6"/>
  <c r="J779" i="6"/>
  <c r="F780" i="6"/>
  <c r="J780" i="6"/>
  <c r="F781" i="6"/>
  <c r="J781" i="6"/>
  <c r="F782" i="6"/>
  <c r="J782" i="6"/>
  <c r="F783" i="6"/>
  <c r="J783" i="6"/>
  <c r="F784" i="6"/>
  <c r="J784" i="6"/>
  <c r="F785" i="6"/>
  <c r="J785" i="6"/>
  <c r="F786" i="6"/>
  <c r="J786" i="6"/>
  <c r="F787" i="6"/>
  <c r="J787" i="6"/>
  <c r="F788" i="6"/>
  <c r="J788" i="6"/>
  <c r="F789" i="6"/>
  <c r="J789" i="6"/>
  <c r="F790" i="6"/>
  <c r="J790" i="6"/>
  <c r="F791" i="6"/>
  <c r="J791" i="6"/>
  <c r="F792" i="6"/>
  <c r="J792" i="6"/>
  <c r="F793" i="6"/>
  <c r="J793" i="6"/>
  <c r="F794" i="6"/>
  <c r="J794" i="6"/>
  <c r="F795" i="6"/>
  <c r="J795" i="6"/>
  <c r="F796" i="6"/>
  <c r="J796" i="6"/>
  <c r="F797" i="6"/>
  <c r="J797" i="6"/>
  <c r="F798" i="6"/>
  <c r="J798" i="6"/>
  <c r="F799" i="6"/>
  <c r="J799" i="6"/>
  <c r="F800" i="6"/>
  <c r="J800" i="6"/>
  <c r="F801" i="6"/>
  <c r="J801" i="6"/>
  <c r="F802" i="6"/>
  <c r="J802" i="6"/>
  <c r="F803" i="6"/>
  <c r="J803" i="6"/>
  <c r="F804" i="6"/>
  <c r="J804" i="6"/>
  <c r="F805" i="6"/>
  <c r="J805" i="6"/>
  <c r="F806" i="6"/>
  <c r="J806" i="6"/>
  <c r="F807" i="6"/>
  <c r="J807" i="6"/>
  <c r="F808" i="6"/>
  <c r="J808" i="6"/>
  <c r="F809" i="6"/>
  <c r="J809" i="6"/>
  <c r="F810" i="6"/>
  <c r="J810" i="6"/>
  <c r="F811" i="6"/>
  <c r="J811" i="6"/>
  <c r="F812" i="6"/>
  <c r="J812" i="6"/>
  <c r="F813" i="6"/>
  <c r="J813" i="6"/>
  <c r="F814" i="6"/>
  <c r="J814" i="6"/>
  <c r="F815" i="6"/>
  <c r="J815" i="6"/>
  <c r="F816" i="6"/>
  <c r="J816" i="6"/>
  <c r="F817" i="6"/>
  <c r="J817" i="6"/>
  <c r="F818" i="6"/>
  <c r="J818" i="6"/>
  <c r="F819" i="6"/>
  <c r="J819" i="6"/>
  <c r="F820" i="6"/>
  <c r="J820" i="6"/>
  <c r="F821" i="6"/>
  <c r="J821" i="6"/>
  <c r="F822" i="6"/>
  <c r="J822" i="6"/>
  <c r="F823" i="6"/>
  <c r="J823" i="6"/>
  <c r="F824" i="6"/>
  <c r="J824" i="6"/>
  <c r="F825" i="6"/>
  <c r="J825" i="6"/>
  <c r="F826" i="6"/>
  <c r="J826" i="6"/>
  <c r="F827" i="6"/>
  <c r="J827" i="6"/>
  <c r="F828" i="6"/>
  <c r="J828" i="6"/>
  <c r="F829" i="6"/>
  <c r="J829" i="6"/>
  <c r="F830" i="6"/>
  <c r="J830" i="6"/>
  <c r="F831" i="6"/>
  <c r="J831" i="6"/>
  <c r="F832" i="6"/>
  <c r="J832" i="6"/>
  <c r="F833" i="6"/>
  <c r="J833" i="6"/>
  <c r="F834" i="6"/>
  <c r="J834" i="6"/>
  <c r="F835" i="6"/>
  <c r="J835" i="6"/>
  <c r="F836" i="6"/>
  <c r="J836" i="6"/>
  <c r="F837" i="6"/>
  <c r="J837" i="6"/>
  <c r="F838" i="6"/>
  <c r="J838" i="6"/>
  <c r="F839" i="6"/>
  <c r="J839" i="6"/>
  <c r="F840" i="6"/>
  <c r="J840" i="6"/>
  <c r="F841" i="6"/>
  <c r="J841" i="6"/>
  <c r="F842" i="6"/>
  <c r="J842" i="6"/>
  <c r="F843" i="6"/>
  <c r="J843" i="6"/>
  <c r="F844" i="6"/>
  <c r="J844" i="6"/>
  <c r="F845" i="6"/>
  <c r="J845" i="6"/>
  <c r="F846" i="6"/>
  <c r="J846" i="6"/>
  <c r="F847" i="6"/>
  <c r="J847" i="6"/>
  <c r="F848" i="6"/>
  <c r="J848" i="6"/>
  <c r="F849" i="6"/>
  <c r="J849" i="6"/>
  <c r="F850" i="6"/>
  <c r="J850" i="6"/>
  <c r="F851" i="6"/>
  <c r="J851" i="6"/>
  <c r="F852" i="6"/>
  <c r="J852" i="6"/>
  <c r="F853" i="6"/>
  <c r="J853" i="6"/>
  <c r="F854" i="6"/>
  <c r="J854" i="6"/>
  <c r="F855" i="6"/>
  <c r="J855" i="6"/>
  <c r="F856" i="6"/>
  <c r="J856" i="6"/>
  <c r="F857" i="6"/>
  <c r="J857" i="6"/>
  <c r="F858" i="6"/>
  <c r="J858" i="6"/>
  <c r="F859" i="6"/>
  <c r="J859" i="6"/>
  <c r="F860" i="6"/>
  <c r="J860" i="6"/>
  <c r="F861" i="6"/>
  <c r="J861" i="6"/>
  <c r="F862" i="6"/>
  <c r="J862" i="6"/>
  <c r="F863" i="6"/>
  <c r="J863" i="6"/>
  <c r="F864" i="6"/>
  <c r="J864" i="6"/>
  <c r="F865" i="6"/>
  <c r="J865" i="6"/>
  <c r="F866" i="6"/>
  <c r="J866" i="6"/>
  <c r="F867" i="6"/>
  <c r="J867" i="6"/>
  <c r="F868" i="6"/>
  <c r="J868" i="6"/>
  <c r="F869" i="6"/>
  <c r="J869" i="6"/>
  <c r="F870" i="6"/>
  <c r="J870" i="6"/>
  <c r="F871" i="6"/>
  <c r="J871" i="6"/>
  <c r="F872" i="6"/>
  <c r="J872" i="6"/>
  <c r="F873" i="6"/>
  <c r="J873" i="6"/>
  <c r="F874" i="6"/>
  <c r="J874" i="6"/>
  <c r="F875" i="6"/>
  <c r="J875" i="6"/>
  <c r="F876" i="6"/>
  <c r="J876" i="6"/>
  <c r="F877" i="6"/>
  <c r="J877" i="6"/>
  <c r="F878" i="6"/>
  <c r="J878" i="6"/>
  <c r="F879" i="6"/>
  <c r="J879" i="6"/>
  <c r="F880" i="6"/>
  <c r="J880" i="6"/>
  <c r="F881" i="6"/>
  <c r="J881" i="6"/>
  <c r="F882" i="6"/>
  <c r="J882" i="6"/>
  <c r="F883" i="6"/>
  <c r="J883" i="6"/>
  <c r="F884" i="6"/>
  <c r="J884" i="6"/>
  <c r="F885" i="6"/>
  <c r="J885" i="6"/>
  <c r="F886" i="6"/>
  <c r="J886" i="6"/>
  <c r="F887" i="6"/>
  <c r="J887" i="6"/>
  <c r="F888" i="6"/>
  <c r="J888" i="6"/>
  <c r="F889" i="6"/>
  <c r="J889" i="6"/>
  <c r="F890" i="6"/>
  <c r="J890" i="6"/>
  <c r="F891" i="6"/>
  <c r="J891" i="6"/>
  <c r="F892" i="6"/>
  <c r="J892" i="6"/>
  <c r="F893" i="6"/>
  <c r="J893" i="6"/>
  <c r="F894" i="6"/>
  <c r="J894" i="6"/>
  <c r="F895" i="6"/>
  <c r="J895" i="6"/>
  <c r="F896" i="6"/>
  <c r="J896" i="6"/>
  <c r="F897" i="6"/>
  <c r="J897" i="6"/>
  <c r="F898" i="6"/>
  <c r="J898" i="6"/>
  <c r="F899" i="6"/>
  <c r="J899" i="6"/>
  <c r="F900" i="6"/>
  <c r="J900" i="6"/>
  <c r="F901" i="6"/>
  <c r="J901" i="6"/>
  <c r="F902" i="6"/>
  <c r="J902" i="6"/>
  <c r="F903" i="6"/>
  <c r="J903" i="6"/>
  <c r="F904" i="6"/>
  <c r="J904" i="6"/>
  <c r="F905" i="6"/>
  <c r="J905" i="6"/>
  <c r="F906" i="6"/>
  <c r="J906" i="6"/>
  <c r="F907" i="6"/>
  <c r="J907" i="6"/>
  <c r="F908" i="6"/>
  <c r="J908" i="6"/>
  <c r="F909" i="6"/>
  <c r="J909" i="6"/>
  <c r="F910" i="6"/>
  <c r="J910" i="6"/>
  <c r="F911" i="6"/>
  <c r="J911" i="6"/>
  <c r="F912" i="6"/>
  <c r="J912" i="6"/>
  <c r="F913" i="6"/>
  <c r="J913" i="6"/>
  <c r="F914" i="6"/>
  <c r="J914" i="6"/>
  <c r="F915" i="6"/>
  <c r="J915" i="6"/>
  <c r="F916" i="6"/>
  <c r="J916" i="6"/>
  <c r="F917" i="6"/>
  <c r="J917" i="6"/>
  <c r="F918" i="6"/>
  <c r="J918" i="6"/>
  <c r="F919" i="6"/>
  <c r="J919" i="6"/>
  <c r="F920" i="6"/>
  <c r="J920" i="6"/>
  <c r="F921" i="6"/>
  <c r="J921" i="6"/>
  <c r="F922" i="6"/>
  <c r="J922" i="6"/>
  <c r="F923" i="6"/>
  <c r="J923" i="6"/>
  <c r="F924" i="6"/>
  <c r="J924" i="6"/>
  <c r="F925" i="6"/>
  <c r="J925" i="6"/>
  <c r="F926" i="6"/>
  <c r="J926" i="6"/>
  <c r="F927" i="6"/>
  <c r="J927" i="6"/>
  <c r="F928" i="6"/>
  <c r="J928" i="6"/>
  <c r="F929" i="6"/>
  <c r="J929" i="6"/>
  <c r="F930" i="6"/>
  <c r="J930" i="6"/>
  <c r="F931" i="6"/>
  <c r="J931" i="6"/>
  <c r="F932" i="6"/>
  <c r="J932" i="6"/>
  <c r="F933" i="6"/>
  <c r="J933" i="6"/>
  <c r="F934" i="6"/>
  <c r="J934" i="6"/>
  <c r="F935" i="6"/>
  <c r="J935" i="6"/>
  <c r="F936" i="6"/>
  <c r="J936" i="6"/>
  <c r="F937" i="6"/>
  <c r="J937" i="6"/>
  <c r="F938" i="6"/>
  <c r="J938" i="6"/>
  <c r="F939" i="6"/>
  <c r="J939" i="6"/>
  <c r="F940" i="6"/>
  <c r="J940" i="6"/>
  <c r="F941" i="6"/>
  <c r="J941" i="6"/>
  <c r="F942" i="6"/>
  <c r="J942" i="6"/>
  <c r="F943" i="6"/>
  <c r="J943" i="6"/>
  <c r="F944" i="6"/>
  <c r="J944" i="6"/>
  <c r="F945" i="6"/>
  <c r="J945" i="6"/>
  <c r="F946" i="6"/>
  <c r="J946" i="6"/>
  <c r="F947" i="6"/>
  <c r="J947" i="6"/>
  <c r="F948" i="6"/>
  <c r="J948" i="6"/>
  <c r="F949" i="6"/>
  <c r="J949" i="6"/>
  <c r="F950" i="6"/>
  <c r="J950" i="6"/>
  <c r="F951" i="6"/>
  <c r="J951" i="6"/>
  <c r="F952" i="6"/>
  <c r="J952" i="6"/>
  <c r="F953" i="6"/>
  <c r="J953" i="6"/>
  <c r="F954" i="6"/>
  <c r="J954" i="6"/>
  <c r="F955" i="6"/>
  <c r="J955" i="6"/>
  <c r="F956" i="6"/>
  <c r="J956" i="6"/>
  <c r="F957" i="6"/>
  <c r="J957" i="6"/>
  <c r="F958" i="6"/>
  <c r="J958" i="6"/>
  <c r="F959" i="6"/>
  <c r="J959" i="6"/>
  <c r="F960" i="6"/>
  <c r="J960" i="6"/>
  <c r="F961" i="6"/>
  <c r="J961" i="6"/>
  <c r="F962" i="6"/>
  <c r="J962" i="6"/>
  <c r="F963" i="6"/>
  <c r="J963" i="6"/>
  <c r="F964" i="6"/>
  <c r="J964" i="6"/>
  <c r="F965" i="6"/>
  <c r="J965" i="6"/>
  <c r="F966" i="6"/>
  <c r="J966" i="6"/>
  <c r="F967" i="6"/>
  <c r="J967" i="6"/>
  <c r="F968" i="6"/>
  <c r="J968" i="6"/>
  <c r="F969" i="6"/>
  <c r="J969" i="6"/>
  <c r="F970" i="6"/>
  <c r="J970" i="6"/>
  <c r="F971" i="6"/>
  <c r="J971" i="6"/>
  <c r="F972" i="6"/>
  <c r="J972" i="6"/>
  <c r="F973" i="6"/>
  <c r="J973" i="6"/>
  <c r="F974" i="6"/>
  <c r="J974" i="6"/>
  <c r="F975" i="6"/>
  <c r="J975" i="6"/>
  <c r="F976" i="6"/>
  <c r="J976" i="6"/>
  <c r="F977" i="6"/>
  <c r="J977" i="6"/>
  <c r="F978" i="6"/>
  <c r="J978" i="6"/>
  <c r="F979" i="6"/>
  <c r="J979" i="6"/>
  <c r="F980" i="6"/>
  <c r="J980" i="6"/>
  <c r="F981" i="6"/>
  <c r="J981" i="6"/>
  <c r="F982" i="6"/>
  <c r="J982" i="6"/>
  <c r="F983" i="6"/>
  <c r="J983" i="6"/>
  <c r="F984" i="6"/>
  <c r="J984" i="6"/>
  <c r="F985" i="6"/>
  <c r="J985" i="6"/>
  <c r="F986" i="6"/>
  <c r="J986" i="6"/>
  <c r="F987" i="6"/>
  <c r="J987" i="6"/>
  <c r="F988" i="6"/>
  <c r="J988" i="6"/>
  <c r="F989" i="6"/>
  <c r="J989" i="6"/>
  <c r="F990" i="6"/>
  <c r="J990" i="6"/>
  <c r="F991" i="6"/>
  <c r="J991" i="6"/>
  <c r="F992" i="6"/>
  <c r="J992" i="6"/>
  <c r="F993" i="6"/>
  <c r="J993" i="6"/>
  <c r="F994" i="6"/>
  <c r="J994" i="6"/>
  <c r="F995" i="6"/>
  <c r="J995" i="6"/>
  <c r="F996" i="6"/>
  <c r="J996" i="6"/>
  <c r="F997" i="6"/>
  <c r="J997" i="6"/>
  <c r="F998" i="6"/>
  <c r="J998" i="6"/>
  <c r="F999" i="6"/>
  <c r="J999" i="6"/>
  <c r="F1000" i="6"/>
  <c r="J1000" i="6"/>
  <c r="F1001" i="6"/>
  <c r="J1001" i="6"/>
  <c r="F1002" i="6"/>
  <c r="J1002" i="6"/>
  <c r="F1003" i="6"/>
  <c r="J1003" i="6"/>
  <c r="F1004" i="6"/>
  <c r="J1004" i="6"/>
  <c r="F1005" i="6"/>
  <c r="J1005" i="6"/>
  <c r="F1006" i="6"/>
  <c r="J1006" i="6"/>
  <c r="F1007" i="6"/>
  <c r="J1007" i="6"/>
  <c r="F1008" i="6"/>
  <c r="J1008" i="6"/>
  <c r="F1009" i="6"/>
  <c r="J1009" i="6"/>
  <c r="F1010" i="6"/>
  <c r="J1010" i="6"/>
  <c r="F1011" i="6"/>
  <c r="J1011" i="6"/>
  <c r="F1012" i="6"/>
  <c r="J1012" i="6"/>
  <c r="F1013" i="6"/>
  <c r="J1013" i="6"/>
  <c r="F1014" i="6"/>
  <c r="J1014" i="6"/>
  <c r="F1015" i="6"/>
  <c r="J1015" i="6"/>
  <c r="F1016" i="6"/>
  <c r="J1016" i="6"/>
  <c r="F1017" i="6"/>
  <c r="J1017" i="6"/>
  <c r="F1018" i="6"/>
  <c r="J1018" i="6"/>
  <c r="F1019" i="6"/>
  <c r="J1019" i="6"/>
  <c r="F1020" i="6"/>
  <c r="J1020" i="6"/>
  <c r="F1021" i="6"/>
  <c r="J1021" i="6"/>
  <c r="F1022" i="6"/>
  <c r="J1022" i="6"/>
  <c r="F1023" i="6"/>
  <c r="J1023" i="6"/>
  <c r="F1024" i="6"/>
  <c r="J1024" i="6"/>
  <c r="F1025" i="6"/>
  <c r="J1025" i="6"/>
  <c r="F1026" i="6"/>
  <c r="J1026" i="6"/>
  <c r="F1027" i="6"/>
  <c r="J1027" i="6"/>
  <c r="F1028" i="6"/>
  <c r="J1028" i="6"/>
  <c r="F1029" i="6"/>
  <c r="J1029" i="6"/>
  <c r="F1030" i="6"/>
  <c r="J1030" i="6"/>
  <c r="F1031" i="6"/>
  <c r="J1031" i="6"/>
  <c r="F1032" i="6"/>
  <c r="J1032" i="6"/>
  <c r="F1033" i="6"/>
  <c r="J1033" i="6"/>
  <c r="F1034" i="6"/>
  <c r="J1034" i="6"/>
  <c r="F1035" i="6"/>
  <c r="J1035" i="6"/>
  <c r="F1036" i="6"/>
  <c r="J1036" i="6"/>
  <c r="F1037" i="6"/>
  <c r="J1037" i="6"/>
  <c r="F1038" i="6"/>
  <c r="J1038" i="6"/>
  <c r="F1039" i="6"/>
  <c r="J1039" i="6"/>
  <c r="F1040" i="6"/>
  <c r="J1040" i="6"/>
  <c r="F1041" i="6"/>
  <c r="J1041" i="6"/>
  <c r="F1042" i="6"/>
  <c r="J1042" i="6"/>
  <c r="F1043" i="6"/>
  <c r="J1043" i="6"/>
  <c r="F1044" i="6"/>
  <c r="J1044" i="6"/>
  <c r="F1045" i="6"/>
  <c r="J1045" i="6"/>
  <c r="F1046" i="6"/>
  <c r="J1046" i="6"/>
  <c r="F1047" i="6"/>
  <c r="J1047" i="6"/>
  <c r="F1048" i="6"/>
  <c r="J1048" i="6"/>
  <c r="F1049" i="6"/>
  <c r="J1049" i="6"/>
  <c r="F1050" i="6"/>
  <c r="J1050" i="6"/>
  <c r="F1051" i="6"/>
  <c r="J1051" i="6"/>
  <c r="F1052" i="6"/>
  <c r="J1052" i="6"/>
  <c r="F1053" i="6"/>
  <c r="J1053" i="6"/>
  <c r="F1054" i="6"/>
  <c r="J1054" i="6"/>
  <c r="F1055" i="6"/>
  <c r="J1055" i="6"/>
  <c r="F1056" i="6"/>
  <c r="J1056" i="6"/>
  <c r="F1057" i="6"/>
  <c r="J1057" i="6"/>
  <c r="F1058" i="6"/>
  <c r="J1058" i="6"/>
  <c r="F1059" i="6"/>
  <c r="J1059" i="6"/>
  <c r="F1060" i="6"/>
  <c r="J1060" i="6"/>
  <c r="F1061" i="6"/>
  <c r="J1061" i="6"/>
  <c r="F1062" i="6"/>
  <c r="J1062" i="6"/>
  <c r="F1063" i="6"/>
  <c r="J1063" i="6"/>
  <c r="F1064" i="6"/>
  <c r="J1064" i="6"/>
  <c r="F1065" i="6"/>
  <c r="J1065" i="6"/>
  <c r="F1066" i="6"/>
  <c r="J1066" i="6"/>
  <c r="F1067" i="6"/>
  <c r="J1067" i="6"/>
  <c r="F1068" i="6"/>
  <c r="J1068" i="6"/>
  <c r="F1069" i="6"/>
  <c r="J1069" i="6"/>
  <c r="F1070" i="6"/>
  <c r="J1070" i="6"/>
  <c r="F1071" i="6"/>
  <c r="J1071" i="6"/>
  <c r="F1072" i="6"/>
  <c r="J1072" i="6"/>
  <c r="F1073" i="6"/>
  <c r="J1073" i="6"/>
  <c r="F1074" i="6"/>
  <c r="J1074" i="6"/>
  <c r="F1075" i="6"/>
  <c r="J1075" i="6"/>
  <c r="F1076" i="6"/>
  <c r="J1076" i="6"/>
  <c r="F1077" i="6"/>
  <c r="J1077" i="6"/>
  <c r="F1078" i="6"/>
  <c r="J1078" i="6"/>
  <c r="F1079" i="6"/>
  <c r="J1079" i="6"/>
  <c r="F1080" i="6"/>
  <c r="J1080" i="6"/>
  <c r="F1081" i="6"/>
  <c r="J1081" i="6"/>
  <c r="F1082" i="6"/>
  <c r="J1082" i="6"/>
  <c r="F1083" i="6"/>
  <c r="J1083" i="6"/>
  <c r="F1084" i="6"/>
  <c r="J1084" i="6"/>
  <c r="F1085" i="6"/>
  <c r="J1085" i="6"/>
  <c r="F1086" i="6"/>
  <c r="J1086" i="6"/>
  <c r="F1087" i="6"/>
  <c r="J1087" i="6"/>
  <c r="F1088" i="6"/>
  <c r="J1088" i="6"/>
  <c r="F1089" i="6"/>
  <c r="J1089" i="6"/>
  <c r="F1090" i="6"/>
  <c r="J1090" i="6"/>
  <c r="F1091" i="6"/>
  <c r="J1091" i="6"/>
  <c r="F1092" i="6"/>
  <c r="J1092" i="6"/>
  <c r="F1093" i="6"/>
  <c r="J1093" i="6"/>
  <c r="F1094" i="6"/>
  <c r="J1094" i="6"/>
  <c r="F1095" i="6"/>
  <c r="J1095" i="6"/>
  <c r="F1096" i="6"/>
  <c r="J1096" i="6"/>
  <c r="F1097" i="6"/>
  <c r="J1097" i="6"/>
  <c r="F1098" i="6"/>
  <c r="J1098" i="6"/>
  <c r="F1099" i="6"/>
  <c r="J1099" i="6"/>
  <c r="F1100" i="6"/>
  <c r="J1100" i="6"/>
  <c r="F1101" i="6"/>
  <c r="J1101" i="6"/>
  <c r="F1102" i="6"/>
  <c r="J1102" i="6"/>
  <c r="F1103" i="6"/>
  <c r="J1103" i="6"/>
  <c r="F1104" i="6"/>
  <c r="J1104" i="6"/>
  <c r="F1105" i="6"/>
  <c r="J1105" i="6"/>
  <c r="F1106" i="6"/>
  <c r="J1106" i="6"/>
  <c r="F1107" i="6"/>
  <c r="J1107" i="6"/>
  <c r="F1108" i="6"/>
  <c r="J1108" i="6"/>
  <c r="F1109" i="6"/>
  <c r="J1109" i="6"/>
  <c r="F1110" i="6"/>
  <c r="J1110" i="6"/>
  <c r="F1111" i="6"/>
  <c r="J1111" i="6"/>
  <c r="F1112" i="6"/>
  <c r="J1112" i="6"/>
  <c r="F1113" i="6"/>
  <c r="J1113" i="6"/>
  <c r="F1114" i="6"/>
  <c r="J1114" i="6"/>
  <c r="F1115" i="6"/>
  <c r="J1115" i="6"/>
  <c r="F1116" i="6"/>
  <c r="J1116" i="6"/>
  <c r="F1117" i="6"/>
  <c r="J1117" i="6"/>
  <c r="F1118" i="6"/>
  <c r="J1118" i="6"/>
  <c r="F1119" i="6"/>
  <c r="J1119" i="6"/>
  <c r="F1120" i="6"/>
  <c r="J1120" i="6"/>
  <c r="F1121" i="6"/>
  <c r="J1121" i="6"/>
  <c r="F1122" i="6"/>
  <c r="J1122" i="6"/>
  <c r="F1123" i="6"/>
  <c r="J1123" i="6"/>
  <c r="F1124" i="6"/>
  <c r="J1124" i="6"/>
  <c r="F1125" i="6"/>
  <c r="J1125" i="6"/>
  <c r="F1126" i="6"/>
  <c r="J1126" i="6"/>
  <c r="F1127" i="6"/>
  <c r="J1127" i="6"/>
  <c r="F1128" i="6"/>
  <c r="J1128" i="6"/>
  <c r="F1129" i="6"/>
  <c r="J1129" i="6"/>
  <c r="F1130" i="6"/>
  <c r="J1130" i="6"/>
  <c r="F1131" i="6"/>
  <c r="J1131" i="6"/>
  <c r="F1132" i="6"/>
  <c r="J1132" i="6"/>
  <c r="F1133" i="6"/>
  <c r="J1133" i="6"/>
  <c r="F1134" i="6"/>
  <c r="J1134" i="6"/>
  <c r="F1135" i="6"/>
  <c r="J1135" i="6"/>
  <c r="F1136" i="6"/>
  <c r="J1136" i="6"/>
  <c r="F1137" i="6"/>
  <c r="J1137" i="6"/>
  <c r="F1138" i="6"/>
  <c r="J1138" i="6"/>
  <c r="F1139" i="6"/>
  <c r="J1139" i="6"/>
  <c r="F1140" i="6"/>
  <c r="J1140" i="6"/>
  <c r="F1141" i="6"/>
  <c r="J1141" i="6"/>
  <c r="F1142" i="6"/>
  <c r="J1142" i="6"/>
  <c r="F1143" i="6"/>
  <c r="J1143" i="6"/>
  <c r="F1144" i="6"/>
  <c r="J1144" i="6"/>
  <c r="F1145" i="6"/>
  <c r="J1145" i="6"/>
  <c r="F1146" i="6"/>
  <c r="J1146" i="6"/>
  <c r="F1147" i="6"/>
  <c r="J1147" i="6"/>
  <c r="F1148" i="6"/>
  <c r="J1148" i="6"/>
  <c r="F1149" i="6"/>
  <c r="J1149" i="6"/>
  <c r="F1150" i="6"/>
  <c r="J1150" i="6"/>
  <c r="F1151" i="6"/>
  <c r="J1151" i="6"/>
  <c r="F1152" i="6"/>
  <c r="J1152" i="6"/>
  <c r="F1153" i="6"/>
  <c r="J1153" i="6"/>
  <c r="I471" i="6"/>
  <c r="D472" i="6"/>
  <c r="I472" i="6"/>
  <c r="D473" i="6"/>
  <c r="I473" i="6"/>
  <c r="D474" i="6"/>
  <c r="I474" i="6"/>
  <c r="D475" i="6"/>
  <c r="I475" i="6"/>
  <c r="D476" i="6"/>
  <c r="I476" i="6"/>
  <c r="D477" i="6"/>
  <c r="I477" i="6"/>
  <c r="D478" i="6"/>
  <c r="I478" i="6"/>
  <c r="D479" i="6"/>
  <c r="I479" i="6"/>
  <c r="D480" i="6"/>
  <c r="I480" i="6"/>
  <c r="D481" i="6"/>
  <c r="I481" i="6"/>
  <c r="D482" i="6"/>
  <c r="I482" i="6"/>
  <c r="D483" i="6"/>
  <c r="I483" i="6"/>
  <c r="D484" i="6"/>
  <c r="I484" i="6"/>
  <c r="D485" i="6"/>
  <c r="I485" i="6"/>
  <c r="D486" i="6"/>
  <c r="I486" i="6"/>
  <c r="D487" i="6"/>
  <c r="I487" i="6"/>
  <c r="D488" i="6"/>
  <c r="I488" i="6"/>
  <c r="D489" i="6"/>
  <c r="I489" i="6"/>
  <c r="D490" i="6"/>
  <c r="I490" i="6"/>
  <c r="D491" i="6"/>
  <c r="I491" i="6"/>
  <c r="D492" i="6"/>
  <c r="I492" i="6"/>
  <c r="D493" i="6"/>
  <c r="I493" i="6"/>
  <c r="D494" i="6"/>
  <c r="I494" i="6"/>
  <c r="D495" i="6"/>
  <c r="I495" i="6"/>
  <c r="D496" i="6"/>
  <c r="I496" i="6"/>
  <c r="D497" i="6"/>
  <c r="I497" i="6"/>
  <c r="D498" i="6"/>
  <c r="I498" i="6"/>
  <c r="D499" i="6"/>
  <c r="I499" i="6"/>
  <c r="D500" i="6"/>
  <c r="I500" i="6"/>
  <c r="D501" i="6"/>
  <c r="I501" i="6"/>
  <c r="D502" i="6"/>
  <c r="I502" i="6"/>
  <c r="D503" i="6"/>
  <c r="I503" i="6"/>
  <c r="D504" i="6"/>
  <c r="I504" i="6"/>
  <c r="D505" i="6"/>
  <c r="I505" i="6"/>
  <c r="D506" i="6"/>
  <c r="I506" i="6"/>
  <c r="D507" i="6"/>
  <c r="I507" i="6"/>
  <c r="D508" i="6"/>
  <c r="I508" i="6"/>
  <c r="D509" i="6"/>
  <c r="I509" i="6"/>
  <c r="D510" i="6"/>
  <c r="I510" i="6"/>
  <c r="D511" i="6"/>
  <c r="I511" i="6"/>
  <c r="D512" i="6"/>
  <c r="I512" i="6"/>
  <c r="D513" i="6"/>
  <c r="I513" i="6"/>
  <c r="D514" i="6"/>
  <c r="I514" i="6"/>
  <c r="D515" i="6"/>
  <c r="I515" i="6"/>
  <c r="D516" i="6"/>
  <c r="I516" i="6"/>
  <c r="D517" i="6"/>
  <c r="I517" i="6"/>
  <c r="D518" i="6"/>
  <c r="I518" i="6"/>
  <c r="D519" i="6"/>
  <c r="I519" i="6"/>
  <c r="D520" i="6"/>
  <c r="I520" i="6"/>
  <c r="D521" i="6"/>
  <c r="I521" i="6"/>
  <c r="D522" i="6"/>
  <c r="I522" i="6"/>
  <c r="D523" i="6"/>
  <c r="I523" i="6"/>
  <c r="D524" i="6"/>
  <c r="I524" i="6"/>
  <c r="D525" i="6"/>
  <c r="I525" i="6"/>
  <c r="D526" i="6"/>
  <c r="I526" i="6"/>
  <c r="D527" i="6"/>
  <c r="I527" i="6"/>
  <c r="D528" i="6"/>
  <c r="I528" i="6"/>
  <c r="D529" i="6"/>
  <c r="I529" i="6"/>
  <c r="D530" i="6"/>
  <c r="I530" i="6"/>
  <c r="D531" i="6"/>
  <c r="I531" i="6"/>
  <c r="D532" i="6"/>
  <c r="I532" i="6"/>
  <c r="D533" i="6"/>
  <c r="I533" i="6"/>
  <c r="D534" i="6"/>
  <c r="I534" i="6"/>
  <c r="D535" i="6"/>
  <c r="I535" i="6"/>
  <c r="D536" i="6"/>
  <c r="I536" i="6"/>
  <c r="D537" i="6"/>
  <c r="I537" i="6"/>
  <c r="D538" i="6"/>
  <c r="I538" i="6"/>
  <c r="D539" i="6"/>
  <c r="I539" i="6"/>
  <c r="D540" i="6"/>
  <c r="I540" i="6"/>
  <c r="D541" i="6"/>
  <c r="I541" i="6"/>
  <c r="D542" i="6"/>
  <c r="I542" i="6"/>
  <c r="D543" i="6"/>
  <c r="I543" i="6"/>
  <c r="D544" i="6"/>
  <c r="I544" i="6"/>
  <c r="D545" i="6"/>
  <c r="I545" i="6"/>
  <c r="D546" i="6"/>
  <c r="I546" i="6"/>
  <c r="D547" i="6"/>
  <c r="I547" i="6"/>
  <c r="D548" i="6"/>
  <c r="I548" i="6"/>
  <c r="D549" i="6"/>
  <c r="I549" i="6"/>
  <c r="D550" i="6"/>
  <c r="I550" i="6"/>
  <c r="D551" i="6"/>
  <c r="I551" i="6"/>
  <c r="D552" i="6"/>
  <c r="I552" i="6"/>
  <c r="D553" i="6"/>
  <c r="I553" i="6"/>
  <c r="D554" i="6"/>
  <c r="I554" i="6"/>
  <c r="D555" i="6"/>
  <c r="I555" i="6"/>
  <c r="D556" i="6"/>
  <c r="I556" i="6"/>
  <c r="D557" i="6"/>
  <c r="I557" i="6"/>
  <c r="D558" i="6"/>
  <c r="I558" i="6"/>
  <c r="D559" i="6"/>
  <c r="I559" i="6"/>
  <c r="D560" i="6"/>
  <c r="I560" i="6"/>
  <c r="D561" i="6"/>
  <c r="I561" i="6"/>
  <c r="D562" i="6"/>
  <c r="I562" i="6"/>
  <c r="D563" i="6"/>
  <c r="I563" i="6"/>
  <c r="D564" i="6"/>
  <c r="I564" i="6"/>
  <c r="D565" i="6"/>
  <c r="I565" i="6"/>
  <c r="D566" i="6"/>
  <c r="I566" i="6"/>
  <c r="D567" i="6"/>
  <c r="I567" i="6"/>
  <c r="D568" i="6"/>
  <c r="I568" i="6"/>
  <c r="D569" i="6"/>
  <c r="I569" i="6"/>
  <c r="D570" i="6"/>
  <c r="I570" i="6"/>
  <c r="D571" i="6"/>
  <c r="I571" i="6"/>
  <c r="D572" i="6"/>
  <c r="I572" i="6"/>
  <c r="D573" i="6"/>
  <c r="I573" i="6"/>
  <c r="D574" i="6"/>
  <c r="I574" i="6"/>
  <c r="D575" i="6"/>
  <c r="I575" i="6"/>
  <c r="D576" i="6"/>
  <c r="I576" i="6"/>
  <c r="D577" i="6"/>
  <c r="I577" i="6"/>
  <c r="D578" i="6"/>
  <c r="I578" i="6"/>
  <c r="D579" i="6"/>
  <c r="I579" i="6"/>
  <c r="D580" i="6"/>
  <c r="I580" i="6"/>
  <c r="D581" i="6"/>
  <c r="I581" i="6"/>
  <c r="D582" i="6"/>
  <c r="I582" i="6"/>
  <c r="D583" i="6"/>
  <c r="I583" i="6"/>
  <c r="D584" i="6"/>
  <c r="I584" i="6"/>
  <c r="D585" i="6"/>
  <c r="I585" i="6"/>
  <c r="D586" i="6"/>
  <c r="I586" i="6"/>
  <c r="D587" i="6"/>
  <c r="I587" i="6"/>
  <c r="D588" i="6"/>
  <c r="I588" i="6"/>
  <c r="D589" i="6"/>
  <c r="I589" i="6"/>
  <c r="D590" i="6"/>
  <c r="I590" i="6"/>
  <c r="D591" i="6"/>
  <c r="I591" i="6"/>
  <c r="D592" i="6"/>
  <c r="I592" i="6"/>
  <c r="D593" i="6"/>
  <c r="I593" i="6"/>
  <c r="D594" i="6"/>
  <c r="I594" i="6"/>
  <c r="D595" i="6"/>
  <c r="I595" i="6"/>
  <c r="D596" i="6"/>
  <c r="I596" i="6"/>
  <c r="D597" i="6"/>
  <c r="I597" i="6"/>
  <c r="D598" i="6"/>
  <c r="I598" i="6"/>
  <c r="D599" i="6"/>
  <c r="I599" i="6"/>
  <c r="D600" i="6"/>
  <c r="I600" i="6"/>
  <c r="D601" i="6"/>
  <c r="I601" i="6"/>
  <c r="D602" i="6"/>
  <c r="I602" i="6"/>
  <c r="D603" i="6"/>
  <c r="I603" i="6"/>
  <c r="D604" i="6"/>
  <c r="I604" i="6"/>
  <c r="D605" i="6"/>
  <c r="I605" i="6"/>
  <c r="D606" i="6"/>
  <c r="I606" i="6"/>
  <c r="D607" i="6"/>
  <c r="I607" i="6"/>
  <c r="D608" i="6"/>
  <c r="I608" i="6"/>
  <c r="D609" i="6"/>
  <c r="I609" i="6"/>
  <c r="D610" i="6"/>
  <c r="I610" i="6"/>
  <c r="D611" i="6"/>
  <c r="I611" i="6"/>
  <c r="D612" i="6"/>
  <c r="I612" i="6"/>
  <c r="D613" i="6"/>
  <c r="I613" i="6"/>
  <c r="D614" i="6"/>
  <c r="I614" i="6"/>
  <c r="D615" i="6"/>
  <c r="I615" i="6"/>
  <c r="D616" i="6"/>
  <c r="I616" i="6"/>
  <c r="D617" i="6"/>
  <c r="I617" i="6"/>
  <c r="D618" i="6"/>
  <c r="I618" i="6"/>
  <c r="D619" i="6"/>
  <c r="I619" i="6"/>
  <c r="D620" i="6"/>
  <c r="I620" i="6"/>
  <c r="D621" i="6"/>
  <c r="I621" i="6"/>
  <c r="D622" i="6"/>
  <c r="I622" i="6"/>
  <c r="D623" i="6"/>
  <c r="I623" i="6"/>
  <c r="D624" i="6"/>
  <c r="I624" i="6"/>
  <c r="D625" i="6"/>
  <c r="I625" i="6"/>
  <c r="D626" i="6"/>
  <c r="I626" i="6"/>
  <c r="D627" i="6"/>
  <c r="I627" i="6"/>
  <c r="D628" i="6"/>
  <c r="I628" i="6"/>
  <c r="D629" i="6"/>
  <c r="I629" i="6"/>
  <c r="D630" i="6"/>
  <c r="I630" i="6"/>
  <c r="D631" i="6"/>
  <c r="I631" i="6"/>
  <c r="D632" i="6"/>
  <c r="I632" i="6"/>
  <c r="D633" i="6"/>
  <c r="I633" i="6"/>
  <c r="D634" i="6"/>
  <c r="I634" i="6"/>
  <c r="D635" i="6"/>
  <c r="I635" i="6"/>
  <c r="D636" i="6"/>
  <c r="I636" i="6"/>
  <c r="D637" i="6"/>
  <c r="I637" i="6"/>
  <c r="D638" i="6"/>
  <c r="I638" i="6"/>
  <c r="D639" i="6"/>
  <c r="I639" i="6"/>
  <c r="D640" i="6"/>
  <c r="I640" i="6"/>
  <c r="D641" i="6"/>
  <c r="I641" i="6"/>
  <c r="D642" i="6"/>
  <c r="I642" i="6"/>
  <c r="D643" i="6"/>
  <c r="I643" i="6"/>
  <c r="D644" i="6"/>
  <c r="I644" i="6"/>
  <c r="D645" i="6"/>
  <c r="I645" i="6"/>
  <c r="D646" i="6"/>
  <c r="I646" i="6"/>
  <c r="D647" i="6"/>
  <c r="I647" i="6"/>
  <c r="D648" i="6"/>
  <c r="I648" i="6"/>
  <c r="D649" i="6"/>
  <c r="I649" i="6"/>
  <c r="D650" i="6"/>
  <c r="I650" i="6"/>
  <c r="D651" i="6"/>
  <c r="I651" i="6"/>
  <c r="D652" i="6"/>
  <c r="I652" i="6"/>
  <c r="D653" i="6"/>
  <c r="I653" i="6"/>
  <c r="D654" i="6"/>
  <c r="I654" i="6"/>
  <c r="D655" i="6"/>
  <c r="I655" i="6"/>
  <c r="D656" i="6"/>
  <c r="I656" i="6"/>
  <c r="D657" i="6"/>
  <c r="I657" i="6"/>
  <c r="D658" i="6"/>
  <c r="I658" i="6"/>
  <c r="D659" i="6"/>
  <c r="I659" i="6"/>
  <c r="D660" i="6"/>
  <c r="I660" i="6"/>
  <c r="D661" i="6"/>
  <c r="I661" i="6"/>
  <c r="D662" i="6"/>
  <c r="I662" i="6"/>
  <c r="D663" i="6"/>
  <c r="I663" i="6"/>
  <c r="D664" i="6"/>
  <c r="I664" i="6"/>
  <c r="D665" i="6"/>
  <c r="I665" i="6"/>
  <c r="D666" i="6"/>
  <c r="I666" i="6"/>
  <c r="D667" i="6"/>
  <c r="I667" i="6"/>
  <c r="D668" i="6"/>
  <c r="I668" i="6"/>
  <c r="D669" i="6"/>
  <c r="I669" i="6"/>
  <c r="D670" i="6"/>
  <c r="I670" i="6"/>
  <c r="D671" i="6"/>
  <c r="I671" i="6"/>
  <c r="D672" i="6"/>
  <c r="I672" i="6"/>
  <c r="D673" i="6"/>
  <c r="I673" i="6"/>
  <c r="D674" i="6"/>
  <c r="I674" i="6"/>
  <c r="D675" i="6"/>
  <c r="I675" i="6"/>
  <c r="D676" i="6"/>
  <c r="I676" i="6"/>
  <c r="D677" i="6"/>
  <c r="I677" i="6"/>
  <c r="D678" i="6"/>
  <c r="I678" i="6"/>
  <c r="D679" i="6"/>
  <c r="I679" i="6"/>
  <c r="D680" i="6"/>
  <c r="I680" i="6"/>
  <c r="D681" i="6"/>
  <c r="I681" i="6"/>
  <c r="D682" i="6"/>
  <c r="I682" i="6"/>
  <c r="D683" i="6"/>
  <c r="I683" i="6"/>
  <c r="D684" i="6"/>
  <c r="I684" i="6"/>
  <c r="D685" i="6"/>
  <c r="I685" i="6"/>
  <c r="D686" i="6"/>
  <c r="I686" i="6"/>
  <c r="D687" i="6"/>
  <c r="I687" i="6"/>
  <c r="D688" i="6"/>
  <c r="I688" i="6"/>
  <c r="D689" i="6"/>
  <c r="I689" i="6"/>
  <c r="D690" i="6"/>
  <c r="I690" i="6"/>
  <c r="D691" i="6"/>
  <c r="I691" i="6"/>
  <c r="D692" i="6"/>
  <c r="I692" i="6"/>
  <c r="D693" i="6"/>
  <c r="I693" i="6"/>
  <c r="D694" i="6"/>
  <c r="I694" i="6"/>
  <c r="D695" i="6"/>
  <c r="I695" i="6"/>
  <c r="D696" i="6"/>
  <c r="I696" i="6"/>
  <c r="D697" i="6"/>
  <c r="I697" i="6"/>
  <c r="D698" i="6"/>
  <c r="I698" i="6"/>
  <c r="D699" i="6"/>
  <c r="I699" i="6"/>
  <c r="D700" i="6"/>
  <c r="I700" i="6"/>
  <c r="D701" i="6"/>
  <c r="I701" i="6"/>
  <c r="D702" i="6"/>
  <c r="I702" i="6"/>
  <c r="D703" i="6"/>
  <c r="I703" i="6"/>
  <c r="D704" i="6"/>
  <c r="I704" i="6"/>
  <c r="D705" i="6"/>
  <c r="I705" i="6"/>
  <c r="D706" i="6"/>
  <c r="I706" i="6"/>
  <c r="D707" i="6"/>
  <c r="I707" i="6"/>
  <c r="D708" i="6"/>
  <c r="I708" i="6"/>
  <c r="D709" i="6"/>
  <c r="I709" i="6"/>
  <c r="D710" i="6"/>
  <c r="I710" i="6"/>
  <c r="D711" i="6"/>
  <c r="I711" i="6"/>
  <c r="D712" i="6"/>
  <c r="I712" i="6"/>
  <c r="D713" i="6"/>
  <c r="I713" i="6"/>
  <c r="D714" i="6"/>
  <c r="I714" i="6"/>
  <c r="D715" i="6"/>
  <c r="I715" i="6"/>
  <c r="D716" i="6"/>
  <c r="I716" i="6"/>
  <c r="D717" i="6"/>
  <c r="I717" i="6"/>
  <c r="D718" i="6"/>
  <c r="I718" i="6"/>
  <c r="D719" i="6"/>
  <c r="I719" i="6"/>
  <c r="D720" i="6"/>
  <c r="I720" i="6"/>
  <c r="D721" i="6"/>
  <c r="I721" i="6"/>
  <c r="D722" i="6"/>
  <c r="I722" i="6"/>
  <c r="D723" i="6"/>
  <c r="I723" i="6"/>
  <c r="D724" i="6"/>
  <c r="I724" i="6"/>
  <c r="D725" i="6"/>
  <c r="I725" i="6"/>
  <c r="D726" i="6"/>
  <c r="I726" i="6"/>
  <c r="D727" i="6"/>
  <c r="I727" i="6"/>
  <c r="D728" i="6"/>
  <c r="I728" i="6"/>
  <c r="D729" i="6"/>
  <c r="I729" i="6"/>
  <c r="D730" i="6"/>
  <c r="I730" i="6"/>
  <c r="D731" i="6"/>
  <c r="I731" i="6"/>
  <c r="D732" i="6"/>
  <c r="I732" i="6"/>
  <c r="D733" i="6"/>
  <c r="I733" i="6"/>
  <c r="D734" i="6"/>
  <c r="I734" i="6"/>
  <c r="D735" i="6"/>
  <c r="I735" i="6"/>
  <c r="D736" i="6"/>
  <c r="I736" i="6"/>
  <c r="D737" i="6"/>
  <c r="I737" i="6"/>
  <c r="D738" i="6"/>
  <c r="I738" i="6"/>
  <c r="D739" i="6"/>
  <c r="I739" i="6"/>
  <c r="D740" i="6"/>
  <c r="I740" i="6"/>
  <c r="D741" i="6"/>
  <c r="I741" i="6"/>
  <c r="D742" i="6"/>
  <c r="I742" i="6"/>
  <c r="D743" i="6"/>
  <c r="I743" i="6"/>
  <c r="D744" i="6"/>
  <c r="I744" i="6"/>
  <c r="D745" i="6"/>
  <c r="I745" i="6"/>
  <c r="D746" i="6"/>
  <c r="I746" i="6"/>
  <c r="D747" i="6"/>
  <c r="I747" i="6"/>
  <c r="D748" i="6"/>
  <c r="I748" i="6"/>
  <c r="D749" i="6"/>
  <c r="I749" i="6"/>
  <c r="D750" i="6"/>
  <c r="I750" i="6"/>
  <c r="D751" i="6"/>
  <c r="I751" i="6"/>
  <c r="D752" i="6"/>
  <c r="I752" i="6"/>
  <c r="D753" i="6"/>
  <c r="I753" i="6"/>
  <c r="D754" i="6"/>
  <c r="I754" i="6"/>
  <c r="D755" i="6"/>
  <c r="I755" i="6"/>
  <c r="D756" i="6"/>
  <c r="I756" i="6"/>
  <c r="D757" i="6"/>
  <c r="I757" i="6"/>
  <c r="D758" i="6"/>
  <c r="I758" i="6"/>
  <c r="D759" i="6"/>
  <c r="I759" i="6"/>
  <c r="D760" i="6"/>
  <c r="I760" i="6"/>
  <c r="D761" i="6"/>
  <c r="I761" i="6"/>
  <c r="D762" i="6"/>
  <c r="I762" i="6"/>
  <c r="D763" i="6"/>
  <c r="I763" i="6"/>
  <c r="D764" i="6"/>
  <c r="I764" i="6"/>
  <c r="D765" i="6"/>
  <c r="I765" i="6"/>
  <c r="D766" i="6"/>
  <c r="I766" i="6"/>
  <c r="D767" i="6"/>
  <c r="I767" i="6"/>
  <c r="D768" i="6"/>
  <c r="I768" i="6"/>
  <c r="D769" i="6"/>
  <c r="I769" i="6"/>
  <c r="D770" i="6"/>
  <c r="I770" i="6"/>
  <c r="D771" i="6"/>
  <c r="I771" i="6"/>
  <c r="D772" i="6"/>
  <c r="I772" i="6"/>
  <c r="D773" i="6"/>
  <c r="I773" i="6"/>
  <c r="D774" i="6"/>
  <c r="I774" i="6"/>
  <c r="D775" i="6"/>
  <c r="I775" i="6"/>
  <c r="D776" i="6"/>
  <c r="I776" i="6"/>
  <c r="D777" i="6"/>
  <c r="I777" i="6"/>
  <c r="D778" i="6"/>
  <c r="I778" i="6"/>
  <c r="D779" i="6"/>
  <c r="I779" i="6"/>
  <c r="D780" i="6"/>
  <c r="I780" i="6"/>
  <c r="D781" i="6"/>
  <c r="I781" i="6"/>
  <c r="D782" i="6"/>
  <c r="I782" i="6"/>
  <c r="D783" i="6"/>
  <c r="I783" i="6"/>
  <c r="D784" i="6"/>
  <c r="I784" i="6"/>
  <c r="D785" i="6"/>
  <c r="I785" i="6"/>
  <c r="D786" i="6"/>
  <c r="I786" i="6"/>
  <c r="D787" i="6"/>
  <c r="I787" i="6"/>
  <c r="D788" i="6"/>
  <c r="I788" i="6"/>
  <c r="D789" i="6"/>
  <c r="I789" i="6"/>
  <c r="D790" i="6"/>
  <c r="I790" i="6"/>
  <c r="D791" i="6"/>
  <c r="I791" i="6"/>
  <c r="D792" i="6"/>
  <c r="I792" i="6"/>
  <c r="D793" i="6"/>
  <c r="I793" i="6"/>
  <c r="D794" i="6"/>
  <c r="I794" i="6"/>
  <c r="D795" i="6"/>
  <c r="I795" i="6"/>
  <c r="D796" i="6"/>
  <c r="I796" i="6"/>
  <c r="D797" i="6"/>
  <c r="I797" i="6"/>
  <c r="D798" i="6"/>
  <c r="I798" i="6"/>
  <c r="D799" i="6"/>
  <c r="I799" i="6"/>
  <c r="D800" i="6"/>
  <c r="I800" i="6"/>
  <c r="D801" i="6"/>
  <c r="I801" i="6"/>
  <c r="D802" i="6"/>
  <c r="I802" i="6"/>
  <c r="D803" i="6"/>
  <c r="I803" i="6"/>
  <c r="D804" i="6"/>
  <c r="I804" i="6"/>
  <c r="D805" i="6"/>
  <c r="I805" i="6"/>
  <c r="D806" i="6"/>
  <c r="I806" i="6"/>
  <c r="D807" i="6"/>
  <c r="I807" i="6"/>
  <c r="D808" i="6"/>
  <c r="I808" i="6"/>
  <c r="D809" i="6"/>
  <c r="I809" i="6"/>
  <c r="D810" i="6"/>
  <c r="I810" i="6"/>
  <c r="D811" i="6"/>
  <c r="I811" i="6"/>
  <c r="D812" i="6"/>
  <c r="I812" i="6"/>
  <c r="D813" i="6"/>
  <c r="I813" i="6"/>
  <c r="D814" i="6"/>
  <c r="I814" i="6"/>
  <c r="D815" i="6"/>
  <c r="I815" i="6"/>
  <c r="D816" i="6"/>
  <c r="I816" i="6"/>
  <c r="D817" i="6"/>
  <c r="I817" i="6"/>
  <c r="D818" i="6"/>
  <c r="I818" i="6"/>
  <c r="D819" i="6"/>
  <c r="I819" i="6"/>
  <c r="D820" i="6"/>
  <c r="I820" i="6"/>
  <c r="D821" i="6"/>
  <c r="I821" i="6"/>
  <c r="D822" i="6"/>
  <c r="I822" i="6"/>
  <c r="D823" i="6"/>
  <c r="I823" i="6"/>
  <c r="D824" i="6"/>
  <c r="I824" i="6"/>
  <c r="D825" i="6"/>
  <c r="I825" i="6"/>
  <c r="D826" i="6"/>
  <c r="I826" i="6"/>
  <c r="D827" i="6"/>
  <c r="I827" i="6"/>
  <c r="D828" i="6"/>
  <c r="I828" i="6"/>
  <c r="D829" i="6"/>
  <c r="I829" i="6"/>
  <c r="D830" i="6"/>
  <c r="I830" i="6"/>
  <c r="D831" i="6"/>
  <c r="I831" i="6"/>
  <c r="D832" i="6"/>
  <c r="I832" i="6"/>
  <c r="D833" i="6"/>
  <c r="I833" i="6"/>
  <c r="D834" i="6"/>
  <c r="I834" i="6"/>
  <c r="D835" i="6"/>
  <c r="I835" i="6"/>
  <c r="D836" i="6"/>
  <c r="I836" i="6"/>
  <c r="D837" i="6"/>
  <c r="I837" i="6"/>
  <c r="D838" i="6"/>
  <c r="I838" i="6"/>
  <c r="D839" i="6"/>
  <c r="I839" i="6"/>
  <c r="D840" i="6"/>
  <c r="I840" i="6"/>
  <c r="D841" i="6"/>
  <c r="I841" i="6"/>
  <c r="D842" i="6"/>
  <c r="I842" i="6"/>
  <c r="D843" i="6"/>
  <c r="I843" i="6"/>
  <c r="D844" i="6"/>
  <c r="I844" i="6"/>
  <c r="D845" i="6"/>
  <c r="I845" i="6"/>
  <c r="D846" i="6"/>
  <c r="I846" i="6"/>
  <c r="D847" i="6"/>
  <c r="I847" i="6"/>
  <c r="D848" i="6"/>
  <c r="I848" i="6"/>
  <c r="D849" i="6"/>
  <c r="I849" i="6"/>
  <c r="D850" i="6"/>
  <c r="I850" i="6"/>
  <c r="D851" i="6"/>
  <c r="I851" i="6"/>
  <c r="D852" i="6"/>
  <c r="I852" i="6"/>
  <c r="D853" i="6"/>
  <c r="I853" i="6"/>
  <c r="D854" i="6"/>
  <c r="I854" i="6"/>
  <c r="D855" i="6"/>
  <c r="I855" i="6"/>
  <c r="D856" i="6"/>
  <c r="I856" i="6"/>
  <c r="D857" i="6"/>
  <c r="I857" i="6"/>
  <c r="D858" i="6"/>
  <c r="I858" i="6"/>
  <c r="D859" i="6"/>
  <c r="I859" i="6"/>
  <c r="D860" i="6"/>
  <c r="I860" i="6"/>
  <c r="D861" i="6"/>
  <c r="I861" i="6"/>
  <c r="D862" i="6"/>
  <c r="I862" i="6"/>
  <c r="D863" i="6"/>
  <c r="I863" i="6"/>
  <c r="D864" i="6"/>
  <c r="I864" i="6"/>
  <c r="D865" i="6"/>
  <c r="I865" i="6"/>
  <c r="D866" i="6"/>
  <c r="I866" i="6"/>
  <c r="D867" i="6"/>
  <c r="I867" i="6"/>
  <c r="D868" i="6"/>
  <c r="I868" i="6"/>
  <c r="D869" i="6"/>
  <c r="I869" i="6"/>
  <c r="D870" i="6"/>
  <c r="I870" i="6"/>
  <c r="D871" i="6"/>
  <c r="I871" i="6"/>
  <c r="D872" i="6"/>
  <c r="I872" i="6"/>
  <c r="D873" i="6"/>
  <c r="I873" i="6"/>
  <c r="D874" i="6"/>
  <c r="I874" i="6"/>
  <c r="D875" i="6"/>
  <c r="I875" i="6"/>
  <c r="D876" i="6"/>
  <c r="I876" i="6"/>
  <c r="D877" i="6"/>
  <c r="I877" i="6"/>
  <c r="D878" i="6"/>
  <c r="I878" i="6"/>
  <c r="D879" i="6"/>
  <c r="I879" i="6"/>
  <c r="D880" i="6"/>
  <c r="I880" i="6"/>
  <c r="D881" i="6"/>
  <c r="I881" i="6"/>
  <c r="D882" i="6"/>
  <c r="I882" i="6"/>
  <c r="D883" i="6"/>
  <c r="I883" i="6"/>
  <c r="D884" i="6"/>
  <c r="I884" i="6"/>
  <c r="D885" i="6"/>
  <c r="I885" i="6"/>
  <c r="D886" i="6"/>
  <c r="I886" i="6"/>
  <c r="D887" i="6"/>
  <c r="I887" i="6"/>
  <c r="D888" i="6"/>
  <c r="I888" i="6"/>
  <c r="D889" i="6"/>
  <c r="I889" i="6"/>
  <c r="D890" i="6"/>
  <c r="I890" i="6"/>
  <c r="D891" i="6"/>
  <c r="I891" i="6"/>
  <c r="D892" i="6"/>
  <c r="I892" i="6"/>
  <c r="D893" i="6"/>
  <c r="I893" i="6"/>
  <c r="D894" i="6"/>
  <c r="I894" i="6"/>
  <c r="D895" i="6"/>
  <c r="I895" i="6"/>
  <c r="D896" i="6"/>
  <c r="I896" i="6"/>
  <c r="D897" i="6"/>
  <c r="I897" i="6"/>
  <c r="D898" i="6"/>
  <c r="I898" i="6"/>
  <c r="D899" i="6"/>
  <c r="I899" i="6"/>
  <c r="D900" i="6"/>
  <c r="I900" i="6"/>
  <c r="D901" i="6"/>
  <c r="I901" i="6"/>
  <c r="D902" i="6"/>
  <c r="I902" i="6"/>
  <c r="D903" i="6"/>
  <c r="I903" i="6"/>
  <c r="D904" i="6"/>
  <c r="I904" i="6"/>
  <c r="D905" i="6"/>
  <c r="I905" i="6"/>
  <c r="D906" i="6"/>
  <c r="I906" i="6"/>
  <c r="D907" i="6"/>
  <c r="I907" i="6"/>
  <c r="D908" i="6"/>
  <c r="I908" i="6"/>
  <c r="D909" i="6"/>
  <c r="I909" i="6"/>
  <c r="D910" i="6"/>
  <c r="I910" i="6"/>
  <c r="D911" i="6"/>
  <c r="I911" i="6"/>
  <c r="D912" i="6"/>
  <c r="I912" i="6"/>
  <c r="D913" i="6"/>
  <c r="I913" i="6"/>
  <c r="D914" i="6"/>
  <c r="I914" i="6"/>
  <c r="D915" i="6"/>
  <c r="I915" i="6"/>
  <c r="D916" i="6"/>
  <c r="I916" i="6"/>
  <c r="D917" i="6"/>
  <c r="I917" i="6"/>
  <c r="D918" i="6"/>
  <c r="I918" i="6"/>
  <c r="D919" i="6"/>
  <c r="I919" i="6"/>
  <c r="D920" i="6"/>
  <c r="I920" i="6"/>
  <c r="D921" i="6"/>
  <c r="I921" i="6"/>
  <c r="D922" i="6"/>
  <c r="I922" i="6"/>
  <c r="D923" i="6"/>
  <c r="I923" i="6"/>
  <c r="D924" i="6"/>
  <c r="I924" i="6"/>
  <c r="D925" i="6"/>
  <c r="I925" i="6"/>
  <c r="D926" i="6"/>
  <c r="I926" i="6"/>
  <c r="D927" i="6"/>
  <c r="I927" i="6"/>
  <c r="D928" i="6"/>
  <c r="I928" i="6"/>
  <c r="D929" i="6"/>
  <c r="I929" i="6"/>
  <c r="D930" i="6"/>
  <c r="I930" i="6"/>
  <c r="D931" i="6"/>
  <c r="I931" i="6"/>
  <c r="D932" i="6"/>
  <c r="I932" i="6"/>
  <c r="D933" i="6"/>
  <c r="I933" i="6"/>
  <c r="D934" i="6"/>
  <c r="I934" i="6"/>
  <c r="D935" i="6"/>
  <c r="I935" i="6"/>
  <c r="D936" i="6"/>
  <c r="I936" i="6"/>
  <c r="D937" i="6"/>
  <c r="I937" i="6"/>
  <c r="D938" i="6"/>
  <c r="I938" i="6"/>
  <c r="D939" i="6"/>
  <c r="I939" i="6"/>
  <c r="D940" i="6"/>
  <c r="I940" i="6"/>
  <c r="D941" i="6"/>
  <c r="I941" i="6"/>
  <c r="D942" i="6"/>
  <c r="I942" i="6"/>
  <c r="D943" i="6"/>
  <c r="I943" i="6"/>
  <c r="D944" i="6"/>
  <c r="I944" i="6"/>
  <c r="D945" i="6"/>
  <c r="I945" i="6"/>
  <c r="D946" i="6"/>
  <c r="I946" i="6"/>
  <c r="D947" i="6"/>
  <c r="I947" i="6"/>
  <c r="D948" i="6"/>
  <c r="I948" i="6"/>
  <c r="D949" i="6"/>
  <c r="I949" i="6"/>
  <c r="D950" i="6"/>
  <c r="I950" i="6"/>
  <c r="D951" i="6"/>
  <c r="I951" i="6"/>
  <c r="D952" i="6"/>
  <c r="I952" i="6"/>
  <c r="D953" i="6"/>
  <c r="I953" i="6"/>
  <c r="D954" i="6"/>
  <c r="I954" i="6"/>
  <c r="D955" i="6"/>
  <c r="I955" i="6"/>
  <c r="D956" i="6"/>
  <c r="I956" i="6"/>
  <c r="D957" i="6"/>
  <c r="I957" i="6"/>
  <c r="D958" i="6"/>
  <c r="I958" i="6"/>
  <c r="D959" i="6"/>
  <c r="I959" i="6"/>
  <c r="D960" i="6"/>
  <c r="I960" i="6"/>
  <c r="D961" i="6"/>
  <c r="I961" i="6"/>
  <c r="D962" i="6"/>
  <c r="I962" i="6"/>
  <c r="D963" i="6"/>
  <c r="I963" i="6"/>
  <c r="D964" i="6"/>
  <c r="I964" i="6"/>
  <c r="D965" i="6"/>
  <c r="I965" i="6"/>
  <c r="D966" i="6"/>
  <c r="I966" i="6"/>
  <c r="D967" i="6"/>
  <c r="I967" i="6"/>
  <c r="D968" i="6"/>
  <c r="I968" i="6"/>
  <c r="D969" i="6"/>
  <c r="I969" i="6"/>
  <c r="D970" i="6"/>
  <c r="I970" i="6"/>
  <c r="D971" i="6"/>
  <c r="I971" i="6"/>
  <c r="D972" i="6"/>
  <c r="I972" i="6"/>
  <c r="D973" i="6"/>
  <c r="I973" i="6"/>
  <c r="D974" i="6"/>
  <c r="I974" i="6"/>
  <c r="D975" i="6"/>
  <c r="I975" i="6"/>
  <c r="D976" i="6"/>
  <c r="I976" i="6"/>
  <c r="D977" i="6"/>
  <c r="I977" i="6"/>
  <c r="D978" i="6"/>
  <c r="I978" i="6"/>
  <c r="D979" i="6"/>
  <c r="I979" i="6"/>
  <c r="D980" i="6"/>
  <c r="I980" i="6"/>
  <c r="D981" i="6"/>
  <c r="I981" i="6"/>
  <c r="D982" i="6"/>
  <c r="I982" i="6"/>
  <c r="D983" i="6"/>
  <c r="I983" i="6"/>
  <c r="D984" i="6"/>
  <c r="I984" i="6"/>
  <c r="D985" i="6"/>
  <c r="I985" i="6"/>
  <c r="D986" i="6"/>
  <c r="I986" i="6"/>
  <c r="D987" i="6"/>
  <c r="I987" i="6"/>
  <c r="D988" i="6"/>
  <c r="I988" i="6"/>
  <c r="D989" i="6"/>
  <c r="I989" i="6"/>
  <c r="D990" i="6"/>
  <c r="I990" i="6"/>
  <c r="D991" i="6"/>
  <c r="I991" i="6"/>
  <c r="D992" i="6"/>
  <c r="I992" i="6"/>
  <c r="D993" i="6"/>
  <c r="I993" i="6"/>
  <c r="D994" i="6"/>
  <c r="I994" i="6"/>
  <c r="D995" i="6"/>
  <c r="I995" i="6"/>
  <c r="D996" i="6"/>
  <c r="I996" i="6"/>
  <c r="D997" i="6"/>
  <c r="I997" i="6"/>
  <c r="D998" i="6"/>
  <c r="I998" i="6"/>
  <c r="D999" i="6"/>
  <c r="I999" i="6"/>
  <c r="D1000" i="6"/>
  <c r="I1000" i="6"/>
  <c r="D1001" i="6"/>
  <c r="I1001" i="6"/>
  <c r="D1002" i="6"/>
  <c r="I1002" i="6"/>
  <c r="D1003" i="6"/>
  <c r="I1003" i="6"/>
  <c r="D1004" i="6"/>
  <c r="I1004" i="6"/>
  <c r="D1005" i="6"/>
  <c r="I1005" i="6"/>
  <c r="D1006" i="6"/>
  <c r="I1006" i="6"/>
  <c r="D1007" i="6"/>
  <c r="I1007" i="6"/>
  <c r="D1008" i="6"/>
  <c r="I1008" i="6"/>
  <c r="D1009" i="6"/>
  <c r="I1009" i="6"/>
  <c r="D1010" i="6"/>
  <c r="I1010" i="6"/>
  <c r="D1011" i="6"/>
  <c r="I1011" i="6"/>
  <c r="D1012" i="6"/>
  <c r="I1012" i="6"/>
  <c r="D1013" i="6"/>
  <c r="I1013" i="6"/>
  <c r="D1014" i="6"/>
  <c r="I1014" i="6"/>
  <c r="D1015" i="6"/>
  <c r="I1015" i="6"/>
  <c r="D1016" i="6"/>
  <c r="I1016" i="6"/>
  <c r="D1017" i="6"/>
  <c r="I1017" i="6"/>
  <c r="D1018" i="6"/>
  <c r="I1018" i="6"/>
  <c r="D1019" i="6"/>
  <c r="I1019" i="6"/>
  <c r="D1020" i="6"/>
  <c r="I1020" i="6"/>
  <c r="D1021" i="6"/>
  <c r="I1021" i="6"/>
  <c r="D1022" i="6"/>
  <c r="I1022" i="6"/>
  <c r="D1023" i="6"/>
  <c r="I1023" i="6"/>
  <c r="D1024" i="6"/>
  <c r="I1024" i="6"/>
  <c r="D1025" i="6"/>
  <c r="I1025" i="6"/>
  <c r="D1026" i="6"/>
  <c r="I1026" i="6"/>
  <c r="D1027" i="6"/>
  <c r="I1027" i="6"/>
  <c r="D1028" i="6"/>
  <c r="I1028" i="6"/>
  <c r="D1029" i="6"/>
  <c r="I1029" i="6"/>
  <c r="D1030" i="6"/>
  <c r="I1030" i="6"/>
  <c r="D1031" i="6"/>
  <c r="I1031" i="6"/>
  <c r="D1032" i="6"/>
  <c r="I1032" i="6"/>
  <c r="D1033" i="6"/>
  <c r="I1033" i="6"/>
  <c r="D1034" i="6"/>
  <c r="I1034" i="6"/>
  <c r="D1035" i="6"/>
  <c r="I1035" i="6"/>
  <c r="D1036" i="6"/>
  <c r="I1036" i="6"/>
  <c r="D1037" i="6"/>
  <c r="I1037" i="6"/>
  <c r="D1038" i="6"/>
  <c r="I1038" i="6"/>
  <c r="D1039" i="6"/>
  <c r="I1039" i="6"/>
  <c r="D1040" i="6"/>
  <c r="I1040" i="6"/>
  <c r="D1041" i="6"/>
  <c r="I1041" i="6"/>
  <c r="D1042" i="6"/>
  <c r="I1042" i="6"/>
  <c r="D1043" i="6"/>
  <c r="I1043" i="6"/>
  <c r="D1044" i="6"/>
  <c r="I1044" i="6"/>
  <c r="D1045" i="6"/>
  <c r="I1045" i="6"/>
  <c r="D1046" i="6"/>
  <c r="I1046" i="6"/>
  <c r="D1047" i="6"/>
  <c r="I1047" i="6"/>
  <c r="D1048" i="6"/>
  <c r="I1048" i="6"/>
  <c r="D1049" i="6"/>
  <c r="I1049" i="6"/>
  <c r="D1050" i="6"/>
  <c r="I1050" i="6"/>
  <c r="D1051" i="6"/>
  <c r="I1051" i="6"/>
  <c r="D1052" i="6"/>
  <c r="I1052" i="6"/>
  <c r="D1053" i="6"/>
  <c r="I1053" i="6"/>
  <c r="D1054" i="6"/>
  <c r="I1054" i="6"/>
  <c r="D1055" i="6"/>
  <c r="I1055" i="6"/>
  <c r="D1056" i="6"/>
  <c r="I1056" i="6"/>
  <c r="D1057" i="6"/>
  <c r="I1057" i="6"/>
  <c r="D1058" i="6"/>
  <c r="I1058" i="6"/>
  <c r="D1059" i="6"/>
  <c r="I1059" i="6"/>
  <c r="D1060" i="6"/>
  <c r="I1060" i="6"/>
  <c r="D1061" i="6"/>
  <c r="I1061" i="6"/>
  <c r="D1062" i="6"/>
  <c r="I1062" i="6"/>
  <c r="D1063" i="6"/>
  <c r="I1063" i="6"/>
  <c r="D1064" i="6"/>
  <c r="I1064" i="6"/>
  <c r="D1065" i="6"/>
  <c r="I1065" i="6"/>
  <c r="D1066" i="6"/>
  <c r="I1066" i="6"/>
  <c r="D1067" i="6"/>
  <c r="I1067" i="6"/>
  <c r="D1068" i="6"/>
  <c r="I1068" i="6"/>
  <c r="D1069" i="6"/>
  <c r="I1069" i="6"/>
  <c r="D1070" i="6"/>
  <c r="I1070" i="6"/>
  <c r="D1071" i="6"/>
  <c r="I1071" i="6"/>
  <c r="D1072" i="6"/>
  <c r="I1072" i="6"/>
  <c r="D1073" i="6"/>
  <c r="I1073" i="6"/>
  <c r="D1074" i="6"/>
  <c r="I1074" i="6"/>
  <c r="D1075" i="6"/>
  <c r="I1075" i="6"/>
  <c r="D1076" i="6"/>
  <c r="I1076" i="6"/>
  <c r="D1077" i="6"/>
  <c r="I1077" i="6"/>
  <c r="D1078" i="6"/>
  <c r="I1078" i="6"/>
  <c r="D1079" i="6"/>
  <c r="I1079" i="6"/>
  <c r="D1080" i="6"/>
  <c r="I1080" i="6"/>
  <c r="D1081" i="6"/>
  <c r="I1081" i="6"/>
  <c r="D1082" i="6"/>
  <c r="I1082" i="6"/>
  <c r="D1083" i="6"/>
  <c r="I1083" i="6"/>
  <c r="D1084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G1154" i="6"/>
  <c r="K895" i="6"/>
  <c r="G1155" i="6"/>
  <c r="K896" i="6"/>
  <c r="G1156" i="6"/>
  <c r="K897" i="6"/>
  <c r="G1157" i="6"/>
  <c r="K898" i="6"/>
  <c r="G1158" i="6"/>
  <c r="K899" i="6"/>
  <c r="G1159" i="6"/>
  <c r="K900" i="6"/>
  <c r="G1160" i="6"/>
  <c r="K901" i="6"/>
  <c r="G1161" i="6"/>
  <c r="K902" i="6"/>
  <c r="G1162" i="6"/>
  <c r="K903" i="6"/>
  <c r="G1163" i="6"/>
  <c r="K904" i="6"/>
  <c r="G1164" i="6"/>
  <c r="K905" i="6"/>
  <c r="G1165" i="6"/>
  <c r="K906" i="6"/>
  <c r="G1166" i="6"/>
  <c r="K907" i="6"/>
  <c r="G1167" i="6"/>
  <c r="K908" i="6"/>
  <c r="G1168" i="6"/>
  <c r="K909" i="6"/>
  <c r="G1169" i="6"/>
  <c r="K910" i="6"/>
  <c r="G1170" i="6"/>
  <c r="K911" i="6"/>
  <c r="G1171" i="6"/>
  <c r="K912" i="6"/>
  <c r="G1172" i="6"/>
  <c r="K913" i="6"/>
  <c r="G1173" i="6"/>
  <c r="K914" i="6"/>
  <c r="G1174" i="6"/>
  <c r="K915" i="6"/>
  <c r="H1175" i="6"/>
  <c r="L1175" i="6"/>
  <c r="I1176" i="6"/>
  <c r="F1177" i="6"/>
  <c r="J1177" i="6"/>
  <c r="G1178" i="6"/>
  <c r="K919" i="6"/>
  <c r="H1179" i="6"/>
  <c r="L1179" i="6"/>
  <c r="I1180" i="6"/>
  <c r="F1181" i="6"/>
  <c r="J1181" i="6"/>
  <c r="G1182" i="6"/>
  <c r="K923" i="6"/>
  <c r="H1183" i="6"/>
  <c r="L1183" i="6"/>
  <c r="I1184" i="6"/>
  <c r="F1185" i="6"/>
  <c r="J1185" i="6"/>
  <c r="G1186" i="6"/>
  <c r="K927" i="6"/>
  <c r="H1187" i="6"/>
  <c r="L1187" i="6"/>
  <c r="I1188" i="6"/>
  <c r="F1189" i="6"/>
  <c r="J1189" i="6"/>
  <c r="G1190" i="6"/>
  <c r="K931" i="6"/>
  <c r="H1191" i="6"/>
  <c r="L1191" i="6"/>
  <c r="I1192" i="6"/>
  <c r="F1193" i="6"/>
  <c r="J1193" i="6"/>
  <c r="G1194" i="6"/>
  <c r="K935" i="6"/>
  <c r="H1195" i="6"/>
  <c r="L1195" i="6"/>
  <c r="I1196" i="6"/>
  <c r="F1197" i="6"/>
  <c r="J1197" i="6"/>
  <c r="G1198" i="6"/>
  <c r="K939" i="6"/>
  <c r="H1199" i="6"/>
  <c r="L1199" i="6"/>
  <c r="I1200" i="6"/>
  <c r="F1201" i="6"/>
  <c r="J1201" i="6"/>
  <c r="G1202" i="6"/>
  <c r="K943" i="6"/>
  <c r="H1203" i="6"/>
  <c r="L1203" i="6"/>
  <c r="I1204" i="6"/>
  <c r="F1205" i="6"/>
  <c r="J1205" i="6"/>
  <c r="G1206" i="6"/>
  <c r="K947" i="6"/>
  <c r="H1207" i="6"/>
  <c r="L1207" i="6"/>
  <c r="I1208" i="6"/>
  <c r="F1209" i="6"/>
  <c r="J1209" i="6"/>
  <c r="G1210" i="6"/>
  <c r="K951" i="6"/>
  <c r="H1211" i="6"/>
  <c r="L1211" i="6"/>
  <c r="I1212" i="6"/>
  <c r="F1213" i="6"/>
  <c r="J1213" i="6"/>
  <c r="G1214" i="6"/>
  <c r="K955" i="6"/>
  <c r="H1215" i="6"/>
  <c r="L1215" i="6"/>
  <c r="I1216" i="6"/>
  <c r="F1217" i="6"/>
  <c r="J1217" i="6"/>
  <c r="G1218" i="6"/>
  <c r="K959" i="6"/>
  <c r="H1219" i="6"/>
  <c r="L1219" i="6"/>
  <c r="I1220" i="6"/>
  <c r="F1221" i="6"/>
  <c r="J1221" i="6"/>
  <c r="G1222" i="6"/>
  <c r="K963" i="6"/>
  <c r="H1223" i="6"/>
  <c r="L1223" i="6"/>
  <c r="I1224" i="6"/>
  <c r="F1225" i="6"/>
  <c r="J1225" i="6"/>
  <c r="G1226" i="6"/>
  <c r="K967" i="6"/>
  <c r="H1227" i="6"/>
  <c r="L1227" i="6"/>
  <c r="I1228" i="6"/>
  <c r="F1229" i="6"/>
  <c r="J1229" i="6"/>
  <c r="G1230" i="6"/>
  <c r="K971" i="6"/>
  <c r="H1231" i="6"/>
  <c r="L1231" i="6"/>
  <c r="I1232" i="6"/>
  <c r="F1233" i="6"/>
  <c r="J1233" i="6"/>
  <c r="G1234" i="6"/>
  <c r="K975" i="6"/>
  <c r="H1235" i="6"/>
  <c r="L1235" i="6"/>
  <c r="I1236" i="6"/>
  <c r="F1237" i="6"/>
  <c r="J1237" i="6"/>
  <c r="G1238" i="6"/>
  <c r="K979" i="6"/>
  <c r="H1239" i="6"/>
  <c r="L1239" i="6"/>
  <c r="I1240" i="6"/>
  <c r="F1241" i="6"/>
  <c r="J1241" i="6"/>
  <c r="G1242" i="6"/>
  <c r="K983" i="6"/>
  <c r="H1243" i="6"/>
  <c r="L1243" i="6"/>
  <c r="I1244" i="6"/>
  <c r="F1245" i="6"/>
  <c r="J1245" i="6"/>
  <c r="G1246" i="6"/>
  <c r="K987" i="6"/>
  <c r="H1247" i="6"/>
  <c r="L1247" i="6"/>
  <c r="I1248" i="6"/>
  <c r="F1249" i="6"/>
  <c r="J1249" i="6"/>
  <c r="G1250" i="6"/>
  <c r="K991" i="6"/>
  <c r="H1251" i="6"/>
  <c r="L1251" i="6"/>
  <c r="I1252" i="6"/>
  <c r="F1253" i="6"/>
  <c r="J1253" i="6"/>
  <c r="G1254" i="6"/>
  <c r="K995" i="6"/>
  <c r="H1255" i="6"/>
  <c r="L1255" i="6"/>
  <c r="I1256" i="6"/>
  <c r="F1257" i="6"/>
  <c r="J1257" i="6"/>
  <c r="G1258" i="6"/>
  <c r="K999" i="6"/>
  <c r="H1259" i="6"/>
  <c r="L1259" i="6"/>
  <c r="I1260" i="6"/>
  <c r="F1261" i="6"/>
  <c r="J1261" i="6"/>
  <c r="G1262" i="6"/>
  <c r="K1003" i="6"/>
  <c r="H1263" i="6"/>
  <c r="L1263" i="6"/>
  <c r="I1264" i="6"/>
  <c r="F1265" i="6"/>
  <c r="J1265" i="6"/>
  <c r="G1266" i="6"/>
  <c r="K1007" i="6"/>
  <c r="H1267" i="6"/>
  <c r="L1267" i="6"/>
  <c r="I1268" i="6"/>
  <c r="F1269" i="6"/>
  <c r="J1269" i="6"/>
  <c r="G1270" i="6"/>
  <c r="K1011" i="6"/>
  <c r="H1271" i="6"/>
  <c r="L1271" i="6"/>
  <c r="I1272" i="6"/>
  <c r="F1273" i="6"/>
  <c r="J1273" i="6"/>
  <c r="G1274" i="6"/>
  <c r="K1015" i="6"/>
  <c r="H1275" i="6"/>
  <c r="L1275" i="6"/>
  <c r="I1276" i="6"/>
  <c r="F1277" i="6"/>
  <c r="J1277" i="6"/>
  <c r="G1278" i="6"/>
  <c r="K1019" i="6"/>
  <c r="H1279" i="6"/>
  <c r="L1279" i="6"/>
  <c r="I1280" i="6"/>
  <c r="F1281" i="6"/>
  <c r="J1281" i="6"/>
  <c r="G1282" i="6"/>
  <c r="K1023" i="6"/>
  <c r="H1283" i="6"/>
  <c r="L1283" i="6"/>
  <c r="I1284" i="6"/>
  <c r="F1285" i="6"/>
  <c r="J1285" i="6"/>
  <c r="G1286" i="6"/>
  <c r="K1027" i="6"/>
  <c r="H1287" i="6"/>
  <c r="L1287" i="6"/>
  <c r="I1288" i="6"/>
  <c r="F1289" i="6"/>
  <c r="J1289" i="6"/>
  <c r="G1290" i="6"/>
  <c r="K1031" i="6"/>
  <c r="H1291" i="6"/>
  <c r="L1291" i="6"/>
  <c r="I1292" i="6"/>
  <c r="F1293" i="6"/>
  <c r="J1293" i="6"/>
  <c r="G1294" i="6"/>
  <c r="K1035" i="6"/>
  <c r="H1295" i="6"/>
  <c r="L1295" i="6"/>
  <c r="I1296" i="6"/>
  <c r="F1297" i="6"/>
  <c r="J1297" i="6"/>
  <c r="G1298" i="6"/>
  <c r="K1039" i="6"/>
  <c r="H1299" i="6"/>
  <c r="L1299" i="6"/>
  <c r="I1300" i="6"/>
  <c r="F1301" i="6"/>
  <c r="J1301" i="6"/>
  <c r="G1302" i="6"/>
  <c r="K1043" i="6"/>
  <c r="H1303" i="6"/>
  <c r="L1303" i="6"/>
  <c r="I1304" i="6"/>
  <c r="F1305" i="6"/>
  <c r="J1305" i="6"/>
  <c r="G1306" i="6"/>
  <c r="K1047" i="6"/>
  <c r="H1307" i="6"/>
  <c r="L1307" i="6"/>
  <c r="I1308" i="6"/>
  <c r="F1309" i="6"/>
  <c r="J1309" i="6"/>
  <c r="G1310" i="6"/>
  <c r="K1051" i="6"/>
  <c r="H1311" i="6"/>
  <c r="L1311" i="6"/>
  <c r="I1312" i="6"/>
  <c r="F1313" i="6"/>
  <c r="J1313" i="6"/>
  <c r="G1314" i="6"/>
  <c r="K1055" i="6"/>
  <c r="H1315" i="6"/>
  <c r="L1315" i="6"/>
  <c r="I1316" i="6"/>
  <c r="F1317" i="6"/>
  <c r="J1317" i="6"/>
  <c r="G1318" i="6"/>
  <c r="K1059" i="6"/>
  <c r="H1319" i="6"/>
  <c r="L1319" i="6"/>
  <c r="I1320" i="6"/>
  <c r="F1321" i="6"/>
  <c r="J1321" i="6"/>
  <c r="G1322" i="6"/>
  <c r="K1063" i="6"/>
  <c r="H1323" i="6"/>
  <c r="L1323" i="6"/>
  <c r="I1324" i="6"/>
  <c r="F1325" i="6"/>
  <c r="J1325" i="6"/>
  <c r="G1326" i="6"/>
  <c r="K1067" i="6"/>
  <c r="H1327" i="6"/>
  <c r="L1327" i="6"/>
  <c r="I1328" i="6"/>
  <c r="F1329" i="6"/>
  <c r="J1329" i="6"/>
  <c r="G1330" i="6"/>
  <c r="K1071" i="6"/>
  <c r="H1331" i="6"/>
  <c r="L1331" i="6"/>
  <c r="I1332" i="6"/>
  <c r="F1333" i="6"/>
  <c r="J1333" i="6"/>
  <c r="G1334" i="6"/>
  <c r="K1075" i="6"/>
  <c r="H1335" i="6"/>
  <c r="L1335" i="6"/>
  <c r="I1336" i="6"/>
  <c r="F1337" i="6"/>
  <c r="J1337" i="6"/>
  <c r="G1338" i="6"/>
  <c r="K1079" i="6"/>
  <c r="H1339" i="6"/>
  <c r="L1339" i="6"/>
  <c r="I1340" i="6"/>
  <c r="F1341" i="6"/>
  <c r="J1341" i="6"/>
  <c r="G1342" i="6"/>
  <c r="K1083" i="6"/>
  <c r="H1343" i="6"/>
  <c r="L1343" i="6"/>
  <c r="I1344" i="6"/>
  <c r="F1345" i="6"/>
  <c r="J1345" i="6"/>
  <c r="G1346" i="6"/>
  <c r="K1087" i="6"/>
  <c r="H1347" i="6"/>
  <c r="L1347" i="6"/>
  <c r="I1348" i="6"/>
  <c r="F1349" i="6"/>
  <c r="J1349" i="6"/>
  <c r="G1350" i="6"/>
  <c r="K1091" i="6"/>
  <c r="H1351" i="6"/>
  <c r="L1351" i="6"/>
  <c r="I1352" i="6"/>
  <c r="F1353" i="6"/>
  <c r="J1353" i="6"/>
  <c r="G1354" i="6"/>
  <c r="K1095" i="6"/>
  <c r="H1355" i="6"/>
  <c r="L1355" i="6"/>
  <c r="I1356" i="6"/>
  <c r="F1357" i="6"/>
  <c r="J1357" i="6"/>
  <c r="G1358" i="6"/>
  <c r="K1099" i="6"/>
  <c r="H1359" i="6"/>
  <c r="L1359" i="6"/>
  <c r="I1360" i="6"/>
  <c r="F1361" i="6"/>
  <c r="J1361" i="6"/>
  <c r="G1362" i="6"/>
  <c r="K1103" i="6"/>
  <c r="H1363" i="6"/>
  <c r="L1363" i="6"/>
  <c r="I1364" i="6"/>
  <c r="F1365" i="6"/>
  <c r="J1365" i="6"/>
  <c r="G1366" i="6"/>
  <c r="K1107" i="6"/>
  <c r="H1367" i="6"/>
  <c r="L1367" i="6"/>
  <c r="I1368" i="6"/>
  <c r="F1369" i="6"/>
  <c r="J1369" i="6"/>
  <c r="G1370" i="6"/>
  <c r="K1111" i="6"/>
  <c r="H1371" i="6"/>
  <c r="L1371" i="6"/>
  <c r="I1372" i="6"/>
  <c r="F1373" i="6"/>
  <c r="J1373" i="6"/>
  <c r="G1374" i="6"/>
  <c r="K1115" i="6"/>
  <c r="H1375" i="6"/>
  <c r="L1375" i="6"/>
  <c r="I1376" i="6"/>
  <c r="F1377" i="6"/>
  <c r="J1377" i="6"/>
  <c r="G1378" i="6"/>
  <c r="K1119" i="6"/>
  <c r="H1379" i="6"/>
  <c r="L1379" i="6"/>
  <c r="I1380" i="6"/>
  <c r="F1381" i="6"/>
  <c r="J1381" i="6"/>
  <c r="G1382" i="6"/>
  <c r="K1123" i="6"/>
  <c r="H1383" i="6"/>
  <c r="L1383" i="6"/>
  <c r="I1384" i="6"/>
  <c r="F1385" i="6"/>
  <c r="J1385" i="6"/>
  <c r="G1386" i="6"/>
  <c r="K1127" i="6"/>
  <c r="H1387" i="6"/>
  <c r="L1387" i="6"/>
  <c r="I1388" i="6"/>
  <c r="F1389" i="6"/>
  <c r="J1389" i="6"/>
  <c r="G1390" i="6"/>
  <c r="K1131" i="6"/>
  <c r="H1391" i="6"/>
  <c r="L1391" i="6"/>
  <c r="I1392" i="6"/>
  <c r="F1393" i="6"/>
  <c r="J1393" i="6"/>
  <c r="G1394" i="6"/>
  <c r="K1135" i="6"/>
  <c r="H1395" i="6"/>
  <c r="L1395" i="6"/>
  <c r="I1396" i="6"/>
  <c r="F1397" i="6"/>
  <c r="J1397" i="6"/>
  <c r="G1398" i="6"/>
  <c r="K1139" i="6"/>
  <c r="H1399" i="6"/>
  <c r="L1399" i="6"/>
  <c r="I1400" i="6"/>
  <c r="F1401" i="6"/>
  <c r="J1401" i="6"/>
  <c r="G1402" i="6"/>
  <c r="K1143" i="6"/>
  <c r="H1403" i="6"/>
  <c r="L1403" i="6"/>
  <c r="I1404" i="6"/>
  <c r="F1405" i="6"/>
  <c r="J1405" i="6"/>
  <c r="G1406" i="6"/>
  <c r="K1147" i="6"/>
  <c r="H1407" i="6"/>
  <c r="L1407" i="6"/>
  <c r="I1408" i="6"/>
  <c r="F1409" i="6"/>
  <c r="J1409" i="6"/>
  <c r="G1410" i="6"/>
  <c r="K1151" i="6"/>
  <c r="H1411" i="6"/>
  <c r="L1411" i="6"/>
  <c r="I1412" i="6"/>
  <c r="F1413" i="6"/>
  <c r="J1413" i="6"/>
  <c r="G1414" i="6"/>
  <c r="K1155" i="6"/>
  <c r="H1415" i="6"/>
  <c r="L1415" i="6"/>
  <c r="I1416" i="6"/>
  <c r="F1417" i="6"/>
  <c r="J1417" i="6"/>
  <c r="G1418" i="6"/>
  <c r="K1159" i="6"/>
  <c r="H1419" i="6"/>
  <c r="L1419" i="6"/>
  <c r="I1420" i="6"/>
  <c r="F1421" i="6"/>
  <c r="J1421" i="6"/>
  <c r="G1422" i="6"/>
  <c r="K1163" i="6"/>
  <c r="H1423" i="6"/>
  <c r="L1423" i="6"/>
  <c r="I1424" i="6"/>
  <c r="F1425" i="6"/>
  <c r="J1425" i="6"/>
  <c r="G1426" i="6"/>
  <c r="K1167" i="6"/>
  <c r="H1427" i="6"/>
  <c r="L1427" i="6"/>
  <c r="I1428" i="6"/>
  <c r="F1429" i="6"/>
  <c r="J1429" i="6"/>
  <c r="G1430" i="6"/>
  <c r="K1171" i="6"/>
  <c r="H1431" i="6"/>
  <c r="L1431" i="6"/>
  <c r="I1432" i="6"/>
  <c r="F1433" i="6"/>
  <c r="J1433" i="6"/>
  <c r="G1434" i="6"/>
  <c r="K1175" i="6"/>
  <c r="H1435" i="6"/>
  <c r="L1435" i="6"/>
  <c r="I1436" i="6"/>
  <c r="F1437" i="6"/>
  <c r="J1437" i="6"/>
  <c r="G1438" i="6"/>
  <c r="K1179" i="6"/>
  <c r="H1439" i="6"/>
  <c r="L1439" i="6"/>
  <c r="I1440" i="6"/>
  <c r="F1441" i="6"/>
  <c r="J1441" i="6"/>
  <c r="G1442" i="6"/>
  <c r="K1183" i="6"/>
  <c r="H1443" i="6"/>
  <c r="L1443" i="6"/>
  <c r="I1444" i="6"/>
  <c r="F1445" i="6"/>
  <c r="J1445" i="6"/>
  <c r="G1446" i="6"/>
  <c r="K1187" i="6"/>
  <c r="H1447" i="6"/>
  <c r="L1447" i="6"/>
  <c r="I1448" i="6"/>
  <c r="F1449" i="6"/>
  <c r="J1449" i="6"/>
  <c r="G1450" i="6"/>
  <c r="K1191" i="6"/>
  <c r="H1451" i="6"/>
  <c r="L1451" i="6"/>
  <c r="I1452" i="6"/>
  <c r="F1453" i="6"/>
  <c r="J1453" i="6"/>
  <c r="G1454" i="6"/>
  <c r="K1195" i="6"/>
  <c r="H1455" i="6"/>
  <c r="L1455" i="6"/>
  <c r="I1456" i="6"/>
  <c r="F1457" i="6"/>
  <c r="J1457" i="6"/>
  <c r="G1458" i="6"/>
  <c r="K1199" i="6"/>
  <c r="H1459" i="6"/>
  <c r="L1459" i="6"/>
  <c r="I1460" i="6"/>
  <c r="F1461" i="6"/>
  <c r="J1461" i="6"/>
  <c r="G1462" i="6"/>
  <c r="K1203" i="6"/>
  <c r="H1463" i="6"/>
  <c r="L1463" i="6"/>
  <c r="I1464" i="6"/>
  <c r="F1465" i="6"/>
  <c r="J1465" i="6"/>
  <c r="G1466" i="6"/>
  <c r="K1207" i="6"/>
  <c r="H1467" i="6"/>
  <c r="L1467" i="6"/>
  <c r="I1468" i="6"/>
  <c r="F1469" i="6"/>
  <c r="J1469" i="6"/>
  <c r="G1470" i="6"/>
  <c r="K1211" i="6"/>
  <c r="H1471" i="6"/>
  <c r="L1471" i="6"/>
  <c r="I1472" i="6"/>
  <c r="F1473" i="6"/>
  <c r="J1473" i="6"/>
  <c r="G1474" i="6"/>
  <c r="K1215" i="6"/>
  <c r="H1475" i="6"/>
  <c r="L1475" i="6"/>
  <c r="I1476" i="6"/>
  <c r="F1477" i="6"/>
  <c r="J1477" i="6"/>
  <c r="G1478" i="6"/>
  <c r="K1219" i="6"/>
  <c r="H1479" i="6"/>
  <c r="L1479" i="6"/>
  <c r="I1480" i="6"/>
  <c r="F1481" i="6"/>
  <c r="J1481" i="6"/>
  <c r="G1482" i="6"/>
  <c r="K1223" i="6"/>
  <c r="H1483" i="6"/>
  <c r="L1483" i="6"/>
  <c r="I1484" i="6"/>
  <c r="F1485" i="6"/>
  <c r="J1485" i="6"/>
  <c r="G1486" i="6"/>
  <c r="K1227" i="6"/>
  <c r="H1487" i="6"/>
  <c r="L1487" i="6"/>
  <c r="I1488" i="6"/>
  <c r="F1489" i="6"/>
  <c r="J1489" i="6"/>
  <c r="G1490" i="6"/>
  <c r="K1231" i="6"/>
  <c r="H1491" i="6"/>
  <c r="L1491" i="6"/>
  <c r="I1492" i="6"/>
  <c r="F1493" i="6"/>
  <c r="J1493" i="6"/>
  <c r="G1494" i="6"/>
  <c r="K1235" i="6"/>
  <c r="H1495" i="6"/>
  <c r="L1495" i="6"/>
  <c r="I1496" i="6"/>
  <c r="F1497" i="6"/>
  <c r="J1497" i="6"/>
  <c r="G1498" i="6"/>
  <c r="K1239" i="6"/>
  <c r="H1499" i="6"/>
  <c r="L1499" i="6"/>
  <c r="I1500" i="6"/>
  <c r="F1501" i="6"/>
  <c r="J1501" i="6"/>
  <c r="G1502" i="6"/>
  <c r="K1243" i="6"/>
  <c r="H1503" i="6"/>
  <c r="L1503" i="6"/>
  <c r="I1504" i="6"/>
  <c r="F1505" i="6"/>
  <c r="J1505" i="6"/>
  <c r="G1506" i="6"/>
  <c r="K1247" i="6"/>
  <c r="H1507" i="6"/>
  <c r="L1507" i="6"/>
  <c r="I1508" i="6"/>
  <c r="F1509" i="6"/>
  <c r="J1509" i="6"/>
  <c r="G1510" i="6"/>
  <c r="K1251" i="6"/>
  <c r="H1511" i="6"/>
  <c r="L1511" i="6"/>
  <c r="I1512" i="6"/>
  <c r="F1513" i="6"/>
  <c r="J1513" i="6"/>
  <c r="G1514" i="6"/>
  <c r="K1255" i="6"/>
  <c r="H1515" i="6"/>
  <c r="L1515" i="6"/>
  <c r="I1516" i="6"/>
  <c r="F1517" i="6"/>
  <c r="J1517" i="6"/>
  <c r="G1518" i="6"/>
  <c r="K1259" i="6"/>
  <c r="H1519" i="6"/>
  <c r="L1519" i="6"/>
  <c r="I1520" i="6"/>
  <c r="F1521" i="6"/>
  <c r="J1521" i="6"/>
  <c r="G1522" i="6"/>
  <c r="K1263" i="6"/>
  <c r="H1523" i="6"/>
  <c r="L1523" i="6"/>
  <c r="I1524" i="6"/>
  <c r="F1525" i="6"/>
  <c r="J1525" i="6"/>
  <c r="G1526" i="6"/>
  <c r="K1267" i="6"/>
  <c r="H1527" i="6"/>
  <c r="L1527" i="6"/>
  <c r="I1528" i="6"/>
  <c r="F1529" i="6"/>
  <c r="J1529" i="6"/>
  <c r="G1530" i="6"/>
  <c r="K1271" i="6"/>
  <c r="H1531" i="6"/>
  <c r="L1531" i="6"/>
  <c r="I1532" i="6"/>
  <c r="F1533" i="6"/>
  <c r="J1533" i="6"/>
  <c r="G1534" i="6"/>
  <c r="K1275" i="6"/>
  <c r="H1535" i="6"/>
  <c r="L1535" i="6"/>
  <c r="I1536" i="6"/>
  <c r="F1537" i="6"/>
  <c r="J1537" i="6"/>
  <c r="G1538" i="6"/>
  <c r="K1279" i="6"/>
  <c r="H1539" i="6"/>
  <c r="L1539" i="6"/>
  <c r="I1540" i="6"/>
  <c r="F1541" i="6"/>
  <c r="J1541" i="6"/>
  <c r="G1542" i="6"/>
  <c r="K1283" i="6"/>
  <c r="H1543" i="6"/>
  <c r="L1543" i="6"/>
  <c r="I1544" i="6"/>
  <c r="F1545" i="6"/>
  <c r="J1545" i="6"/>
  <c r="G1546" i="6"/>
  <c r="K1287" i="6"/>
  <c r="H1547" i="6"/>
  <c r="L1547" i="6"/>
  <c r="I1548" i="6"/>
  <c r="F1549" i="6"/>
  <c r="J1549" i="6"/>
  <c r="G1550" i="6"/>
  <c r="K1291" i="6"/>
  <c r="H1551" i="6"/>
  <c r="L1551" i="6"/>
  <c r="I1552" i="6"/>
  <c r="F1553" i="6"/>
  <c r="J1553" i="6"/>
  <c r="G1554" i="6"/>
  <c r="K1295" i="6"/>
  <c r="H1555" i="6"/>
  <c r="L1555" i="6"/>
  <c r="I1556" i="6"/>
  <c r="F1557" i="6"/>
  <c r="J1557" i="6"/>
  <c r="G1558" i="6"/>
  <c r="K1299" i="6"/>
  <c r="H1559" i="6"/>
  <c r="L1559" i="6"/>
  <c r="I1560" i="6"/>
  <c r="F1561" i="6"/>
  <c r="J1561" i="6"/>
  <c r="G1562" i="6"/>
  <c r="K1303" i="6"/>
  <c r="H1563" i="6"/>
  <c r="L1563" i="6"/>
  <c r="I1564" i="6"/>
  <c r="F1565" i="6"/>
  <c r="J1565" i="6"/>
  <c r="G1566" i="6"/>
  <c r="K1307" i="6"/>
  <c r="H1567" i="6"/>
  <c r="L1567" i="6"/>
  <c r="I1568" i="6"/>
  <c r="F1569" i="6"/>
  <c r="J1569" i="6"/>
  <c r="G1570" i="6"/>
  <c r="K1311" i="6"/>
  <c r="H1571" i="6"/>
  <c r="L1571" i="6"/>
  <c r="I1572" i="6"/>
  <c r="F1573" i="6"/>
  <c r="J1573" i="6"/>
  <c r="G1574" i="6"/>
  <c r="K1315" i="6"/>
  <c r="H1575" i="6"/>
  <c r="L1575" i="6"/>
  <c r="I1576" i="6"/>
  <c r="F1577" i="6"/>
  <c r="J1577" i="6"/>
  <c r="G1578" i="6"/>
  <c r="K1319" i="6"/>
  <c r="H1579" i="6"/>
  <c r="L1579" i="6"/>
  <c r="I1580" i="6"/>
  <c r="F1581" i="6"/>
  <c r="J1581" i="6"/>
  <c r="G1582" i="6"/>
  <c r="K1323" i="6"/>
  <c r="H1583" i="6"/>
  <c r="L1583" i="6"/>
  <c r="I1584" i="6"/>
  <c r="F1585" i="6"/>
  <c r="J1585" i="6"/>
  <c r="G1586" i="6"/>
  <c r="K1327" i="6"/>
  <c r="H1587" i="6"/>
  <c r="L1587" i="6"/>
  <c r="I1588" i="6"/>
  <c r="F1589" i="6"/>
  <c r="J1589" i="6"/>
  <c r="G1590" i="6"/>
  <c r="K1331" i="6"/>
  <c r="H1591" i="6"/>
  <c r="L1591" i="6"/>
  <c r="I1592" i="6"/>
  <c r="F1593" i="6"/>
  <c r="J1593" i="6"/>
  <c r="G1594" i="6"/>
  <c r="K1335" i="6"/>
  <c r="H1595" i="6"/>
  <c r="L1595" i="6"/>
  <c r="I1596" i="6"/>
  <c r="F1597" i="6"/>
  <c r="J1597" i="6"/>
  <c r="G1598" i="6"/>
  <c r="K1339" i="6"/>
  <c r="H1599" i="6"/>
  <c r="L1599" i="6"/>
  <c r="I1600" i="6"/>
  <c r="F1601" i="6"/>
  <c r="J1601" i="6"/>
  <c r="G1602" i="6"/>
  <c r="K1343" i="6"/>
  <c r="H1603" i="6"/>
  <c r="L1603" i="6"/>
  <c r="I1604" i="6"/>
  <c r="F1605" i="6"/>
  <c r="J1605" i="6"/>
  <c r="G1606" i="6"/>
  <c r="K1347" i="6"/>
  <c r="H1607" i="6"/>
  <c r="L1607" i="6"/>
  <c r="I1608" i="6"/>
  <c r="F1609" i="6"/>
  <c r="J1609" i="6"/>
  <c r="G1610" i="6"/>
  <c r="K1351" i="6"/>
  <c r="H1611" i="6"/>
  <c r="L1611" i="6"/>
  <c r="I1612" i="6"/>
  <c r="F1613" i="6"/>
  <c r="J1613" i="6"/>
  <c r="G1614" i="6"/>
  <c r="K1355" i="6"/>
  <c r="H1615" i="6"/>
  <c r="L1615" i="6"/>
  <c r="I1616" i="6"/>
  <c r="F1617" i="6"/>
  <c r="J1617" i="6"/>
  <c r="G1618" i="6"/>
  <c r="K1359" i="6"/>
  <c r="H1619" i="6"/>
  <c r="L1619" i="6"/>
  <c r="I1620" i="6"/>
  <c r="F1621" i="6"/>
  <c r="J1621" i="6"/>
  <c r="G1622" i="6"/>
  <c r="K1363" i="6"/>
  <c r="H1623" i="6"/>
  <c r="L1623" i="6"/>
  <c r="I1624" i="6"/>
  <c r="F1625" i="6"/>
  <c r="J1625" i="6"/>
  <c r="G1626" i="6"/>
  <c r="K1367" i="6"/>
  <c r="H1627" i="6"/>
  <c r="L1627" i="6"/>
  <c r="I1628" i="6"/>
  <c r="F1629" i="6"/>
  <c r="J1629" i="6"/>
  <c r="G1630" i="6"/>
  <c r="K1371" i="6"/>
  <c r="H1631" i="6"/>
  <c r="L1631" i="6"/>
  <c r="I1632" i="6"/>
  <c r="F1633" i="6"/>
  <c r="J1633" i="6"/>
  <c r="G1634" i="6"/>
  <c r="K1375" i="6"/>
  <c r="H1635" i="6"/>
  <c r="L1635" i="6"/>
  <c r="I1636" i="6"/>
  <c r="F1637" i="6"/>
  <c r="J1637" i="6"/>
  <c r="G1638" i="6"/>
  <c r="K1379" i="6"/>
  <c r="H1639" i="6"/>
  <c r="L1639" i="6"/>
  <c r="I1640" i="6"/>
  <c r="F1641" i="6"/>
  <c r="J1641" i="6"/>
  <c r="G1642" i="6"/>
  <c r="K1383" i="6"/>
  <c r="H1643" i="6"/>
  <c r="L1643" i="6"/>
  <c r="I1644" i="6"/>
  <c r="F1645" i="6"/>
  <c r="J1645" i="6"/>
  <c r="G1646" i="6"/>
  <c r="K1387" i="6"/>
  <c r="H1647" i="6"/>
  <c r="L1647" i="6"/>
  <c r="I1648" i="6"/>
  <c r="F1649" i="6"/>
  <c r="J1649" i="6"/>
  <c r="G1650" i="6"/>
  <c r="K1391" i="6"/>
  <c r="H1651" i="6"/>
  <c r="L1651" i="6"/>
  <c r="I1652" i="6"/>
  <c r="F1653" i="6"/>
  <c r="J1653" i="6"/>
  <c r="G1654" i="6"/>
  <c r="K1395" i="6"/>
  <c r="H1655" i="6"/>
  <c r="L1655" i="6"/>
  <c r="J1656" i="6"/>
  <c r="H1657" i="6"/>
  <c r="L1657" i="6"/>
  <c r="J1658" i="6"/>
  <c r="H1659" i="6"/>
  <c r="L1659" i="6"/>
  <c r="J1660" i="6"/>
  <c r="H1661" i="6"/>
  <c r="L1661" i="6"/>
  <c r="J1662" i="6"/>
  <c r="H1663" i="6"/>
  <c r="L1663" i="6"/>
  <c r="L1664" i="6"/>
  <c r="H1666" i="6"/>
  <c r="J1667" i="6"/>
  <c r="L1668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K200" i="6"/>
  <c r="G460" i="6"/>
  <c r="K201" i="6"/>
  <c r="G461" i="6"/>
  <c r="K202" i="6"/>
  <c r="G462" i="6"/>
  <c r="K203" i="6"/>
  <c r="G463" i="6"/>
  <c r="K204" i="6"/>
  <c r="G464" i="6"/>
  <c r="K205" i="6"/>
  <c r="G465" i="6"/>
  <c r="K206" i="6"/>
  <c r="G466" i="6"/>
  <c r="K207" i="6"/>
  <c r="G467" i="6"/>
  <c r="K208" i="6"/>
  <c r="G468" i="6"/>
  <c r="K209" i="6"/>
  <c r="G469" i="6"/>
  <c r="K210" i="6"/>
  <c r="G470" i="6"/>
  <c r="K211" i="6"/>
  <c r="G471" i="6"/>
  <c r="H200" i="6"/>
  <c r="L200" i="6"/>
  <c r="H201" i="6"/>
  <c r="L201" i="6"/>
  <c r="H202" i="6"/>
  <c r="L202" i="6"/>
  <c r="H203" i="6"/>
  <c r="L203" i="6"/>
  <c r="H204" i="6"/>
  <c r="L204" i="6"/>
  <c r="H205" i="6"/>
  <c r="L205" i="6"/>
  <c r="H206" i="6"/>
  <c r="L206" i="6"/>
  <c r="H207" i="6"/>
  <c r="L207" i="6"/>
  <c r="H208" i="6"/>
  <c r="L208" i="6"/>
  <c r="H209" i="6"/>
  <c r="L209" i="6"/>
  <c r="H210" i="6"/>
  <c r="L210" i="6"/>
  <c r="H211" i="6"/>
  <c r="L211" i="6"/>
  <c r="H212" i="6"/>
  <c r="L212" i="6"/>
  <c r="H213" i="6"/>
  <c r="L213" i="6"/>
  <c r="H214" i="6"/>
  <c r="L214" i="6"/>
  <c r="H215" i="6"/>
  <c r="L215" i="6"/>
  <c r="H216" i="6"/>
  <c r="L216" i="6"/>
  <c r="H217" i="6"/>
  <c r="L217" i="6"/>
  <c r="H218" i="6"/>
  <c r="L218" i="6"/>
  <c r="H219" i="6"/>
  <c r="L219" i="6"/>
  <c r="H220" i="6"/>
  <c r="L220" i="6"/>
  <c r="H221" i="6"/>
  <c r="L221" i="6"/>
  <c r="H222" i="6"/>
  <c r="L222" i="6"/>
  <c r="H223" i="6"/>
  <c r="L223" i="6"/>
  <c r="H224" i="6"/>
  <c r="L224" i="6"/>
  <c r="H225" i="6"/>
  <c r="L225" i="6"/>
  <c r="H226" i="6"/>
  <c r="L226" i="6"/>
  <c r="H227" i="6"/>
  <c r="L227" i="6"/>
  <c r="H228" i="6"/>
  <c r="L228" i="6"/>
  <c r="H229" i="6"/>
  <c r="L229" i="6"/>
  <c r="H230" i="6"/>
  <c r="L230" i="6"/>
  <c r="H231" i="6"/>
  <c r="L231" i="6"/>
  <c r="H232" i="6"/>
  <c r="L232" i="6"/>
  <c r="H233" i="6"/>
  <c r="L233" i="6"/>
  <c r="H234" i="6"/>
  <c r="L234" i="6"/>
  <c r="H235" i="6"/>
  <c r="L235" i="6"/>
  <c r="H236" i="6"/>
  <c r="L236" i="6"/>
  <c r="H237" i="6"/>
  <c r="L237" i="6"/>
  <c r="H238" i="6"/>
  <c r="L238" i="6"/>
  <c r="H239" i="6"/>
  <c r="L239" i="6"/>
  <c r="H240" i="6"/>
  <c r="L240" i="6"/>
  <c r="H241" i="6"/>
  <c r="L241" i="6"/>
  <c r="H242" i="6"/>
  <c r="L242" i="6"/>
  <c r="H243" i="6"/>
  <c r="L243" i="6"/>
  <c r="H244" i="6"/>
  <c r="L244" i="6"/>
  <c r="H245" i="6"/>
  <c r="L245" i="6"/>
  <c r="H246" i="6"/>
  <c r="L246" i="6"/>
  <c r="H247" i="6"/>
  <c r="L247" i="6"/>
  <c r="H248" i="6"/>
  <c r="L248" i="6"/>
  <c r="H249" i="6"/>
  <c r="L249" i="6"/>
  <c r="H250" i="6"/>
  <c r="L250" i="6"/>
  <c r="H251" i="6"/>
  <c r="L251" i="6"/>
  <c r="H252" i="6"/>
  <c r="L252" i="6"/>
  <c r="H253" i="6"/>
  <c r="L253" i="6"/>
  <c r="H254" i="6"/>
  <c r="L254" i="6"/>
  <c r="H255" i="6"/>
  <c r="L255" i="6"/>
  <c r="H256" i="6"/>
  <c r="L256" i="6"/>
  <c r="H257" i="6"/>
  <c r="L257" i="6"/>
  <c r="H258" i="6"/>
  <c r="L258" i="6"/>
  <c r="H259" i="6"/>
  <c r="L259" i="6"/>
  <c r="H260" i="6"/>
  <c r="L260" i="6"/>
  <c r="H261" i="6"/>
  <c r="L261" i="6"/>
  <c r="H262" i="6"/>
  <c r="L262" i="6"/>
  <c r="H263" i="6"/>
  <c r="L263" i="6"/>
  <c r="H264" i="6"/>
  <c r="L264" i="6"/>
  <c r="H265" i="6"/>
  <c r="L265" i="6"/>
  <c r="H266" i="6"/>
  <c r="L266" i="6"/>
  <c r="H267" i="6"/>
  <c r="L267" i="6"/>
  <c r="H268" i="6"/>
  <c r="L268" i="6"/>
  <c r="H269" i="6"/>
  <c r="L269" i="6"/>
  <c r="H270" i="6"/>
  <c r="L270" i="6"/>
  <c r="H271" i="6"/>
  <c r="L271" i="6"/>
  <c r="H272" i="6"/>
  <c r="L272" i="6"/>
  <c r="H273" i="6"/>
  <c r="L273" i="6"/>
  <c r="H274" i="6"/>
  <c r="L274" i="6"/>
  <c r="H275" i="6"/>
  <c r="L275" i="6"/>
  <c r="H276" i="6"/>
  <c r="L276" i="6"/>
  <c r="H277" i="6"/>
  <c r="L277" i="6"/>
  <c r="H278" i="6"/>
  <c r="L278" i="6"/>
  <c r="H279" i="6"/>
  <c r="L279" i="6"/>
  <c r="H280" i="6"/>
  <c r="L280" i="6"/>
  <c r="H281" i="6"/>
  <c r="L281" i="6"/>
  <c r="H282" i="6"/>
  <c r="L282" i="6"/>
  <c r="H283" i="6"/>
  <c r="L283" i="6"/>
  <c r="H284" i="6"/>
  <c r="L284" i="6"/>
  <c r="H285" i="6"/>
  <c r="L285" i="6"/>
  <c r="H286" i="6"/>
  <c r="L286" i="6"/>
  <c r="H287" i="6"/>
  <c r="L287" i="6"/>
  <c r="H288" i="6"/>
  <c r="L288" i="6"/>
  <c r="H289" i="6"/>
  <c r="L289" i="6"/>
  <c r="H290" i="6"/>
  <c r="L290" i="6"/>
  <c r="H291" i="6"/>
  <c r="L291" i="6"/>
  <c r="H292" i="6"/>
  <c r="L292" i="6"/>
  <c r="H293" i="6"/>
  <c r="L293" i="6"/>
  <c r="H294" i="6"/>
  <c r="L294" i="6"/>
  <c r="H295" i="6"/>
  <c r="L295" i="6"/>
  <c r="H296" i="6"/>
  <c r="L296" i="6"/>
  <c r="H297" i="6"/>
  <c r="L297" i="6"/>
  <c r="H298" i="6"/>
  <c r="L298" i="6"/>
  <c r="H299" i="6"/>
  <c r="L299" i="6"/>
  <c r="H300" i="6"/>
  <c r="L300" i="6"/>
  <c r="H301" i="6"/>
  <c r="L301" i="6"/>
  <c r="H302" i="6"/>
  <c r="L302" i="6"/>
  <c r="H303" i="6"/>
  <c r="L303" i="6"/>
  <c r="H304" i="6"/>
  <c r="L304" i="6"/>
  <c r="H305" i="6"/>
  <c r="L305" i="6"/>
  <c r="H306" i="6"/>
  <c r="L306" i="6"/>
  <c r="H307" i="6"/>
  <c r="L307" i="6"/>
  <c r="H308" i="6"/>
  <c r="L308" i="6"/>
  <c r="H309" i="6"/>
  <c r="L309" i="6"/>
  <c r="H310" i="6"/>
  <c r="L310" i="6"/>
  <c r="H311" i="6"/>
  <c r="L311" i="6"/>
  <c r="H312" i="6"/>
  <c r="L312" i="6"/>
  <c r="H313" i="6"/>
  <c r="L313" i="6"/>
  <c r="H314" i="6"/>
  <c r="L314" i="6"/>
  <c r="H315" i="6"/>
  <c r="L315" i="6"/>
  <c r="H316" i="6"/>
  <c r="L316" i="6"/>
  <c r="H317" i="6"/>
  <c r="L317" i="6"/>
  <c r="H318" i="6"/>
  <c r="L318" i="6"/>
  <c r="H319" i="6"/>
  <c r="L319" i="6"/>
  <c r="H320" i="6"/>
  <c r="L320" i="6"/>
  <c r="H321" i="6"/>
  <c r="L321" i="6"/>
  <c r="H322" i="6"/>
  <c r="L322" i="6"/>
  <c r="H323" i="6"/>
  <c r="L323" i="6"/>
  <c r="H324" i="6"/>
  <c r="L324" i="6"/>
  <c r="H325" i="6"/>
  <c r="L325" i="6"/>
  <c r="H326" i="6"/>
  <c r="L326" i="6"/>
  <c r="H327" i="6"/>
  <c r="L327" i="6"/>
  <c r="H328" i="6"/>
  <c r="L328" i="6"/>
  <c r="H329" i="6"/>
  <c r="L329" i="6"/>
  <c r="H330" i="6"/>
  <c r="L330" i="6"/>
  <c r="H331" i="6"/>
  <c r="L331" i="6"/>
  <c r="H332" i="6"/>
  <c r="L332" i="6"/>
  <c r="H333" i="6"/>
  <c r="L333" i="6"/>
  <c r="H334" i="6"/>
  <c r="L334" i="6"/>
  <c r="H335" i="6"/>
  <c r="L335" i="6"/>
  <c r="H336" i="6"/>
  <c r="L336" i="6"/>
  <c r="H337" i="6"/>
  <c r="L337" i="6"/>
  <c r="H338" i="6"/>
  <c r="L338" i="6"/>
  <c r="H339" i="6"/>
  <c r="L339" i="6"/>
  <c r="H340" i="6"/>
  <c r="L340" i="6"/>
  <c r="H341" i="6"/>
  <c r="L341" i="6"/>
  <c r="H342" i="6"/>
  <c r="L342" i="6"/>
  <c r="H343" i="6"/>
  <c r="L343" i="6"/>
  <c r="H344" i="6"/>
  <c r="L344" i="6"/>
  <c r="H345" i="6"/>
  <c r="L345" i="6"/>
  <c r="H346" i="6"/>
  <c r="L346" i="6"/>
  <c r="H347" i="6"/>
  <c r="L347" i="6"/>
  <c r="H348" i="6"/>
  <c r="L348" i="6"/>
  <c r="H349" i="6"/>
  <c r="L349" i="6"/>
  <c r="H350" i="6"/>
  <c r="L350" i="6"/>
  <c r="H351" i="6"/>
  <c r="L351" i="6"/>
  <c r="H352" i="6"/>
  <c r="L352" i="6"/>
  <c r="H353" i="6"/>
  <c r="L353" i="6"/>
  <c r="H354" i="6"/>
  <c r="L354" i="6"/>
  <c r="H355" i="6"/>
  <c r="L355" i="6"/>
  <c r="H356" i="6"/>
  <c r="L356" i="6"/>
  <c r="H357" i="6"/>
  <c r="L357" i="6"/>
  <c r="H358" i="6"/>
  <c r="L358" i="6"/>
  <c r="H359" i="6"/>
  <c r="L359" i="6"/>
  <c r="H360" i="6"/>
  <c r="L360" i="6"/>
  <c r="H361" i="6"/>
  <c r="L361" i="6"/>
  <c r="H362" i="6"/>
  <c r="L362" i="6"/>
  <c r="H363" i="6"/>
  <c r="L363" i="6"/>
  <c r="H364" i="6"/>
  <c r="L364" i="6"/>
  <c r="H365" i="6"/>
  <c r="L365" i="6"/>
  <c r="H366" i="6"/>
  <c r="L366" i="6"/>
  <c r="H367" i="6"/>
  <c r="L367" i="6"/>
  <c r="H368" i="6"/>
  <c r="L368" i="6"/>
  <c r="H369" i="6"/>
  <c r="L369" i="6"/>
  <c r="H370" i="6"/>
  <c r="L370" i="6"/>
  <c r="H371" i="6"/>
  <c r="L371" i="6"/>
  <c r="H372" i="6"/>
  <c r="L372" i="6"/>
  <c r="H373" i="6"/>
  <c r="L373" i="6"/>
  <c r="H374" i="6"/>
  <c r="L374" i="6"/>
  <c r="H375" i="6"/>
  <c r="L375" i="6"/>
  <c r="H376" i="6"/>
  <c r="L376" i="6"/>
  <c r="H377" i="6"/>
  <c r="L377" i="6"/>
  <c r="H378" i="6"/>
  <c r="L378" i="6"/>
  <c r="H379" i="6"/>
  <c r="L379" i="6"/>
  <c r="H380" i="6"/>
  <c r="L380" i="6"/>
  <c r="H381" i="6"/>
  <c r="L381" i="6"/>
  <c r="H382" i="6"/>
  <c r="L382" i="6"/>
  <c r="H383" i="6"/>
  <c r="L383" i="6"/>
  <c r="H384" i="6"/>
  <c r="L384" i="6"/>
  <c r="H385" i="6"/>
  <c r="L385" i="6"/>
  <c r="H386" i="6"/>
  <c r="L386" i="6"/>
  <c r="H387" i="6"/>
  <c r="L387" i="6"/>
  <c r="H388" i="6"/>
  <c r="L388" i="6"/>
  <c r="H389" i="6"/>
  <c r="L389" i="6"/>
  <c r="H390" i="6"/>
  <c r="L390" i="6"/>
  <c r="H391" i="6"/>
  <c r="L391" i="6"/>
  <c r="H392" i="6"/>
  <c r="L392" i="6"/>
  <c r="H393" i="6"/>
  <c r="L393" i="6"/>
  <c r="H394" i="6"/>
  <c r="L394" i="6"/>
  <c r="H395" i="6"/>
  <c r="L395" i="6"/>
  <c r="H396" i="6"/>
  <c r="L396" i="6"/>
  <c r="H397" i="6"/>
  <c r="L397" i="6"/>
  <c r="H398" i="6"/>
  <c r="L398" i="6"/>
  <c r="H399" i="6"/>
  <c r="L399" i="6"/>
  <c r="H400" i="6"/>
  <c r="L400" i="6"/>
  <c r="H401" i="6"/>
  <c r="L401" i="6"/>
  <c r="H402" i="6"/>
  <c r="L402" i="6"/>
  <c r="H403" i="6"/>
  <c r="L403" i="6"/>
  <c r="H404" i="6"/>
  <c r="L404" i="6"/>
  <c r="H405" i="6"/>
  <c r="L405" i="6"/>
  <c r="H406" i="6"/>
  <c r="L406" i="6"/>
  <c r="H407" i="6"/>
  <c r="L407" i="6"/>
  <c r="H408" i="6"/>
  <c r="L408" i="6"/>
  <c r="H409" i="6"/>
  <c r="L409" i="6"/>
  <c r="H410" i="6"/>
  <c r="L410" i="6"/>
  <c r="H411" i="6"/>
  <c r="L411" i="6"/>
  <c r="H412" i="6"/>
  <c r="L412" i="6"/>
  <c r="H413" i="6"/>
  <c r="L413" i="6"/>
  <c r="H414" i="6"/>
  <c r="L414" i="6"/>
  <c r="H415" i="6"/>
  <c r="L415" i="6"/>
  <c r="H416" i="6"/>
  <c r="L416" i="6"/>
  <c r="H417" i="6"/>
  <c r="L417" i="6"/>
  <c r="H418" i="6"/>
  <c r="L418" i="6"/>
  <c r="H419" i="6"/>
  <c r="L419" i="6"/>
  <c r="H420" i="6"/>
  <c r="L420" i="6"/>
  <c r="H421" i="6"/>
  <c r="L421" i="6"/>
  <c r="H422" i="6"/>
  <c r="L422" i="6"/>
  <c r="H423" i="6"/>
  <c r="L423" i="6"/>
  <c r="H424" i="6"/>
  <c r="L424" i="6"/>
  <c r="H425" i="6"/>
  <c r="L425" i="6"/>
  <c r="H426" i="6"/>
  <c r="L426" i="6"/>
  <c r="H427" i="6"/>
  <c r="L427" i="6"/>
  <c r="H428" i="6"/>
  <c r="L428" i="6"/>
  <c r="H429" i="6"/>
  <c r="L429" i="6"/>
  <c r="H430" i="6"/>
  <c r="L430" i="6"/>
  <c r="H431" i="6"/>
  <c r="L431" i="6"/>
  <c r="H432" i="6"/>
  <c r="L432" i="6"/>
  <c r="H433" i="6"/>
  <c r="L433" i="6"/>
  <c r="H434" i="6"/>
  <c r="L434" i="6"/>
  <c r="H435" i="6"/>
  <c r="L435" i="6"/>
  <c r="H436" i="6"/>
  <c r="L436" i="6"/>
  <c r="H437" i="6"/>
  <c r="L437" i="6"/>
  <c r="H438" i="6"/>
  <c r="L438" i="6"/>
  <c r="H439" i="6"/>
  <c r="L439" i="6"/>
  <c r="H440" i="6"/>
  <c r="L440" i="6"/>
  <c r="H441" i="6"/>
  <c r="L441" i="6"/>
  <c r="H442" i="6"/>
  <c r="L442" i="6"/>
  <c r="H443" i="6"/>
  <c r="L443" i="6"/>
  <c r="H444" i="6"/>
  <c r="L444" i="6"/>
  <c r="H445" i="6"/>
  <c r="L445" i="6"/>
  <c r="H446" i="6"/>
  <c r="L446" i="6"/>
  <c r="H447" i="6"/>
  <c r="L447" i="6"/>
  <c r="H448" i="6"/>
  <c r="L448" i="6"/>
  <c r="H449" i="6"/>
  <c r="L449" i="6"/>
  <c r="H450" i="6"/>
  <c r="L450" i="6"/>
  <c r="H451" i="6"/>
  <c r="L451" i="6"/>
  <c r="H452" i="6"/>
  <c r="L452" i="6"/>
  <c r="H453" i="6"/>
  <c r="L453" i="6"/>
  <c r="H454" i="6"/>
  <c r="L454" i="6"/>
  <c r="H455" i="6"/>
  <c r="L455" i="6"/>
  <c r="H456" i="6"/>
  <c r="L456" i="6"/>
  <c r="H457" i="6"/>
  <c r="L457" i="6"/>
  <c r="H458" i="6"/>
  <c r="L458" i="6"/>
  <c r="H459" i="6"/>
  <c r="L459" i="6"/>
  <c r="H460" i="6"/>
  <c r="L460" i="6"/>
  <c r="H461" i="6"/>
  <c r="L461" i="6"/>
  <c r="H462" i="6"/>
  <c r="L462" i="6"/>
  <c r="H463" i="6"/>
  <c r="L463" i="6"/>
  <c r="H464" i="6"/>
  <c r="L464" i="6"/>
  <c r="H465" i="6"/>
  <c r="L465" i="6"/>
  <c r="H466" i="6"/>
  <c r="L466" i="6"/>
  <c r="H467" i="6"/>
  <c r="L467" i="6"/>
  <c r="H468" i="6"/>
  <c r="L468" i="6"/>
  <c r="H469" i="6"/>
  <c r="L469" i="6"/>
  <c r="H470" i="6"/>
  <c r="L470" i="6"/>
  <c r="H471" i="6"/>
  <c r="L471" i="6"/>
  <c r="H472" i="6"/>
  <c r="L472" i="6"/>
  <c r="H473" i="6"/>
  <c r="L473" i="6"/>
  <c r="H474" i="6"/>
  <c r="L474" i="6"/>
  <c r="H475" i="6"/>
  <c r="L475" i="6"/>
  <c r="H476" i="6"/>
  <c r="L476" i="6"/>
  <c r="H477" i="6"/>
  <c r="L477" i="6"/>
  <c r="H478" i="6"/>
  <c r="L478" i="6"/>
  <c r="H479" i="6"/>
  <c r="L479" i="6"/>
  <c r="H480" i="6"/>
  <c r="L480" i="6"/>
  <c r="H481" i="6"/>
  <c r="L481" i="6"/>
  <c r="H482" i="6"/>
  <c r="L482" i="6"/>
  <c r="H483" i="6"/>
  <c r="L483" i="6"/>
  <c r="H484" i="6"/>
  <c r="L484" i="6"/>
  <c r="H485" i="6"/>
  <c r="L485" i="6"/>
  <c r="H486" i="6"/>
  <c r="L486" i="6"/>
  <c r="H487" i="6"/>
  <c r="L487" i="6"/>
  <c r="H488" i="6"/>
  <c r="L488" i="6"/>
  <c r="H489" i="6"/>
  <c r="L489" i="6"/>
  <c r="H490" i="6"/>
  <c r="L490" i="6"/>
  <c r="H491" i="6"/>
  <c r="L491" i="6"/>
  <c r="H492" i="6"/>
  <c r="L492" i="6"/>
  <c r="H493" i="6"/>
  <c r="L493" i="6"/>
  <c r="H494" i="6"/>
  <c r="L494" i="6"/>
  <c r="H495" i="6"/>
  <c r="L495" i="6"/>
  <c r="H496" i="6"/>
  <c r="L496" i="6"/>
  <c r="H497" i="6"/>
  <c r="L497" i="6"/>
  <c r="H498" i="6"/>
  <c r="L498" i="6"/>
  <c r="H499" i="6"/>
  <c r="L499" i="6"/>
  <c r="H500" i="6"/>
  <c r="L500" i="6"/>
  <c r="H501" i="6"/>
  <c r="L501" i="6"/>
  <c r="H502" i="6"/>
  <c r="L502" i="6"/>
  <c r="H503" i="6"/>
  <c r="L503" i="6"/>
  <c r="H504" i="6"/>
  <c r="L504" i="6"/>
  <c r="H505" i="6"/>
  <c r="L505" i="6"/>
  <c r="H506" i="6"/>
  <c r="L506" i="6"/>
  <c r="H507" i="6"/>
  <c r="L507" i="6"/>
  <c r="H508" i="6"/>
  <c r="L508" i="6"/>
  <c r="H509" i="6"/>
  <c r="L509" i="6"/>
  <c r="H510" i="6"/>
  <c r="L510" i="6"/>
  <c r="H511" i="6"/>
  <c r="L511" i="6"/>
  <c r="H512" i="6"/>
  <c r="L512" i="6"/>
  <c r="H513" i="6"/>
  <c r="L513" i="6"/>
  <c r="H514" i="6"/>
  <c r="L514" i="6"/>
  <c r="H515" i="6"/>
  <c r="L515" i="6"/>
  <c r="H516" i="6"/>
  <c r="L516" i="6"/>
  <c r="H517" i="6"/>
  <c r="L517" i="6"/>
  <c r="H518" i="6"/>
  <c r="L518" i="6"/>
  <c r="H519" i="6"/>
  <c r="L519" i="6"/>
  <c r="H520" i="6"/>
  <c r="L520" i="6"/>
  <c r="H521" i="6"/>
  <c r="L521" i="6"/>
  <c r="H522" i="6"/>
  <c r="L522" i="6"/>
  <c r="H523" i="6"/>
  <c r="L523" i="6"/>
  <c r="H524" i="6"/>
  <c r="L524" i="6"/>
  <c r="H525" i="6"/>
  <c r="L525" i="6"/>
  <c r="H526" i="6"/>
  <c r="L526" i="6"/>
  <c r="H527" i="6"/>
  <c r="L527" i="6"/>
  <c r="H528" i="6"/>
  <c r="L528" i="6"/>
  <c r="H529" i="6"/>
  <c r="L529" i="6"/>
  <c r="H530" i="6"/>
  <c r="L530" i="6"/>
  <c r="H531" i="6"/>
  <c r="L531" i="6"/>
  <c r="H532" i="6"/>
  <c r="L532" i="6"/>
  <c r="H533" i="6"/>
  <c r="L533" i="6"/>
  <c r="H534" i="6"/>
  <c r="L534" i="6"/>
  <c r="H535" i="6"/>
  <c r="L535" i="6"/>
  <c r="H536" i="6"/>
  <c r="L536" i="6"/>
  <c r="H537" i="6"/>
  <c r="L537" i="6"/>
  <c r="H538" i="6"/>
  <c r="L538" i="6"/>
  <c r="H539" i="6"/>
  <c r="L539" i="6"/>
  <c r="H540" i="6"/>
  <c r="L540" i="6"/>
  <c r="H541" i="6"/>
  <c r="L541" i="6"/>
  <c r="H542" i="6"/>
  <c r="L542" i="6"/>
  <c r="H543" i="6"/>
  <c r="L543" i="6"/>
  <c r="H544" i="6"/>
  <c r="L544" i="6"/>
  <c r="H545" i="6"/>
  <c r="L545" i="6"/>
  <c r="H546" i="6"/>
  <c r="L546" i="6"/>
  <c r="H547" i="6"/>
  <c r="L547" i="6"/>
  <c r="H548" i="6"/>
  <c r="L548" i="6"/>
  <c r="H549" i="6"/>
  <c r="L549" i="6"/>
  <c r="H550" i="6"/>
  <c r="L550" i="6"/>
  <c r="H551" i="6"/>
  <c r="L551" i="6"/>
  <c r="H552" i="6"/>
  <c r="L552" i="6"/>
  <c r="H553" i="6"/>
  <c r="L553" i="6"/>
  <c r="H554" i="6"/>
  <c r="L554" i="6"/>
  <c r="H555" i="6"/>
  <c r="L555" i="6"/>
  <c r="H556" i="6"/>
  <c r="L556" i="6"/>
  <c r="H557" i="6"/>
  <c r="L557" i="6"/>
  <c r="H558" i="6"/>
  <c r="L558" i="6"/>
  <c r="H559" i="6"/>
  <c r="L559" i="6"/>
  <c r="H560" i="6"/>
  <c r="L560" i="6"/>
  <c r="H561" i="6"/>
  <c r="L561" i="6"/>
  <c r="H562" i="6"/>
  <c r="L562" i="6"/>
  <c r="H563" i="6"/>
  <c r="L563" i="6"/>
  <c r="H564" i="6"/>
  <c r="L564" i="6"/>
  <c r="H565" i="6"/>
  <c r="L565" i="6"/>
  <c r="H566" i="6"/>
  <c r="L566" i="6"/>
  <c r="H567" i="6"/>
  <c r="L567" i="6"/>
  <c r="H568" i="6"/>
  <c r="L568" i="6"/>
  <c r="H569" i="6"/>
  <c r="L569" i="6"/>
  <c r="H570" i="6"/>
  <c r="L570" i="6"/>
  <c r="H571" i="6"/>
  <c r="L571" i="6"/>
  <c r="H572" i="6"/>
  <c r="L572" i="6"/>
  <c r="H573" i="6"/>
  <c r="L573" i="6"/>
  <c r="H574" i="6"/>
  <c r="L574" i="6"/>
  <c r="H575" i="6"/>
  <c r="L575" i="6"/>
  <c r="H576" i="6"/>
  <c r="L576" i="6"/>
  <c r="H577" i="6"/>
  <c r="L577" i="6"/>
  <c r="H578" i="6"/>
  <c r="L578" i="6"/>
  <c r="H579" i="6"/>
  <c r="L579" i="6"/>
  <c r="H580" i="6"/>
  <c r="L580" i="6"/>
  <c r="H581" i="6"/>
  <c r="L581" i="6"/>
  <c r="H582" i="6"/>
  <c r="L582" i="6"/>
  <c r="H583" i="6"/>
  <c r="L583" i="6"/>
  <c r="H584" i="6"/>
  <c r="L584" i="6"/>
  <c r="H585" i="6"/>
  <c r="L585" i="6"/>
  <c r="H586" i="6"/>
  <c r="L586" i="6"/>
  <c r="H587" i="6"/>
  <c r="L587" i="6"/>
  <c r="H588" i="6"/>
  <c r="L588" i="6"/>
  <c r="H589" i="6"/>
  <c r="L589" i="6"/>
  <c r="H590" i="6"/>
  <c r="L590" i="6"/>
  <c r="H591" i="6"/>
  <c r="L591" i="6"/>
  <c r="H592" i="6"/>
  <c r="L592" i="6"/>
  <c r="H593" i="6"/>
  <c r="L593" i="6"/>
  <c r="H594" i="6"/>
  <c r="L594" i="6"/>
  <c r="H595" i="6"/>
  <c r="L595" i="6"/>
  <c r="H596" i="6"/>
  <c r="L596" i="6"/>
  <c r="H597" i="6"/>
  <c r="L597" i="6"/>
  <c r="H598" i="6"/>
  <c r="L598" i="6"/>
  <c r="H599" i="6"/>
  <c r="L599" i="6"/>
  <c r="H600" i="6"/>
  <c r="L600" i="6"/>
  <c r="H601" i="6"/>
  <c r="L601" i="6"/>
  <c r="H602" i="6"/>
  <c r="L602" i="6"/>
  <c r="H603" i="6"/>
  <c r="L603" i="6"/>
  <c r="H604" i="6"/>
  <c r="L604" i="6"/>
  <c r="H605" i="6"/>
  <c r="L605" i="6"/>
  <c r="H606" i="6"/>
  <c r="L606" i="6"/>
  <c r="H607" i="6"/>
  <c r="L607" i="6"/>
  <c r="H608" i="6"/>
  <c r="L608" i="6"/>
  <c r="H609" i="6"/>
  <c r="L609" i="6"/>
  <c r="H610" i="6"/>
  <c r="L610" i="6"/>
  <c r="H611" i="6"/>
  <c r="L611" i="6"/>
  <c r="H612" i="6"/>
  <c r="L612" i="6"/>
  <c r="H613" i="6"/>
  <c r="L613" i="6"/>
  <c r="H614" i="6"/>
  <c r="L614" i="6"/>
  <c r="H615" i="6"/>
  <c r="L615" i="6"/>
  <c r="H616" i="6"/>
  <c r="L616" i="6"/>
  <c r="H617" i="6"/>
  <c r="L617" i="6"/>
  <c r="H618" i="6"/>
  <c r="L618" i="6"/>
  <c r="H619" i="6"/>
  <c r="L619" i="6"/>
  <c r="H620" i="6"/>
  <c r="L620" i="6"/>
  <c r="H621" i="6"/>
  <c r="L621" i="6"/>
  <c r="H622" i="6"/>
  <c r="L622" i="6"/>
  <c r="H623" i="6"/>
  <c r="L623" i="6"/>
  <c r="H624" i="6"/>
  <c r="L624" i="6"/>
  <c r="H625" i="6"/>
  <c r="L625" i="6"/>
  <c r="H626" i="6"/>
  <c r="L626" i="6"/>
  <c r="H627" i="6"/>
  <c r="L627" i="6"/>
  <c r="H628" i="6"/>
  <c r="L628" i="6"/>
  <c r="H629" i="6"/>
  <c r="L629" i="6"/>
  <c r="H630" i="6"/>
  <c r="L630" i="6"/>
  <c r="H631" i="6"/>
  <c r="L631" i="6"/>
  <c r="H632" i="6"/>
  <c r="L632" i="6"/>
  <c r="H633" i="6"/>
  <c r="L633" i="6"/>
  <c r="H634" i="6"/>
  <c r="L634" i="6"/>
  <c r="H635" i="6"/>
  <c r="L635" i="6"/>
  <c r="H636" i="6"/>
  <c r="L636" i="6"/>
  <c r="H637" i="6"/>
  <c r="L637" i="6"/>
  <c r="H638" i="6"/>
  <c r="L638" i="6"/>
  <c r="H639" i="6"/>
  <c r="L639" i="6"/>
  <c r="H640" i="6"/>
  <c r="L640" i="6"/>
  <c r="H641" i="6"/>
  <c r="L641" i="6"/>
  <c r="H642" i="6"/>
  <c r="L642" i="6"/>
  <c r="H643" i="6"/>
  <c r="L643" i="6"/>
  <c r="H644" i="6"/>
  <c r="L644" i="6"/>
  <c r="H645" i="6"/>
  <c r="L645" i="6"/>
  <c r="H646" i="6"/>
  <c r="L646" i="6"/>
  <c r="H647" i="6"/>
  <c r="L647" i="6"/>
  <c r="H648" i="6"/>
  <c r="L648" i="6"/>
  <c r="H649" i="6"/>
  <c r="L649" i="6"/>
  <c r="H650" i="6"/>
  <c r="L650" i="6"/>
  <c r="H651" i="6"/>
  <c r="L651" i="6"/>
  <c r="H652" i="6"/>
  <c r="L652" i="6"/>
  <c r="H653" i="6"/>
  <c r="L653" i="6"/>
  <c r="H654" i="6"/>
  <c r="L654" i="6"/>
  <c r="H655" i="6"/>
  <c r="L655" i="6"/>
  <c r="H656" i="6"/>
  <c r="L656" i="6"/>
  <c r="H657" i="6"/>
  <c r="L657" i="6"/>
  <c r="H658" i="6"/>
  <c r="L658" i="6"/>
  <c r="H659" i="6"/>
  <c r="L659" i="6"/>
  <c r="H660" i="6"/>
  <c r="L660" i="6"/>
  <c r="H661" i="6"/>
  <c r="L661" i="6"/>
  <c r="H662" i="6"/>
  <c r="L662" i="6"/>
  <c r="H663" i="6"/>
  <c r="L663" i="6"/>
  <c r="H664" i="6"/>
  <c r="L664" i="6"/>
  <c r="H665" i="6"/>
  <c r="L665" i="6"/>
  <c r="H666" i="6"/>
  <c r="L666" i="6"/>
  <c r="H667" i="6"/>
  <c r="L667" i="6"/>
  <c r="H668" i="6"/>
  <c r="L668" i="6"/>
  <c r="H669" i="6"/>
  <c r="L669" i="6"/>
  <c r="H670" i="6"/>
  <c r="L670" i="6"/>
  <c r="H671" i="6"/>
  <c r="L671" i="6"/>
  <c r="H672" i="6"/>
  <c r="L672" i="6"/>
  <c r="H673" i="6"/>
  <c r="L673" i="6"/>
  <c r="H674" i="6"/>
  <c r="L674" i="6"/>
  <c r="H675" i="6"/>
  <c r="L675" i="6"/>
  <c r="H676" i="6"/>
  <c r="L676" i="6"/>
  <c r="H677" i="6"/>
  <c r="L677" i="6"/>
  <c r="H678" i="6"/>
  <c r="L678" i="6"/>
  <c r="H679" i="6"/>
  <c r="L679" i="6"/>
  <c r="H680" i="6"/>
  <c r="L680" i="6"/>
  <c r="H681" i="6"/>
  <c r="L681" i="6"/>
  <c r="H682" i="6"/>
  <c r="L682" i="6"/>
  <c r="H683" i="6"/>
  <c r="L683" i="6"/>
  <c r="H684" i="6"/>
  <c r="L684" i="6"/>
  <c r="H685" i="6"/>
  <c r="L685" i="6"/>
  <c r="H686" i="6"/>
  <c r="L686" i="6"/>
  <c r="H687" i="6"/>
  <c r="L687" i="6"/>
  <c r="H688" i="6"/>
  <c r="L688" i="6"/>
  <c r="H689" i="6"/>
  <c r="L689" i="6"/>
  <c r="H690" i="6"/>
  <c r="L690" i="6"/>
  <c r="H691" i="6"/>
  <c r="L691" i="6"/>
  <c r="H692" i="6"/>
  <c r="L692" i="6"/>
  <c r="H693" i="6"/>
  <c r="L693" i="6"/>
  <c r="H694" i="6"/>
  <c r="L694" i="6"/>
  <c r="H695" i="6"/>
  <c r="L695" i="6"/>
  <c r="H696" i="6"/>
  <c r="L696" i="6"/>
  <c r="H697" i="6"/>
  <c r="L697" i="6"/>
  <c r="H698" i="6"/>
  <c r="L698" i="6"/>
  <c r="H699" i="6"/>
  <c r="L699" i="6"/>
  <c r="H700" i="6"/>
  <c r="L700" i="6"/>
  <c r="H701" i="6"/>
  <c r="L701" i="6"/>
  <c r="H702" i="6"/>
  <c r="L702" i="6"/>
  <c r="H703" i="6"/>
  <c r="L703" i="6"/>
  <c r="H704" i="6"/>
  <c r="L704" i="6"/>
  <c r="H705" i="6"/>
  <c r="L705" i="6"/>
  <c r="H706" i="6"/>
  <c r="L706" i="6"/>
  <c r="H707" i="6"/>
  <c r="L707" i="6"/>
  <c r="H708" i="6"/>
  <c r="L708" i="6"/>
  <c r="H709" i="6"/>
  <c r="L709" i="6"/>
  <c r="H710" i="6"/>
  <c r="L710" i="6"/>
  <c r="H711" i="6"/>
  <c r="L711" i="6"/>
  <c r="H712" i="6"/>
  <c r="L712" i="6"/>
  <c r="H713" i="6"/>
  <c r="L713" i="6"/>
  <c r="H714" i="6"/>
  <c r="L714" i="6"/>
  <c r="H715" i="6"/>
  <c r="L715" i="6"/>
  <c r="H716" i="6"/>
  <c r="L716" i="6"/>
  <c r="H717" i="6"/>
  <c r="L717" i="6"/>
  <c r="H718" i="6"/>
  <c r="L718" i="6"/>
  <c r="H719" i="6"/>
  <c r="L719" i="6"/>
  <c r="H720" i="6"/>
  <c r="L720" i="6"/>
  <c r="H721" i="6"/>
  <c r="L721" i="6"/>
  <c r="H722" i="6"/>
  <c r="L722" i="6"/>
  <c r="H723" i="6"/>
  <c r="L723" i="6"/>
  <c r="H724" i="6"/>
  <c r="L724" i="6"/>
  <c r="H725" i="6"/>
  <c r="L725" i="6"/>
  <c r="H726" i="6"/>
  <c r="L726" i="6"/>
  <c r="H727" i="6"/>
  <c r="L727" i="6"/>
  <c r="H728" i="6"/>
  <c r="L728" i="6"/>
  <c r="H729" i="6"/>
  <c r="L729" i="6"/>
  <c r="H730" i="6"/>
  <c r="L730" i="6"/>
  <c r="H731" i="6"/>
  <c r="L731" i="6"/>
  <c r="H732" i="6"/>
  <c r="L732" i="6"/>
  <c r="H733" i="6"/>
  <c r="L733" i="6"/>
  <c r="H734" i="6"/>
  <c r="L734" i="6"/>
  <c r="H735" i="6"/>
  <c r="L735" i="6"/>
  <c r="H736" i="6"/>
  <c r="L736" i="6"/>
  <c r="H737" i="6"/>
  <c r="L737" i="6"/>
  <c r="H738" i="6"/>
  <c r="L738" i="6"/>
  <c r="H739" i="6"/>
  <c r="L739" i="6"/>
  <c r="H740" i="6"/>
  <c r="L740" i="6"/>
  <c r="H741" i="6"/>
  <c r="L741" i="6"/>
  <c r="H742" i="6"/>
  <c r="L742" i="6"/>
  <c r="H743" i="6"/>
  <c r="L743" i="6"/>
  <c r="H744" i="6"/>
  <c r="L744" i="6"/>
  <c r="H745" i="6"/>
  <c r="L745" i="6"/>
  <c r="H746" i="6"/>
  <c r="L746" i="6"/>
  <c r="H747" i="6"/>
  <c r="L747" i="6"/>
  <c r="H748" i="6"/>
  <c r="L748" i="6"/>
  <c r="H749" i="6"/>
  <c r="L749" i="6"/>
  <c r="H750" i="6"/>
  <c r="L750" i="6"/>
  <c r="H751" i="6"/>
  <c r="L751" i="6"/>
  <c r="H752" i="6"/>
  <c r="L752" i="6"/>
  <c r="H753" i="6"/>
  <c r="L753" i="6"/>
  <c r="H754" i="6"/>
  <c r="L754" i="6"/>
  <c r="H755" i="6"/>
  <c r="L755" i="6"/>
  <c r="H756" i="6"/>
  <c r="L756" i="6"/>
  <c r="H757" i="6"/>
  <c r="L757" i="6"/>
  <c r="H758" i="6"/>
  <c r="L758" i="6"/>
  <c r="H759" i="6"/>
  <c r="L759" i="6"/>
  <c r="H760" i="6"/>
  <c r="L760" i="6"/>
  <c r="H761" i="6"/>
  <c r="L761" i="6"/>
  <c r="H762" i="6"/>
  <c r="L762" i="6"/>
  <c r="H763" i="6"/>
  <c r="L763" i="6"/>
  <c r="H764" i="6"/>
  <c r="L764" i="6"/>
  <c r="H765" i="6"/>
  <c r="L765" i="6"/>
  <c r="H766" i="6"/>
  <c r="L766" i="6"/>
  <c r="H767" i="6"/>
  <c r="L767" i="6"/>
  <c r="H768" i="6"/>
  <c r="L768" i="6"/>
  <c r="H769" i="6"/>
  <c r="L769" i="6"/>
  <c r="H770" i="6"/>
  <c r="L770" i="6"/>
  <c r="H771" i="6"/>
  <c r="L771" i="6"/>
  <c r="H772" i="6"/>
  <c r="L772" i="6"/>
  <c r="H773" i="6"/>
  <c r="L773" i="6"/>
  <c r="H774" i="6"/>
  <c r="L774" i="6"/>
  <c r="H775" i="6"/>
  <c r="L775" i="6"/>
  <c r="H776" i="6"/>
  <c r="L776" i="6"/>
  <c r="H777" i="6"/>
  <c r="L777" i="6"/>
  <c r="H778" i="6"/>
  <c r="L778" i="6"/>
  <c r="H779" i="6"/>
  <c r="L779" i="6"/>
  <c r="H780" i="6"/>
  <c r="L780" i="6"/>
  <c r="H781" i="6"/>
  <c r="L781" i="6"/>
  <c r="H782" i="6"/>
  <c r="L782" i="6"/>
  <c r="H783" i="6"/>
  <c r="L783" i="6"/>
  <c r="H784" i="6"/>
  <c r="L784" i="6"/>
  <c r="H785" i="6"/>
  <c r="L785" i="6"/>
  <c r="H786" i="6"/>
  <c r="L786" i="6"/>
  <c r="H787" i="6"/>
  <c r="L787" i="6"/>
  <c r="H788" i="6"/>
  <c r="L788" i="6"/>
  <c r="H789" i="6"/>
  <c r="L789" i="6"/>
  <c r="H790" i="6"/>
  <c r="L790" i="6"/>
  <c r="H791" i="6"/>
  <c r="L791" i="6"/>
  <c r="H792" i="6"/>
  <c r="L792" i="6"/>
  <c r="H793" i="6"/>
  <c r="L793" i="6"/>
  <c r="H794" i="6"/>
  <c r="L794" i="6"/>
  <c r="H795" i="6"/>
  <c r="L795" i="6"/>
  <c r="H796" i="6"/>
  <c r="L796" i="6"/>
  <c r="H797" i="6"/>
  <c r="L797" i="6"/>
  <c r="H798" i="6"/>
  <c r="L798" i="6"/>
  <c r="H799" i="6"/>
  <c r="L799" i="6"/>
  <c r="H800" i="6"/>
  <c r="L800" i="6"/>
  <c r="H801" i="6"/>
  <c r="L801" i="6"/>
  <c r="H802" i="6"/>
  <c r="L802" i="6"/>
  <c r="H803" i="6"/>
  <c r="L803" i="6"/>
  <c r="H804" i="6"/>
  <c r="L804" i="6"/>
  <c r="H805" i="6"/>
  <c r="L805" i="6"/>
  <c r="H806" i="6"/>
  <c r="L806" i="6"/>
  <c r="H807" i="6"/>
  <c r="L807" i="6"/>
  <c r="H808" i="6"/>
  <c r="L808" i="6"/>
  <c r="H809" i="6"/>
  <c r="L809" i="6"/>
  <c r="H810" i="6"/>
  <c r="L810" i="6"/>
  <c r="H811" i="6"/>
  <c r="L811" i="6"/>
  <c r="H812" i="6"/>
  <c r="L812" i="6"/>
  <c r="H813" i="6"/>
  <c r="L813" i="6"/>
  <c r="H814" i="6"/>
  <c r="L814" i="6"/>
  <c r="H815" i="6"/>
  <c r="L815" i="6"/>
  <c r="H816" i="6"/>
  <c r="L816" i="6"/>
  <c r="H817" i="6"/>
  <c r="L817" i="6"/>
  <c r="H818" i="6"/>
  <c r="L818" i="6"/>
  <c r="H819" i="6"/>
  <c r="L819" i="6"/>
  <c r="H820" i="6"/>
  <c r="L820" i="6"/>
  <c r="H821" i="6"/>
  <c r="L821" i="6"/>
  <c r="H822" i="6"/>
  <c r="L822" i="6"/>
  <c r="H823" i="6"/>
  <c r="L823" i="6"/>
  <c r="H824" i="6"/>
  <c r="L824" i="6"/>
  <c r="H825" i="6"/>
  <c r="L825" i="6"/>
  <c r="H826" i="6"/>
  <c r="L826" i="6"/>
  <c r="H827" i="6"/>
  <c r="L827" i="6"/>
  <c r="H828" i="6"/>
  <c r="L828" i="6"/>
  <c r="H829" i="6"/>
  <c r="L829" i="6"/>
  <c r="H830" i="6"/>
  <c r="L830" i="6"/>
  <c r="H831" i="6"/>
  <c r="L831" i="6"/>
  <c r="H832" i="6"/>
  <c r="L832" i="6"/>
  <c r="H833" i="6"/>
  <c r="L833" i="6"/>
  <c r="H834" i="6"/>
  <c r="L834" i="6"/>
  <c r="H835" i="6"/>
  <c r="L835" i="6"/>
  <c r="H836" i="6"/>
  <c r="L836" i="6"/>
  <c r="H837" i="6"/>
  <c r="L837" i="6"/>
  <c r="H838" i="6"/>
  <c r="L838" i="6"/>
  <c r="H839" i="6"/>
  <c r="L839" i="6"/>
  <c r="H840" i="6"/>
  <c r="L840" i="6"/>
  <c r="H841" i="6"/>
  <c r="L841" i="6"/>
  <c r="H842" i="6"/>
  <c r="L842" i="6"/>
  <c r="H843" i="6"/>
  <c r="L843" i="6"/>
  <c r="H844" i="6"/>
  <c r="L844" i="6"/>
  <c r="H845" i="6"/>
  <c r="L845" i="6"/>
  <c r="H846" i="6"/>
  <c r="L846" i="6"/>
  <c r="H847" i="6"/>
  <c r="L847" i="6"/>
  <c r="H848" i="6"/>
  <c r="L848" i="6"/>
  <c r="H849" i="6"/>
  <c r="L849" i="6"/>
  <c r="H850" i="6"/>
  <c r="L850" i="6"/>
  <c r="H851" i="6"/>
  <c r="L851" i="6"/>
  <c r="H852" i="6"/>
  <c r="L852" i="6"/>
  <c r="H853" i="6"/>
  <c r="L853" i="6"/>
  <c r="H854" i="6"/>
  <c r="L854" i="6"/>
  <c r="H855" i="6"/>
  <c r="L855" i="6"/>
  <c r="H856" i="6"/>
  <c r="L856" i="6"/>
  <c r="H857" i="6"/>
  <c r="L857" i="6"/>
  <c r="H858" i="6"/>
  <c r="L858" i="6"/>
  <c r="H859" i="6"/>
  <c r="L859" i="6"/>
  <c r="H860" i="6"/>
  <c r="L860" i="6"/>
  <c r="H861" i="6"/>
  <c r="L861" i="6"/>
  <c r="H862" i="6"/>
  <c r="L862" i="6"/>
  <c r="H863" i="6"/>
  <c r="L863" i="6"/>
  <c r="H864" i="6"/>
  <c r="L864" i="6"/>
  <c r="H865" i="6"/>
  <c r="L865" i="6"/>
  <c r="H866" i="6"/>
  <c r="L866" i="6"/>
  <c r="H867" i="6"/>
  <c r="L867" i="6"/>
  <c r="H868" i="6"/>
  <c r="L868" i="6"/>
  <c r="H869" i="6"/>
  <c r="L869" i="6"/>
  <c r="H870" i="6"/>
  <c r="L870" i="6"/>
  <c r="H871" i="6"/>
  <c r="L871" i="6"/>
  <c r="H872" i="6"/>
  <c r="L872" i="6"/>
  <c r="H873" i="6"/>
  <c r="L873" i="6"/>
  <c r="H874" i="6"/>
  <c r="L874" i="6"/>
  <c r="H875" i="6"/>
  <c r="L875" i="6"/>
  <c r="H876" i="6"/>
  <c r="L876" i="6"/>
  <c r="H877" i="6"/>
  <c r="L877" i="6"/>
  <c r="H878" i="6"/>
  <c r="L878" i="6"/>
  <c r="H879" i="6"/>
  <c r="L879" i="6"/>
  <c r="H880" i="6"/>
  <c r="L880" i="6"/>
  <c r="H881" i="6"/>
  <c r="L881" i="6"/>
  <c r="H882" i="6"/>
  <c r="L882" i="6"/>
  <c r="H883" i="6"/>
  <c r="L883" i="6"/>
  <c r="H884" i="6"/>
  <c r="L884" i="6"/>
  <c r="H885" i="6"/>
  <c r="L885" i="6"/>
  <c r="H886" i="6"/>
  <c r="L886" i="6"/>
  <c r="H887" i="6"/>
  <c r="L887" i="6"/>
  <c r="H888" i="6"/>
  <c r="L888" i="6"/>
  <c r="H889" i="6"/>
  <c r="L889" i="6"/>
  <c r="H890" i="6"/>
  <c r="L890" i="6"/>
  <c r="H891" i="6"/>
  <c r="L891" i="6"/>
  <c r="H892" i="6"/>
  <c r="L892" i="6"/>
  <c r="H893" i="6"/>
  <c r="L893" i="6"/>
  <c r="H894" i="6"/>
  <c r="L894" i="6"/>
  <c r="H895" i="6"/>
  <c r="L895" i="6"/>
  <c r="H896" i="6"/>
  <c r="L896" i="6"/>
  <c r="H897" i="6"/>
  <c r="L897" i="6"/>
  <c r="H898" i="6"/>
  <c r="L898" i="6"/>
  <c r="H899" i="6"/>
  <c r="L899" i="6"/>
  <c r="H900" i="6"/>
  <c r="L900" i="6"/>
  <c r="H901" i="6"/>
  <c r="L901" i="6"/>
  <c r="H902" i="6"/>
  <c r="L902" i="6"/>
  <c r="H903" i="6"/>
  <c r="L903" i="6"/>
  <c r="H904" i="6"/>
  <c r="L904" i="6"/>
  <c r="H905" i="6"/>
  <c r="L905" i="6"/>
  <c r="H906" i="6"/>
  <c r="L906" i="6"/>
  <c r="H907" i="6"/>
  <c r="L907" i="6"/>
  <c r="H908" i="6"/>
  <c r="L908" i="6"/>
  <c r="H909" i="6"/>
  <c r="L909" i="6"/>
  <c r="H910" i="6"/>
  <c r="L910" i="6"/>
  <c r="H911" i="6"/>
  <c r="L911" i="6"/>
  <c r="H912" i="6"/>
  <c r="L912" i="6"/>
  <c r="H913" i="6"/>
  <c r="L913" i="6"/>
  <c r="H914" i="6"/>
  <c r="L914" i="6"/>
  <c r="H915" i="6"/>
  <c r="L915" i="6"/>
  <c r="H916" i="6"/>
  <c r="L916" i="6"/>
  <c r="H917" i="6"/>
  <c r="L917" i="6"/>
  <c r="H918" i="6"/>
  <c r="L918" i="6"/>
  <c r="H919" i="6"/>
  <c r="L919" i="6"/>
  <c r="H920" i="6"/>
  <c r="L920" i="6"/>
  <c r="H921" i="6"/>
  <c r="L921" i="6"/>
  <c r="H922" i="6"/>
  <c r="L922" i="6"/>
  <c r="H923" i="6"/>
  <c r="L923" i="6"/>
  <c r="H924" i="6"/>
  <c r="L924" i="6"/>
  <c r="H925" i="6"/>
  <c r="L925" i="6"/>
  <c r="H926" i="6"/>
  <c r="L926" i="6"/>
  <c r="H927" i="6"/>
  <c r="L927" i="6"/>
  <c r="H928" i="6"/>
  <c r="L928" i="6"/>
  <c r="H929" i="6"/>
  <c r="L929" i="6"/>
  <c r="H930" i="6"/>
  <c r="L930" i="6"/>
  <c r="H931" i="6"/>
  <c r="L931" i="6"/>
  <c r="H932" i="6"/>
  <c r="L932" i="6"/>
  <c r="H933" i="6"/>
  <c r="L933" i="6"/>
  <c r="H934" i="6"/>
  <c r="L934" i="6"/>
  <c r="H935" i="6"/>
  <c r="L935" i="6"/>
  <c r="H936" i="6"/>
  <c r="L936" i="6"/>
  <c r="H937" i="6"/>
  <c r="L937" i="6"/>
  <c r="H938" i="6"/>
  <c r="L938" i="6"/>
  <c r="H939" i="6"/>
  <c r="L939" i="6"/>
  <c r="H940" i="6"/>
  <c r="L940" i="6"/>
  <c r="H941" i="6"/>
  <c r="L941" i="6"/>
  <c r="H942" i="6"/>
  <c r="L942" i="6"/>
  <c r="H943" i="6"/>
  <c r="L943" i="6"/>
  <c r="H944" i="6"/>
  <c r="L944" i="6"/>
  <c r="H945" i="6"/>
  <c r="L945" i="6"/>
  <c r="H946" i="6"/>
  <c r="L946" i="6"/>
  <c r="H947" i="6"/>
  <c r="L947" i="6"/>
  <c r="H948" i="6"/>
  <c r="L948" i="6"/>
  <c r="H949" i="6"/>
  <c r="L949" i="6"/>
  <c r="H950" i="6"/>
  <c r="L950" i="6"/>
  <c r="H951" i="6"/>
  <c r="L951" i="6"/>
  <c r="H952" i="6"/>
  <c r="L952" i="6"/>
  <c r="H953" i="6"/>
  <c r="L953" i="6"/>
  <c r="H954" i="6"/>
  <c r="L954" i="6"/>
  <c r="H955" i="6"/>
  <c r="L955" i="6"/>
  <c r="H956" i="6"/>
  <c r="L956" i="6"/>
  <c r="H957" i="6"/>
  <c r="L957" i="6"/>
  <c r="H958" i="6"/>
  <c r="L958" i="6"/>
  <c r="H959" i="6"/>
  <c r="L959" i="6"/>
  <c r="H960" i="6"/>
  <c r="L960" i="6"/>
  <c r="H961" i="6"/>
  <c r="L961" i="6"/>
  <c r="H962" i="6"/>
  <c r="L962" i="6"/>
  <c r="H963" i="6"/>
  <c r="L963" i="6"/>
  <c r="H964" i="6"/>
  <c r="L964" i="6"/>
  <c r="H965" i="6"/>
  <c r="L965" i="6"/>
  <c r="H966" i="6"/>
  <c r="L966" i="6"/>
  <c r="H967" i="6"/>
  <c r="L967" i="6"/>
  <c r="H968" i="6"/>
  <c r="L968" i="6"/>
  <c r="H969" i="6"/>
  <c r="L969" i="6"/>
  <c r="H970" i="6"/>
  <c r="L970" i="6"/>
  <c r="H971" i="6"/>
  <c r="L971" i="6"/>
  <c r="H972" i="6"/>
  <c r="L972" i="6"/>
  <c r="H973" i="6"/>
  <c r="L973" i="6"/>
  <c r="H974" i="6"/>
  <c r="L974" i="6"/>
  <c r="H975" i="6"/>
  <c r="L975" i="6"/>
  <c r="H976" i="6"/>
  <c r="L976" i="6"/>
  <c r="H977" i="6"/>
  <c r="L977" i="6"/>
  <c r="H978" i="6"/>
  <c r="L978" i="6"/>
  <c r="H979" i="6"/>
  <c r="L979" i="6"/>
  <c r="H980" i="6"/>
  <c r="L980" i="6"/>
  <c r="H981" i="6"/>
  <c r="L981" i="6"/>
  <c r="H982" i="6"/>
  <c r="L982" i="6"/>
  <c r="H983" i="6"/>
  <c r="L983" i="6"/>
  <c r="H984" i="6"/>
  <c r="L984" i="6"/>
  <c r="H985" i="6"/>
  <c r="L985" i="6"/>
  <c r="H986" i="6"/>
  <c r="L986" i="6"/>
  <c r="H987" i="6"/>
  <c r="L987" i="6"/>
  <c r="H988" i="6"/>
  <c r="L988" i="6"/>
  <c r="H989" i="6"/>
  <c r="L989" i="6"/>
  <c r="H990" i="6"/>
  <c r="L990" i="6"/>
  <c r="H991" i="6"/>
  <c r="L991" i="6"/>
  <c r="H992" i="6"/>
  <c r="L992" i="6"/>
  <c r="H993" i="6"/>
  <c r="L993" i="6"/>
  <c r="H994" i="6"/>
  <c r="L994" i="6"/>
  <c r="H995" i="6"/>
  <c r="L995" i="6"/>
  <c r="H996" i="6"/>
  <c r="L996" i="6"/>
  <c r="H997" i="6"/>
  <c r="L997" i="6"/>
  <c r="H998" i="6"/>
  <c r="L998" i="6"/>
  <c r="H999" i="6"/>
  <c r="L999" i="6"/>
  <c r="H1000" i="6"/>
  <c r="L1000" i="6"/>
  <c r="H1001" i="6"/>
  <c r="L1001" i="6"/>
  <c r="H1002" i="6"/>
  <c r="L1002" i="6"/>
  <c r="H1003" i="6"/>
  <c r="L1003" i="6"/>
  <c r="H1004" i="6"/>
  <c r="L1004" i="6"/>
  <c r="H1005" i="6"/>
  <c r="L1005" i="6"/>
  <c r="H1006" i="6"/>
  <c r="L1006" i="6"/>
  <c r="H1007" i="6"/>
  <c r="L1007" i="6"/>
  <c r="H1008" i="6"/>
  <c r="L1008" i="6"/>
  <c r="H1009" i="6"/>
  <c r="L1009" i="6"/>
  <c r="H1010" i="6"/>
  <c r="L1010" i="6"/>
  <c r="H1011" i="6"/>
  <c r="L1011" i="6"/>
  <c r="H1012" i="6"/>
  <c r="L1012" i="6"/>
  <c r="H1013" i="6"/>
  <c r="L1013" i="6"/>
  <c r="H1014" i="6"/>
  <c r="L1014" i="6"/>
  <c r="H1015" i="6"/>
  <c r="L1015" i="6"/>
  <c r="H1016" i="6"/>
  <c r="L1016" i="6"/>
  <c r="H1017" i="6"/>
  <c r="L1017" i="6"/>
  <c r="H1018" i="6"/>
  <c r="L1018" i="6"/>
  <c r="H1019" i="6"/>
  <c r="L1019" i="6"/>
  <c r="H1020" i="6"/>
  <c r="L1020" i="6"/>
  <c r="H1021" i="6"/>
  <c r="L1021" i="6"/>
  <c r="H1022" i="6"/>
  <c r="L1022" i="6"/>
  <c r="H1023" i="6"/>
  <c r="L1023" i="6"/>
  <c r="H1024" i="6"/>
  <c r="L1024" i="6"/>
  <c r="H1025" i="6"/>
  <c r="L1025" i="6"/>
  <c r="H1026" i="6"/>
  <c r="L1026" i="6"/>
  <c r="H1027" i="6"/>
  <c r="L1027" i="6"/>
  <c r="H1028" i="6"/>
  <c r="L1028" i="6"/>
  <c r="H1029" i="6"/>
  <c r="L1029" i="6"/>
  <c r="H1030" i="6"/>
  <c r="L1030" i="6"/>
  <c r="H1031" i="6"/>
  <c r="L1031" i="6"/>
  <c r="H1032" i="6"/>
  <c r="L1032" i="6"/>
  <c r="H1033" i="6"/>
  <c r="L1033" i="6"/>
  <c r="H1034" i="6"/>
  <c r="L1034" i="6"/>
  <c r="H1035" i="6"/>
  <c r="L1035" i="6"/>
  <c r="H1036" i="6"/>
  <c r="L1036" i="6"/>
  <c r="H1037" i="6"/>
  <c r="L1037" i="6"/>
  <c r="H1038" i="6"/>
  <c r="L1038" i="6"/>
  <c r="H1039" i="6"/>
  <c r="L1039" i="6"/>
  <c r="H1040" i="6"/>
  <c r="L1040" i="6"/>
  <c r="H1041" i="6"/>
  <c r="L1041" i="6"/>
  <c r="H1042" i="6"/>
  <c r="L1042" i="6"/>
  <c r="H1043" i="6"/>
  <c r="L1043" i="6"/>
  <c r="H1044" i="6"/>
  <c r="L1044" i="6"/>
  <c r="H1045" i="6"/>
  <c r="L1045" i="6"/>
  <c r="H1046" i="6"/>
  <c r="L1046" i="6"/>
  <c r="H1047" i="6"/>
  <c r="L1047" i="6"/>
  <c r="H1048" i="6"/>
  <c r="L1048" i="6"/>
  <c r="H1049" i="6"/>
  <c r="L1049" i="6"/>
  <c r="H1050" i="6"/>
  <c r="L1050" i="6"/>
  <c r="H1051" i="6"/>
  <c r="L1051" i="6"/>
  <c r="H1052" i="6"/>
  <c r="L1052" i="6"/>
  <c r="H1053" i="6"/>
  <c r="L1053" i="6"/>
  <c r="H1054" i="6"/>
  <c r="L1054" i="6"/>
  <c r="H1055" i="6"/>
  <c r="L1055" i="6"/>
  <c r="H1056" i="6"/>
  <c r="L1056" i="6"/>
  <c r="H1057" i="6"/>
  <c r="L1057" i="6"/>
  <c r="H1058" i="6"/>
  <c r="L1058" i="6"/>
  <c r="H1059" i="6"/>
  <c r="L1059" i="6"/>
  <c r="H1060" i="6"/>
  <c r="L1060" i="6"/>
  <c r="H1061" i="6"/>
  <c r="L1061" i="6"/>
  <c r="H1062" i="6"/>
  <c r="L1062" i="6"/>
  <c r="H1063" i="6"/>
  <c r="L1063" i="6"/>
  <c r="H1064" i="6"/>
  <c r="L1064" i="6"/>
  <c r="H1065" i="6"/>
  <c r="L1065" i="6"/>
  <c r="H1066" i="6"/>
  <c r="L1066" i="6"/>
  <c r="H1067" i="6"/>
  <c r="L1067" i="6"/>
  <c r="H1068" i="6"/>
  <c r="L1068" i="6"/>
  <c r="H1069" i="6"/>
  <c r="L1069" i="6"/>
  <c r="H1070" i="6"/>
  <c r="L1070" i="6"/>
  <c r="H1071" i="6"/>
  <c r="L1071" i="6"/>
  <c r="H1072" i="6"/>
  <c r="L1072" i="6"/>
  <c r="H1073" i="6"/>
  <c r="L1073" i="6"/>
  <c r="H1074" i="6"/>
  <c r="L1074" i="6"/>
  <c r="H1075" i="6"/>
  <c r="L1075" i="6"/>
  <c r="H1076" i="6"/>
  <c r="L1076" i="6"/>
  <c r="H1077" i="6"/>
  <c r="L1077" i="6"/>
  <c r="H1078" i="6"/>
  <c r="L1078" i="6"/>
  <c r="H1079" i="6"/>
  <c r="L1079" i="6"/>
  <c r="H1080" i="6"/>
  <c r="L1080" i="6"/>
  <c r="H1081" i="6"/>
  <c r="L1081" i="6"/>
  <c r="H1082" i="6"/>
  <c r="L1082" i="6"/>
  <c r="H1083" i="6"/>
  <c r="L1083" i="6"/>
  <c r="H1084" i="6"/>
  <c r="L1084" i="6"/>
  <c r="H1085" i="6"/>
  <c r="L1085" i="6"/>
  <c r="H1086" i="6"/>
  <c r="L1086" i="6"/>
  <c r="H1087" i="6"/>
  <c r="L1087" i="6"/>
  <c r="H1088" i="6"/>
  <c r="L1088" i="6"/>
  <c r="H1089" i="6"/>
  <c r="L1089" i="6"/>
  <c r="H1090" i="6"/>
  <c r="L1090" i="6"/>
  <c r="H1091" i="6"/>
  <c r="L1091" i="6"/>
  <c r="H1092" i="6"/>
  <c r="L1092" i="6"/>
  <c r="H1093" i="6"/>
  <c r="L1093" i="6"/>
  <c r="H1094" i="6"/>
  <c r="L1094" i="6"/>
  <c r="H1095" i="6"/>
  <c r="L1095" i="6"/>
  <c r="H1096" i="6"/>
  <c r="L1096" i="6"/>
  <c r="H1097" i="6"/>
  <c r="L1097" i="6"/>
  <c r="H1098" i="6"/>
  <c r="L1098" i="6"/>
  <c r="H1099" i="6"/>
  <c r="L1099" i="6"/>
  <c r="H1100" i="6"/>
  <c r="L1100" i="6"/>
  <c r="H1101" i="6"/>
  <c r="L1101" i="6"/>
  <c r="H1102" i="6"/>
  <c r="L1102" i="6"/>
  <c r="H1103" i="6"/>
  <c r="L1103" i="6"/>
  <c r="H1104" i="6"/>
  <c r="L1104" i="6"/>
  <c r="H1105" i="6"/>
  <c r="L1105" i="6"/>
  <c r="H1106" i="6"/>
  <c r="L1106" i="6"/>
  <c r="H1107" i="6"/>
  <c r="L1107" i="6"/>
  <c r="H1108" i="6"/>
  <c r="L1108" i="6"/>
  <c r="H1109" i="6"/>
  <c r="L1109" i="6"/>
  <c r="H1110" i="6"/>
  <c r="L1110" i="6"/>
  <c r="H1111" i="6"/>
  <c r="L1111" i="6"/>
  <c r="H1112" i="6"/>
  <c r="L1112" i="6"/>
  <c r="H1113" i="6"/>
  <c r="L1113" i="6"/>
  <c r="H1114" i="6"/>
  <c r="L1114" i="6"/>
  <c r="H1115" i="6"/>
  <c r="L1115" i="6"/>
  <c r="H1116" i="6"/>
  <c r="L1116" i="6"/>
  <c r="H1117" i="6"/>
  <c r="L1117" i="6"/>
  <c r="H1118" i="6"/>
  <c r="L1118" i="6"/>
  <c r="H1119" i="6"/>
  <c r="L1119" i="6"/>
  <c r="H1120" i="6"/>
  <c r="L1120" i="6"/>
  <c r="H1121" i="6"/>
  <c r="L1121" i="6"/>
  <c r="H1122" i="6"/>
  <c r="L1122" i="6"/>
  <c r="H1123" i="6"/>
  <c r="L1123" i="6"/>
  <c r="H1124" i="6"/>
  <c r="L1124" i="6"/>
  <c r="H1125" i="6"/>
  <c r="L1125" i="6"/>
  <c r="H1126" i="6"/>
  <c r="L1126" i="6"/>
  <c r="H1127" i="6"/>
  <c r="L1127" i="6"/>
  <c r="H1128" i="6"/>
  <c r="L1128" i="6"/>
  <c r="H1129" i="6"/>
  <c r="L1129" i="6"/>
  <c r="H1130" i="6"/>
  <c r="L1130" i="6"/>
  <c r="H1131" i="6"/>
  <c r="L1131" i="6"/>
  <c r="H1132" i="6"/>
  <c r="L1132" i="6"/>
  <c r="H1133" i="6"/>
  <c r="L1133" i="6"/>
  <c r="H1134" i="6"/>
  <c r="L1134" i="6"/>
  <c r="H1135" i="6"/>
  <c r="L1135" i="6"/>
  <c r="H1136" i="6"/>
  <c r="L1136" i="6"/>
  <c r="H1137" i="6"/>
  <c r="L1137" i="6"/>
  <c r="H1138" i="6"/>
  <c r="L1138" i="6"/>
  <c r="H1139" i="6"/>
  <c r="L1139" i="6"/>
  <c r="H1140" i="6"/>
  <c r="L1140" i="6"/>
  <c r="H1141" i="6"/>
  <c r="L1141" i="6"/>
  <c r="H1142" i="6"/>
  <c r="L1142" i="6"/>
  <c r="H1143" i="6"/>
  <c r="L1143" i="6"/>
  <c r="H1144" i="6"/>
  <c r="L1144" i="6"/>
  <c r="H1145" i="6"/>
  <c r="L1145" i="6"/>
  <c r="H1146" i="6"/>
  <c r="L1146" i="6"/>
  <c r="H1147" i="6"/>
  <c r="L1147" i="6"/>
  <c r="H1148" i="6"/>
  <c r="L1148" i="6"/>
  <c r="H1149" i="6"/>
  <c r="L1149" i="6"/>
  <c r="H1150" i="6"/>
  <c r="L1150" i="6"/>
  <c r="H1151" i="6"/>
  <c r="L1151" i="6"/>
  <c r="H1152" i="6"/>
  <c r="L1152" i="6"/>
  <c r="H1153" i="6"/>
  <c r="L1153" i="6"/>
  <c r="K212" i="6"/>
  <c r="G472" i="6"/>
  <c r="K213" i="6"/>
  <c r="G473" i="6"/>
  <c r="K214" i="6"/>
  <c r="G474" i="6"/>
  <c r="K215" i="6"/>
  <c r="G475" i="6"/>
  <c r="K216" i="6"/>
  <c r="G476" i="6"/>
  <c r="K217" i="6"/>
  <c r="G477" i="6"/>
  <c r="K218" i="6"/>
  <c r="G478" i="6"/>
  <c r="K219" i="6"/>
  <c r="G479" i="6"/>
  <c r="K220" i="6"/>
  <c r="G480" i="6"/>
  <c r="K221" i="6"/>
  <c r="G481" i="6"/>
  <c r="K222" i="6"/>
  <c r="G482" i="6"/>
  <c r="K223" i="6"/>
  <c r="G483" i="6"/>
  <c r="K224" i="6"/>
  <c r="G484" i="6"/>
  <c r="K225" i="6"/>
  <c r="G485" i="6"/>
  <c r="K226" i="6"/>
  <c r="G486" i="6"/>
  <c r="K227" i="6"/>
  <c r="G487" i="6"/>
  <c r="K228" i="6"/>
  <c r="G488" i="6"/>
  <c r="K229" i="6"/>
  <c r="G489" i="6"/>
  <c r="K230" i="6"/>
  <c r="G490" i="6"/>
  <c r="K231" i="6"/>
  <c r="G491" i="6"/>
  <c r="K232" i="6"/>
  <c r="G492" i="6"/>
  <c r="K233" i="6"/>
  <c r="G493" i="6"/>
  <c r="K234" i="6"/>
  <c r="G494" i="6"/>
  <c r="K235" i="6"/>
  <c r="G495" i="6"/>
  <c r="K236" i="6"/>
  <c r="G496" i="6"/>
  <c r="K237" i="6"/>
  <c r="G497" i="6"/>
  <c r="K238" i="6"/>
  <c r="G498" i="6"/>
  <c r="K239" i="6"/>
  <c r="G499" i="6"/>
  <c r="K240" i="6"/>
  <c r="G500" i="6"/>
  <c r="K241" i="6"/>
  <c r="G501" i="6"/>
  <c r="K242" i="6"/>
  <c r="G502" i="6"/>
  <c r="K243" i="6"/>
  <c r="G503" i="6"/>
  <c r="K244" i="6"/>
  <c r="G504" i="6"/>
  <c r="K245" i="6"/>
  <c r="G505" i="6"/>
  <c r="K246" i="6"/>
  <c r="G506" i="6"/>
  <c r="K247" i="6"/>
  <c r="G507" i="6"/>
  <c r="K248" i="6"/>
  <c r="G508" i="6"/>
  <c r="K249" i="6"/>
  <c r="G509" i="6"/>
  <c r="K250" i="6"/>
  <c r="G510" i="6"/>
  <c r="K251" i="6"/>
  <c r="G511" i="6"/>
  <c r="K252" i="6"/>
  <c r="G512" i="6"/>
  <c r="K253" i="6"/>
  <c r="G513" i="6"/>
  <c r="K254" i="6"/>
  <c r="G514" i="6"/>
  <c r="K255" i="6"/>
  <c r="G515" i="6"/>
  <c r="K256" i="6"/>
  <c r="G516" i="6"/>
  <c r="K257" i="6"/>
  <c r="G517" i="6"/>
  <c r="K258" i="6"/>
  <c r="G518" i="6"/>
  <c r="K259" i="6"/>
  <c r="G519" i="6"/>
  <c r="K260" i="6"/>
  <c r="G520" i="6"/>
  <c r="K261" i="6"/>
  <c r="G521" i="6"/>
  <c r="K262" i="6"/>
  <c r="G522" i="6"/>
  <c r="K263" i="6"/>
  <c r="G523" i="6"/>
  <c r="K264" i="6"/>
  <c r="G524" i="6"/>
  <c r="K265" i="6"/>
  <c r="G525" i="6"/>
  <c r="K266" i="6"/>
  <c r="G526" i="6"/>
  <c r="K267" i="6"/>
  <c r="G527" i="6"/>
  <c r="K268" i="6"/>
  <c r="G528" i="6"/>
  <c r="K269" i="6"/>
  <c r="G529" i="6"/>
  <c r="K270" i="6"/>
  <c r="G530" i="6"/>
  <c r="K271" i="6"/>
  <c r="G531" i="6"/>
  <c r="K272" i="6"/>
  <c r="G532" i="6"/>
  <c r="K273" i="6"/>
  <c r="G533" i="6"/>
  <c r="K274" i="6"/>
  <c r="G534" i="6"/>
  <c r="K275" i="6"/>
  <c r="G535" i="6"/>
  <c r="K276" i="6"/>
  <c r="G536" i="6"/>
  <c r="K277" i="6"/>
  <c r="G537" i="6"/>
  <c r="K278" i="6"/>
  <c r="G538" i="6"/>
  <c r="K279" i="6"/>
  <c r="G539" i="6"/>
  <c r="K280" i="6"/>
  <c r="G540" i="6"/>
  <c r="K281" i="6"/>
  <c r="G541" i="6"/>
  <c r="K282" i="6"/>
  <c r="G542" i="6"/>
  <c r="K283" i="6"/>
  <c r="G543" i="6"/>
  <c r="K284" i="6"/>
  <c r="G544" i="6"/>
  <c r="K285" i="6"/>
  <c r="G545" i="6"/>
  <c r="K286" i="6"/>
  <c r="G546" i="6"/>
  <c r="K287" i="6"/>
  <c r="G547" i="6"/>
  <c r="K288" i="6"/>
  <c r="G548" i="6"/>
  <c r="K289" i="6"/>
  <c r="G549" i="6"/>
  <c r="K290" i="6"/>
  <c r="G550" i="6"/>
  <c r="K291" i="6"/>
  <c r="G551" i="6"/>
  <c r="K292" i="6"/>
  <c r="G552" i="6"/>
  <c r="K293" i="6"/>
  <c r="G553" i="6"/>
  <c r="K294" i="6"/>
  <c r="G554" i="6"/>
  <c r="K295" i="6"/>
  <c r="G555" i="6"/>
  <c r="K296" i="6"/>
  <c r="G556" i="6"/>
  <c r="K297" i="6"/>
  <c r="G557" i="6"/>
  <c r="K298" i="6"/>
  <c r="G558" i="6"/>
  <c r="K299" i="6"/>
  <c r="G559" i="6"/>
  <c r="K300" i="6"/>
  <c r="G560" i="6"/>
  <c r="K301" i="6"/>
  <c r="G561" i="6"/>
  <c r="K302" i="6"/>
  <c r="G562" i="6"/>
  <c r="K303" i="6"/>
  <c r="G563" i="6"/>
  <c r="K304" i="6"/>
  <c r="G564" i="6"/>
  <c r="K305" i="6"/>
  <c r="G565" i="6"/>
  <c r="K306" i="6"/>
  <c r="G566" i="6"/>
  <c r="K307" i="6"/>
  <c r="G567" i="6"/>
  <c r="K308" i="6"/>
  <c r="G568" i="6"/>
  <c r="K309" i="6"/>
  <c r="G569" i="6"/>
  <c r="K310" i="6"/>
  <c r="G570" i="6"/>
  <c r="K311" i="6"/>
  <c r="G571" i="6"/>
  <c r="K312" i="6"/>
  <c r="G572" i="6"/>
  <c r="K313" i="6"/>
  <c r="G573" i="6"/>
  <c r="K314" i="6"/>
  <c r="G574" i="6"/>
  <c r="K315" i="6"/>
  <c r="G575" i="6"/>
  <c r="K316" i="6"/>
  <c r="G576" i="6"/>
  <c r="K317" i="6"/>
  <c r="G577" i="6"/>
  <c r="K318" i="6"/>
  <c r="G578" i="6"/>
  <c r="K319" i="6"/>
  <c r="G579" i="6"/>
  <c r="K320" i="6"/>
  <c r="G580" i="6"/>
  <c r="K321" i="6"/>
  <c r="G581" i="6"/>
  <c r="K322" i="6"/>
  <c r="G582" i="6"/>
  <c r="K323" i="6"/>
  <c r="G583" i="6"/>
  <c r="K324" i="6"/>
  <c r="G584" i="6"/>
  <c r="K325" i="6"/>
  <c r="G585" i="6"/>
  <c r="K326" i="6"/>
  <c r="G586" i="6"/>
  <c r="K327" i="6"/>
  <c r="G587" i="6"/>
  <c r="K328" i="6"/>
  <c r="G588" i="6"/>
  <c r="K329" i="6"/>
  <c r="G589" i="6"/>
  <c r="K330" i="6"/>
  <c r="G590" i="6"/>
  <c r="K331" i="6"/>
  <c r="G591" i="6"/>
  <c r="K332" i="6"/>
  <c r="G592" i="6"/>
  <c r="K333" i="6"/>
  <c r="G593" i="6"/>
  <c r="K334" i="6"/>
  <c r="G594" i="6"/>
  <c r="K335" i="6"/>
  <c r="G595" i="6"/>
  <c r="K336" i="6"/>
  <c r="G596" i="6"/>
  <c r="K337" i="6"/>
  <c r="G597" i="6"/>
  <c r="K338" i="6"/>
  <c r="G598" i="6"/>
  <c r="K339" i="6"/>
  <c r="G599" i="6"/>
  <c r="K340" i="6"/>
  <c r="G600" i="6"/>
  <c r="K341" i="6"/>
  <c r="G601" i="6"/>
  <c r="K342" i="6"/>
  <c r="G602" i="6"/>
  <c r="K343" i="6"/>
  <c r="G603" i="6"/>
  <c r="K344" i="6"/>
  <c r="G604" i="6"/>
  <c r="K345" i="6"/>
  <c r="G605" i="6"/>
  <c r="K346" i="6"/>
  <c r="G606" i="6"/>
  <c r="K347" i="6"/>
  <c r="G607" i="6"/>
  <c r="K348" i="6"/>
  <c r="G608" i="6"/>
  <c r="K349" i="6"/>
  <c r="G609" i="6"/>
  <c r="K350" i="6"/>
  <c r="G610" i="6"/>
  <c r="K351" i="6"/>
  <c r="G611" i="6"/>
  <c r="K352" i="6"/>
  <c r="G612" i="6"/>
  <c r="K353" i="6"/>
  <c r="G613" i="6"/>
  <c r="K354" i="6"/>
  <c r="G614" i="6"/>
  <c r="K355" i="6"/>
  <c r="G615" i="6"/>
  <c r="K356" i="6"/>
  <c r="G616" i="6"/>
  <c r="K357" i="6"/>
  <c r="G617" i="6"/>
  <c r="K358" i="6"/>
  <c r="G618" i="6"/>
  <c r="K359" i="6"/>
  <c r="G619" i="6"/>
  <c r="K360" i="6"/>
  <c r="G620" i="6"/>
  <c r="K361" i="6"/>
  <c r="G621" i="6"/>
  <c r="K362" i="6"/>
  <c r="G622" i="6"/>
  <c r="K363" i="6"/>
  <c r="G623" i="6"/>
  <c r="K364" i="6"/>
  <c r="G624" i="6"/>
  <c r="K365" i="6"/>
  <c r="G625" i="6"/>
  <c r="K366" i="6"/>
  <c r="G626" i="6"/>
  <c r="K367" i="6"/>
  <c r="G627" i="6"/>
  <c r="K368" i="6"/>
  <c r="G628" i="6"/>
  <c r="K369" i="6"/>
  <c r="G629" i="6"/>
  <c r="K370" i="6"/>
  <c r="G630" i="6"/>
  <c r="K371" i="6"/>
  <c r="G631" i="6"/>
  <c r="K372" i="6"/>
  <c r="G632" i="6"/>
  <c r="K373" i="6"/>
  <c r="G633" i="6"/>
  <c r="K374" i="6"/>
  <c r="G634" i="6"/>
  <c r="K375" i="6"/>
  <c r="G635" i="6"/>
  <c r="K376" i="6"/>
  <c r="G636" i="6"/>
  <c r="K377" i="6"/>
  <c r="G637" i="6"/>
  <c r="K378" i="6"/>
  <c r="G638" i="6"/>
  <c r="K379" i="6"/>
  <c r="G639" i="6"/>
  <c r="K380" i="6"/>
  <c r="G640" i="6"/>
  <c r="K381" i="6"/>
  <c r="G641" i="6"/>
  <c r="K382" i="6"/>
  <c r="G642" i="6"/>
  <c r="K383" i="6"/>
  <c r="G643" i="6"/>
  <c r="K384" i="6"/>
  <c r="G644" i="6"/>
  <c r="K385" i="6"/>
  <c r="G645" i="6"/>
  <c r="K386" i="6"/>
  <c r="G646" i="6"/>
  <c r="K387" i="6"/>
  <c r="G647" i="6"/>
  <c r="K388" i="6"/>
  <c r="G648" i="6"/>
  <c r="K389" i="6"/>
  <c r="G649" i="6"/>
  <c r="K390" i="6"/>
  <c r="G650" i="6"/>
  <c r="K391" i="6"/>
  <c r="G651" i="6"/>
  <c r="K392" i="6"/>
  <c r="G652" i="6"/>
  <c r="K393" i="6"/>
  <c r="G653" i="6"/>
  <c r="K394" i="6"/>
  <c r="G654" i="6"/>
  <c r="K395" i="6"/>
  <c r="G655" i="6"/>
  <c r="K396" i="6"/>
  <c r="G656" i="6"/>
  <c r="K397" i="6"/>
  <c r="G657" i="6"/>
  <c r="K398" i="6"/>
  <c r="G658" i="6"/>
  <c r="K399" i="6"/>
  <c r="G659" i="6"/>
  <c r="K400" i="6"/>
  <c r="G660" i="6"/>
  <c r="K401" i="6"/>
  <c r="G661" i="6"/>
  <c r="K402" i="6"/>
  <c r="G662" i="6"/>
  <c r="K403" i="6"/>
  <c r="G663" i="6"/>
  <c r="K404" i="6"/>
  <c r="G664" i="6"/>
  <c r="K405" i="6"/>
  <c r="G665" i="6"/>
  <c r="K406" i="6"/>
  <c r="G666" i="6"/>
  <c r="K407" i="6"/>
  <c r="G667" i="6"/>
  <c r="K408" i="6"/>
  <c r="G668" i="6"/>
  <c r="K409" i="6"/>
  <c r="G669" i="6"/>
  <c r="K410" i="6"/>
  <c r="G670" i="6"/>
  <c r="K411" i="6"/>
  <c r="G671" i="6"/>
  <c r="K412" i="6"/>
  <c r="G672" i="6"/>
  <c r="K413" i="6"/>
  <c r="G673" i="6"/>
  <c r="K414" i="6"/>
  <c r="G674" i="6"/>
  <c r="K415" i="6"/>
  <c r="G675" i="6"/>
  <c r="K416" i="6"/>
  <c r="G676" i="6"/>
  <c r="K417" i="6"/>
  <c r="G677" i="6"/>
  <c r="K418" i="6"/>
  <c r="G678" i="6"/>
  <c r="K419" i="6"/>
  <c r="G679" i="6"/>
  <c r="K420" i="6"/>
  <c r="G680" i="6"/>
  <c r="K421" i="6"/>
  <c r="G681" i="6"/>
  <c r="K422" i="6"/>
  <c r="G682" i="6"/>
  <c r="K423" i="6"/>
  <c r="G683" i="6"/>
  <c r="K424" i="6"/>
  <c r="G684" i="6"/>
  <c r="K425" i="6"/>
  <c r="G685" i="6"/>
  <c r="K426" i="6"/>
  <c r="G686" i="6"/>
  <c r="K427" i="6"/>
  <c r="G687" i="6"/>
  <c r="K428" i="6"/>
  <c r="G688" i="6"/>
  <c r="K429" i="6"/>
  <c r="G689" i="6"/>
  <c r="K430" i="6"/>
  <c r="G690" i="6"/>
  <c r="K431" i="6"/>
  <c r="G691" i="6"/>
  <c r="K432" i="6"/>
  <c r="G692" i="6"/>
  <c r="K433" i="6"/>
  <c r="G693" i="6"/>
  <c r="K434" i="6"/>
  <c r="G694" i="6"/>
  <c r="K435" i="6"/>
  <c r="G695" i="6"/>
  <c r="K436" i="6"/>
  <c r="G696" i="6"/>
  <c r="K437" i="6"/>
  <c r="G697" i="6"/>
  <c r="K438" i="6"/>
  <c r="G698" i="6"/>
  <c r="K439" i="6"/>
  <c r="G699" i="6"/>
  <c r="K440" i="6"/>
  <c r="G700" i="6"/>
  <c r="K441" i="6"/>
  <c r="G701" i="6"/>
  <c r="K442" i="6"/>
  <c r="G702" i="6"/>
  <c r="K443" i="6"/>
  <c r="G703" i="6"/>
  <c r="K444" i="6"/>
  <c r="G704" i="6"/>
  <c r="K445" i="6"/>
  <c r="G705" i="6"/>
  <c r="K446" i="6"/>
  <c r="G706" i="6"/>
  <c r="K447" i="6"/>
  <c r="G707" i="6"/>
  <c r="K448" i="6"/>
  <c r="G708" i="6"/>
  <c r="K449" i="6"/>
  <c r="G709" i="6"/>
  <c r="K450" i="6"/>
  <c r="G710" i="6"/>
  <c r="K451" i="6"/>
  <c r="G711" i="6"/>
  <c r="K452" i="6"/>
  <c r="G712" i="6"/>
  <c r="K453" i="6"/>
  <c r="G713" i="6"/>
  <c r="K454" i="6"/>
  <c r="G714" i="6"/>
  <c r="K455" i="6"/>
  <c r="G715" i="6"/>
  <c r="K456" i="6"/>
  <c r="G716" i="6"/>
  <c r="K457" i="6"/>
  <c r="G717" i="6"/>
  <c r="K458" i="6"/>
  <c r="G718" i="6"/>
  <c r="K459" i="6"/>
  <c r="G719" i="6"/>
  <c r="K460" i="6"/>
  <c r="G720" i="6"/>
  <c r="K461" i="6"/>
  <c r="G721" i="6"/>
  <c r="K462" i="6"/>
  <c r="G722" i="6"/>
  <c r="K463" i="6"/>
  <c r="G723" i="6"/>
  <c r="K464" i="6"/>
  <c r="G724" i="6"/>
  <c r="K465" i="6"/>
  <c r="G725" i="6"/>
  <c r="K466" i="6"/>
  <c r="G726" i="6"/>
  <c r="K467" i="6"/>
  <c r="G727" i="6"/>
  <c r="K468" i="6"/>
  <c r="G728" i="6"/>
  <c r="K469" i="6"/>
  <c r="G729" i="6"/>
  <c r="K470" i="6"/>
  <c r="G730" i="6"/>
  <c r="K471" i="6"/>
  <c r="G731" i="6"/>
  <c r="K472" i="6"/>
  <c r="G732" i="6"/>
  <c r="K473" i="6"/>
  <c r="G733" i="6"/>
  <c r="K474" i="6"/>
  <c r="G734" i="6"/>
  <c r="K475" i="6"/>
  <c r="G735" i="6"/>
  <c r="K476" i="6"/>
  <c r="G736" i="6"/>
  <c r="K477" i="6"/>
  <c r="G737" i="6"/>
  <c r="K478" i="6"/>
  <c r="G738" i="6"/>
  <c r="K479" i="6"/>
  <c r="G739" i="6"/>
  <c r="K480" i="6"/>
  <c r="G740" i="6"/>
  <c r="K481" i="6"/>
  <c r="G741" i="6"/>
  <c r="K482" i="6"/>
  <c r="G742" i="6"/>
  <c r="K483" i="6"/>
  <c r="G743" i="6"/>
  <c r="K484" i="6"/>
  <c r="G744" i="6"/>
  <c r="K485" i="6"/>
  <c r="G745" i="6"/>
  <c r="K486" i="6"/>
  <c r="G746" i="6"/>
  <c r="K487" i="6"/>
  <c r="G747" i="6"/>
  <c r="K488" i="6"/>
  <c r="G748" i="6"/>
  <c r="K489" i="6"/>
  <c r="G749" i="6"/>
  <c r="K490" i="6"/>
  <c r="G750" i="6"/>
  <c r="K491" i="6"/>
  <c r="G751" i="6"/>
  <c r="K492" i="6"/>
  <c r="G752" i="6"/>
  <c r="K493" i="6"/>
  <c r="G753" i="6"/>
  <c r="K494" i="6"/>
  <c r="G754" i="6"/>
  <c r="K495" i="6"/>
  <c r="G755" i="6"/>
  <c r="K496" i="6"/>
  <c r="G756" i="6"/>
  <c r="K497" i="6"/>
  <c r="G757" i="6"/>
  <c r="K498" i="6"/>
  <c r="G758" i="6"/>
  <c r="K499" i="6"/>
  <c r="G759" i="6"/>
  <c r="K500" i="6"/>
  <c r="G760" i="6"/>
  <c r="K501" i="6"/>
  <c r="G761" i="6"/>
  <c r="K502" i="6"/>
  <c r="G762" i="6"/>
  <c r="K503" i="6"/>
  <c r="G763" i="6"/>
  <c r="K504" i="6"/>
  <c r="G764" i="6"/>
  <c r="K505" i="6"/>
  <c r="G765" i="6"/>
  <c r="K506" i="6"/>
  <c r="G766" i="6"/>
  <c r="K507" i="6"/>
  <c r="G767" i="6"/>
  <c r="K508" i="6"/>
  <c r="G768" i="6"/>
  <c r="K509" i="6"/>
  <c r="G769" i="6"/>
  <c r="K510" i="6"/>
  <c r="G770" i="6"/>
  <c r="K511" i="6"/>
  <c r="G771" i="6"/>
  <c r="K512" i="6"/>
  <c r="G772" i="6"/>
  <c r="K513" i="6"/>
  <c r="G773" i="6"/>
  <c r="K514" i="6"/>
  <c r="G774" i="6"/>
  <c r="K515" i="6"/>
  <c r="G775" i="6"/>
  <c r="K516" i="6"/>
  <c r="G776" i="6"/>
  <c r="K517" i="6"/>
  <c r="G777" i="6"/>
  <c r="K518" i="6"/>
  <c r="G778" i="6"/>
  <c r="K519" i="6"/>
  <c r="G779" i="6"/>
  <c r="K520" i="6"/>
  <c r="G780" i="6"/>
  <c r="K521" i="6"/>
  <c r="G781" i="6"/>
  <c r="K522" i="6"/>
  <c r="G782" i="6"/>
  <c r="K523" i="6"/>
  <c r="G783" i="6"/>
  <c r="K524" i="6"/>
  <c r="G784" i="6"/>
  <c r="K525" i="6"/>
  <c r="G785" i="6"/>
  <c r="K526" i="6"/>
  <c r="G786" i="6"/>
  <c r="K527" i="6"/>
  <c r="G787" i="6"/>
  <c r="K528" i="6"/>
  <c r="G788" i="6"/>
  <c r="K529" i="6"/>
  <c r="G789" i="6"/>
  <c r="K530" i="6"/>
  <c r="G790" i="6"/>
  <c r="K531" i="6"/>
  <c r="G791" i="6"/>
  <c r="K532" i="6"/>
  <c r="G792" i="6"/>
  <c r="K533" i="6"/>
  <c r="G793" i="6"/>
  <c r="K534" i="6"/>
  <c r="G794" i="6"/>
  <c r="K535" i="6"/>
  <c r="G795" i="6"/>
  <c r="K536" i="6"/>
  <c r="G796" i="6"/>
  <c r="K537" i="6"/>
  <c r="G797" i="6"/>
  <c r="K538" i="6"/>
  <c r="G798" i="6"/>
  <c r="K539" i="6"/>
  <c r="G799" i="6"/>
  <c r="K540" i="6"/>
  <c r="G800" i="6"/>
  <c r="K541" i="6"/>
  <c r="G801" i="6"/>
  <c r="K542" i="6"/>
  <c r="G802" i="6"/>
  <c r="K543" i="6"/>
  <c r="G803" i="6"/>
  <c r="K544" i="6"/>
  <c r="G804" i="6"/>
  <c r="K545" i="6"/>
  <c r="G805" i="6"/>
  <c r="K546" i="6"/>
  <c r="G806" i="6"/>
  <c r="K547" i="6"/>
  <c r="G807" i="6"/>
  <c r="K548" i="6"/>
  <c r="G808" i="6"/>
  <c r="K549" i="6"/>
  <c r="G809" i="6"/>
  <c r="K550" i="6"/>
  <c r="G810" i="6"/>
  <c r="K551" i="6"/>
  <c r="G811" i="6"/>
  <c r="K552" i="6"/>
  <c r="G812" i="6"/>
  <c r="K553" i="6"/>
  <c r="G813" i="6"/>
  <c r="K554" i="6"/>
  <c r="G814" i="6"/>
  <c r="K555" i="6"/>
  <c r="G815" i="6"/>
  <c r="K556" i="6"/>
  <c r="G816" i="6"/>
  <c r="K557" i="6"/>
  <c r="G817" i="6"/>
  <c r="K558" i="6"/>
  <c r="G818" i="6"/>
  <c r="K559" i="6"/>
  <c r="G819" i="6"/>
  <c r="K560" i="6"/>
  <c r="G820" i="6"/>
  <c r="K561" i="6"/>
  <c r="G821" i="6"/>
  <c r="K562" i="6"/>
  <c r="G822" i="6"/>
  <c r="K563" i="6"/>
  <c r="G823" i="6"/>
  <c r="K564" i="6"/>
  <c r="G824" i="6"/>
  <c r="K565" i="6"/>
  <c r="G825" i="6"/>
  <c r="K566" i="6"/>
  <c r="G826" i="6"/>
  <c r="K567" i="6"/>
  <c r="G827" i="6"/>
  <c r="K568" i="6"/>
  <c r="G828" i="6"/>
  <c r="K569" i="6"/>
  <c r="G829" i="6"/>
  <c r="K570" i="6"/>
  <c r="G830" i="6"/>
  <c r="K571" i="6"/>
  <c r="G831" i="6"/>
  <c r="K572" i="6"/>
  <c r="G832" i="6"/>
  <c r="K573" i="6"/>
  <c r="G833" i="6"/>
  <c r="K574" i="6"/>
  <c r="G834" i="6"/>
  <c r="K575" i="6"/>
  <c r="G835" i="6"/>
  <c r="K576" i="6"/>
  <c r="G836" i="6"/>
  <c r="K577" i="6"/>
  <c r="G837" i="6"/>
  <c r="K578" i="6"/>
  <c r="G838" i="6"/>
  <c r="K579" i="6"/>
  <c r="G839" i="6"/>
  <c r="K580" i="6"/>
  <c r="G840" i="6"/>
  <c r="K581" i="6"/>
  <c r="G841" i="6"/>
  <c r="K582" i="6"/>
  <c r="G842" i="6"/>
  <c r="K583" i="6"/>
  <c r="G843" i="6"/>
  <c r="K584" i="6"/>
  <c r="G844" i="6"/>
  <c r="K585" i="6"/>
  <c r="G845" i="6"/>
  <c r="K586" i="6"/>
  <c r="G846" i="6"/>
  <c r="K587" i="6"/>
  <c r="G847" i="6"/>
  <c r="K588" i="6"/>
  <c r="G848" i="6"/>
  <c r="K589" i="6"/>
  <c r="G849" i="6"/>
  <c r="K590" i="6"/>
  <c r="G850" i="6"/>
  <c r="K591" i="6"/>
  <c r="G851" i="6"/>
  <c r="K592" i="6"/>
  <c r="G852" i="6"/>
  <c r="K593" i="6"/>
  <c r="G853" i="6"/>
  <c r="K594" i="6"/>
  <c r="G854" i="6"/>
  <c r="K595" i="6"/>
  <c r="G855" i="6"/>
  <c r="K596" i="6"/>
  <c r="G856" i="6"/>
  <c r="K597" i="6"/>
  <c r="G857" i="6"/>
  <c r="K598" i="6"/>
  <c r="G858" i="6"/>
  <c r="K599" i="6"/>
  <c r="G859" i="6"/>
  <c r="K600" i="6"/>
  <c r="G860" i="6"/>
  <c r="K601" i="6"/>
  <c r="G861" i="6"/>
  <c r="K602" i="6"/>
  <c r="G862" i="6"/>
  <c r="K603" i="6"/>
  <c r="G863" i="6"/>
  <c r="K604" i="6"/>
  <c r="G864" i="6"/>
  <c r="K605" i="6"/>
  <c r="G865" i="6"/>
  <c r="K606" i="6"/>
  <c r="G866" i="6"/>
  <c r="K607" i="6"/>
  <c r="G867" i="6"/>
  <c r="K608" i="6"/>
  <c r="G868" i="6"/>
  <c r="K609" i="6"/>
  <c r="G869" i="6"/>
  <c r="K610" i="6"/>
  <c r="G870" i="6"/>
  <c r="K611" i="6"/>
  <c r="G871" i="6"/>
  <c r="K612" i="6"/>
  <c r="G872" i="6"/>
  <c r="K613" i="6"/>
  <c r="G873" i="6"/>
  <c r="K614" i="6"/>
  <c r="G874" i="6"/>
  <c r="K615" i="6"/>
  <c r="G875" i="6"/>
  <c r="K616" i="6"/>
  <c r="G876" i="6"/>
  <c r="K617" i="6"/>
  <c r="G877" i="6"/>
  <c r="K618" i="6"/>
  <c r="G878" i="6"/>
  <c r="K619" i="6"/>
  <c r="G879" i="6"/>
  <c r="K620" i="6"/>
  <c r="G880" i="6"/>
  <c r="K621" i="6"/>
  <c r="G881" i="6"/>
  <c r="K622" i="6"/>
  <c r="G882" i="6"/>
  <c r="K623" i="6"/>
  <c r="G883" i="6"/>
  <c r="K624" i="6"/>
  <c r="G884" i="6"/>
  <c r="K625" i="6"/>
  <c r="G885" i="6"/>
  <c r="K626" i="6"/>
  <c r="G886" i="6"/>
  <c r="K627" i="6"/>
  <c r="G887" i="6"/>
  <c r="K628" i="6"/>
  <c r="G888" i="6"/>
  <c r="K629" i="6"/>
  <c r="G889" i="6"/>
  <c r="K630" i="6"/>
  <c r="G890" i="6"/>
  <c r="K631" i="6"/>
  <c r="G891" i="6"/>
  <c r="K632" i="6"/>
  <c r="G892" i="6"/>
  <c r="K633" i="6"/>
  <c r="G893" i="6"/>
  <c r="K634" i="6"/>
  <c r="G894" i="6"/>
  <c r="K635" i="6"/>
  <c r="G895" i="6"/>
  <c r="K636" i="6"/>
  <c r="G896" i="6"/>
  <c r="K637" i="6"/>
  <c r="G897" i="6"/>
  <c r="K638" i="6"/>
  <c r="G898" i="6"/>
  <c r="K639" i="6"/>
  <c r="G899" i="6"/>
  <c r="K640" i="6"/>
  <c r="G900" i="6"/>
  <c r="K641" i="6"/>
  <c r="G901" i="6"/>
  <c r="K642" i="6"/>
  <c r="G902" i="6"/>
  <c r="K643" i="6"/>
  <c r="G903" i="6"/>
  <c r="K644" i="6"/>
  <c r="G904" i="6"/>
  <c r="K645" i="6"/>
  <c r="G905" i="6"/>
  <c r="K646" i="6"/>
  <c r="G906" i="6"/>
  <c r="K647" i="6"/>
  <c r="G907" i="6"/>
  <c r="K648" i="6"/>
  <c r="G908" i="6"/>
  <c r="K649" i="6"/>
  <c r="G909" i="6"/>
  <c r="K650" i="6"/>
  <c r="G910" i="6"/>
  <c r="K651" i="6"/>
  <c r="G911" i="6"/>
  <c r="K652" i="6"/>
  <c r="G912" i="6"/>
  <c r="K653" i="6"/>
  <c r="G913" i="6"/>
  <c r="K654" i="6"/>
  <c r="G914" i="6"/>
  <c r="K655" i="6"/>
  <c r="G915" i="6"/>
  <c r="K656" i="6"/>
  <c r="G916" i="6"/>
  <c r="K657" i="6"/>
  <c r="G917" i="6"/>
  <c r="K658" i="6"/>
  <c r="G918" i="6"/>
  <c r="K659" i="6"/>
  <c r="G919" i="6"/>
  <c r="K660" i="6"/>
  <c r="G920" i="6"/>
  <c r="K661" i="6"/>
  <c r="G921" i="6"/>
  <c r="K662" i="6"/>
  <c r="G922" i="6"/>
  <c r="K663" i="6"/>
  <c r="G923" i="6"/>
  <c r="K664" i="6"/>
  <c r="G924" i="6"/>
  <c r="K665" i="6"/>
  <c r="G925" i="6"/>
  <c r="K666" i="6"/>
  <c r="G926" i="6"/>
  <c r="K667" i="6"/>
  <c r="G927" i="6"/>
  <c r="K668" i="6"/>
  <c r="G928" i="6"/>
  <c r="K669" i="6"/>
  <c r="G929" i="6"/>
  <c r="K670" i="6"/>
  <c r="G930" i="6"/>
  <c r="K671" i="6"/>
  <c r="G931" i="6"/>
  <c r="K672" i="6"/>
  <c r="G932" i="6"/>
  <c r="K673" i="6"/>
  <c r="G933" i="6"/>
  <c r="K674" i="6"/>
  <c r="G934" i="6"/>
  <c r="K675" i="6"/>
  <c r="G935" i="6"/>
  <c r="K676" i="6"/>
  <c r="G936" i="6"/>
  <c r="K677" i="6"/>
  <c r="G937" i="6"/>
  <c r="K678" i="6"/>
  <c r="G938" i="6"/>
  <c r="K679" i="6"/>
  <c r="G939" i="6"/>
  <c r="K680" i="6"/>
  <c r="G940" i="6"/>
  <c r="K681" i="6"/>
  <c r="G941" i="6"/>
  <c r="K682" i="6"/>
  <c r="G942" i="6"/>
  <c r="K683" i="6"/>
  <c r="G943" i="6"/>
  <c r="K684" i="6"/>
  <c r="G944" i="6"/>
  <c r="K685" i="6"/>
  <c r="G945" i="6"/>
  <c r="K686" i="6"/>
  <c r="G946" i="6"/>
  <c r="K687" i="6"/>
  <c r="G947" i="6"/>
  <c r="K688" i="6"/>
  <c r="G948" i="6"/>
  <c r="K689" i="6"/>
  <c r="G949" i="6"/>
  <c r="K690" i="6"/>
  <c r="G950" i="6"/>
  <c r="K691" i="6"/>
  <c r="G951" i="6"/>
  <c r="K692" i="6"/>
  <c r="G952" i="6"/>
  <c r="K693" i="6"/>
  <c r="G953" i="6"/>
  <c r="K694" i="6"/>
  <c r="G954" i="6"/>
  <c r="K695" i="6"/>
  <c r="G955" i="6"/>
  <c r="K696" i="6"/>
  <c r="G956" i="6"/>
  <c r="K697" i="6"/>
  <c r="G957" i="6"/>
  <c r="K698" i="6"/>
  <c r="G958" i="6"/>
  <c r="K699" i="6"/>
  <c r="G959" i="6"/>
  <c r="K700" i="6"/>
  <c r="G960" i="6"/>
  <c r="K701" i="6"/>
  <c r="G961" i="6"/>
  <c r="K702" i="6"/>
  <c r="G962" i="6"/>
  <c r="K703" i="6"/>
  <c r="G963" i="6"/>
  <c r="K704" i="6"/>
  <c r="G964" i="6"/>
  <c r="K705" i="6"/>
  <c r="G965" i="6"/>
  <c r="K706" i="6"/>
  <c r="G966" i="6"/>
  <c r="K707" i="6"/>
  <c r="G967" i="6"/>
  <c r="K708" i="6"/>
  <c r="G968" i="6"/>
  <c r="K709" i="6"/>
  <c r="G969" i="6"/>
  <c r="K710" i="6"/>
  <c r="G970" i="6"/>
  <c r="K711" i="6"/>
  <c r="G971" i="6"/>
  <c r="K712" i="6"/>
  <c r="G972" i="6"/>
  <c r="K713" i="6"/>
  <c r="G973" i="6"/>
  <c r="K714" i="6"/>
  <c r="G974" i="6"/>
  <c r="K715" i="6"/>
  <c r="G975" i="6"/>
  <c r="K716" i="6"/>
  <c r="G976" i="6"/>
  <c r="K717" i="6"/>
  <c r="G977" i="6"/>
  <c r="K718" i="6"/>
  <c r="G978" i="6"/>
  <c r="K719" i="6"/>
  <c r="G979" i="6"/>
  <c r="K720" i="6"/>
  <c r="G980" i="6"/>
  <c r="K721" i="6"/>
  <c r="G981" i="6"/>
  <c r="K722" i="6"/>
  <c r="G982" i="6"/>
  <c r="K723" i="6"/>
  <c r="G983" i="6"/>
  <c r="K724" i="6"/>
  <c r="G984" i="6"/>
  <c r="K725" i="6"/>
  <c r="G985" i="6"/>
  <c r="K726" i="6"/>
  <c r="G986" i="6"/>
  <c r="K727" i="6"/>
  <c r="G987" i="6"/>
  <c r="K728" i="6"/>
  <c r="G988" i="6"/>
  <c r="K729" i="6"/>
  <c r="G989" i="6"/>
  <c r="K730" i="6"/>
  <c r="G990" i="6"/>
  <c r="K731" i="6"/>
  <c r="G991" i="6"/>
  <c r="K732" i="6"/>
  <c r="G992" i="6"/>
  <c r="K733" i="6"/>
  <c r="G993" i="6"/>
  <c r="K734" i="6"/>
  <c r="G994" i="6"/>
  <c r="K735" i="6"/>
  <c r="G995" i="6"/>
  <c r="K736" i="6"/>
  <c r="G996" i="6"/>
  <c r="K737" i="6"/>
  <c r="G997" i="6"/>
  <c r="K738" i="6"/>
  <c r="G998" i="6"/>
  <c r="K739" i="6"/>
  <c r="G999" i="6"/>
  <c r="K740" i="6"/>
  <c r="G1000" i="6"/>
  <c r="K741" i="6"/>
  <c r="G1001" i="6"/>
  <c r="K742" i="6"/>
  <c r="G1002" i="6"/>
  <c r="K743" i="6"/>
  <c r="G1003" i="6"/>
  <c r="K744" i="6"/>
  <c r="G1004" i="6"/>
  <c r="K745" i="6"/>
  <c r="G1005" i="6"/>
  <c r="K746" i="6"/>
  <c r="G1006" i="6"/>
  <c r="K747" i="6"/>
  <c r="G1007" i="6"/>
  <c r="K748" i="6"/>
  <c r="G1008" i="6"/>
  <c r="K749" i="6"/>
  <c r="G1009" i="6"/>
  <c r="K750" i="6"/>
  <c r="G1010" i="6"/>
  <c r="K751" i="6"/>
  <c r="G1011" i="6"/>
  <c r="K752" i="6"/>
  <c r="G1012" i="6"/>
  <c r="K753" i="6"/>
  <c r="G1013" i="6"/>
  <c r="K754" i="6"/>
  <c r="G1014" i="6"/>
  <c r="K755" i="6"/>
  <c r="G1015" i="6"/>
  <c r="K756" i="6"/>
  <c r="G1016" i="6"/>
  <c r="K757" i="6"/>
  <c r="G1017" i="6"/>
  <c r="K758" i="6"/>
  <c r="G1018" i="6"/>
  <c r="K759" i="6"/>
  <c r="G1019" i="6"/>
  <c r="K760" i="6"/>
  <c r="G1020" i="6"/>
  <c r="K761" i="6"/>
  <c r="G1021" i="6"/>
  <c r="K762" i="6"/>
  <c r="G1022" i="6"/>
  <c r="K763" i="6"/>
  <c r="G1023" i="6"/>
  <c r="K764" i="6"/>
  <c r="G1024" i="6"/>
  <c r="K765" i="6"/>
  <c r="G1025" i="6"/>
  <c r="K766" i="6"/>
  <c r="G1026" i="6"/>
  <c r="K767" i="6"/>
  <c r="G1027" i="6"/>
  <c r="K768" i="6"/>
  <c r="G1028" i="6"/>
  <c r="K769" i="6"/>
  <c r="G1029" i="6"/>
  <c r="K770" i="6"/>
  <c r="G1030" i="6"/>
  <c r="K771" i="6"/>
  <c r="G1031" i="6"/>
  <c r="K772" i="6"/>
  <c r="G1032" i="6"/>
  <c r="K773" i="6"/>
  <c r="G1033" i="6"/>
  <c r="K774" i="6"/>
  <c r="G1034" i="6"/>
  <c r="K775" i="6"/>
  <c r="G1035" i="6"/>
  <c r="K776" i="6"/>
  <c r="G1036" i="6"/>
  <c r="K777" i="6"/>
  <c r="G1037" i="6"/>
  <c r="K778" i="6"/>
  <c r="G1038" i="6"/>
  <c r="K779" i="6"/>
  <c r="G1039" i="6"/>
  <c r="K780" i="6"/>
  <c r="G1040" i="6"/>
  <c r="K781" i="6"/>
  <c r="G1041" i="6"/>
  <c r="K782" i="6"/>
  <c r="G1042" i="6"/>
  <c r="K783" i="6"/>
  <c r="G1043" i="6"/>
  <c r="K784" i="6"/>
  <c r="G1044" i="6"/>
  <c r="K785" i="6"/>
  <c r="G1045" i="6"/>
  <c r="K786" i="6"/>
  <c r="G1046" i="6"/>
  <c r="K787" i="6"/>
  <c r="G1047" i="6"/>
  <c r="K788" i="6"/>
  <c r="G1048" i="6"/>
  <c r="K789" i="6"/>
  <c r="G1049" i="6"/>
  <c r="K790" i="6"/>
  <c r="G1050" i="6"/>
  <c r="K791" i="6"/>
  <c r="G1051" i="6"/>
  <c r="K792" i="6"/>
  <c r="G1052" i="6"/>
  <c r="K793" i="6"/>
  <c r="G1053" i="6"/>
  <c r="K794" i="6"/>
  <c r="G1054" i="6"/>
  <c r="K795" i="6"/>
  <c r="G1055" i="6"/>
  <c r="K796" i="6"/>
  <c r="G1056" i="6"/>
  <c r="K797" i="6"/>
  <c r="G1057" i="6"/>
  <c r="K798" i="6"/>
  <c r="G1058" i="6"/>
  <c r="K799" i="6"/>
  <c r="G1059" i="6"/>
  <c r="K800" i="6"/>
  <c r="G1060" i="6"/>
  <c r="K801" i="6"/>
  <c r="G1061" i="6"/>
  <c r="K802" i="6"/>
  <c r="G1062" i="6"/>
  <c r="K803" i="6"/>
  <c r="G1063" i="6"/>
  <c r="K804" i="6"/>
  <c r="G1064" i="6"/>
  <c r="K805" i="6"/>
  <c r="G1065" i="6"/>
  <c r="K806" i="6"/>
  <c r="G1066" i="6"/>
  <c r="K807" i="6"/>
  <c r="G1067" i="6"/>
  <c r="K808" i="6"/>
  <c r="G1068" i="6"/>
  <c r="K809" i="6"/>
  <c r="G1069" i="6"/>
  <c r="K810" i="6"/>
  <c r="G1070" i="6"/>
  <c r="K811" i="6"/>
  <c r="G1071" i="6"/>
  <c r="K812" i="6"/>
  <c r="G1072" i="6"/>
  <c r="K813" i="6"/>
  <c r="G1073" i="6"/>
  <c r="K814" i="6"/>
  <c r="G1074" i="6"/>
  <c r="K815" i="6"/>
  <c r="G1075" i="6"/>
  <c r="K816" i="6"/>
  <c r="G1076" i="6"/>
  <c r="K817" i="6"/>
  <c r="G1077" i="6"/>
  <c r="K818" i="6"/>
  <c r="G1078" i="6"/>
  <c r="K819" i="6"/>
  <c r="G1079" i="6"/>
  <c r="K820" i="6"/>
  <c r="G1080" i="6"/>
  <c r="K821" i="6"/>
  <c r="G1081" i="6"/>
  <c r="K822" i="6"/>
  <c r="G1082" i="6"/>
  <c r="K823" i="6"/>
  <c r="G1083" i="6"/>
  <c r="K824" i="6"/>
  <c r="G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I1154" i="6"/>
  <c r="D1155" i="6"/>
  <c r="I1155" i="6"/>
  <c r="D1156" i="6"/>
  <c r="I1156" i="6"/>
  <c r="D1157" i="6"/>
  <c r="I1157" i="6"/>
  <c r="D1158" i="6"/>
  <c r="I1158" i="6"/>
  <c r="D1159" i="6"/>
  <c r="I1159" i="6"/>
  <c r="D1160" i="6"/>
  <c r="I1160" i="6"/>
  <c r="D1161" i="6"/>
  <c r="I1161" i="6"/>
  <c r="D1162" i="6"/>
  <c r="I1162" i="6"/>
  <c r="D1163" i="6"/>
  <c r="I1163" i="6"/>
  <c r="D1164" i="6"/>
  <c r="I1164" i="6"/>
  <c r="D1165" i="6"/>
  <c r="I1165" i="6"/>
  <c r="D1166" i="6"/>
  <c r="I1166" i="6"/>
  <c r="D1167" i="6"/>
  <c r="I1167" i="6"/>
  <c r="D1168" i="6"/>
  <c r="I1168" i="6"/>
  <c r="D1169" i="6"/>
  <c r="I1169" i="6"/>
  <c r="D1170" i="6"/>
  <c r="I1170" i="6"/>
  <c r="D1171" i="6"/>
  <c r="I1171" i="6"/>
  <c r="D1172" i="6"/>
  <c r="I1172" i="6"/>
  <c r="D1173" i="6"/>
  <c r="I1173" i="6"/>
  <c r="D1174" i="6"/>
  <c r="I1174" i="6"/>
  <c r="F1175" i="6"/>
  <c r="J1175" i="6"/>
  <c r="G1176" i="6"/>
  <c r="K917" i="6"/>
  <c r="H1177" i="6"/>
  <c r="L1177" i="6"/>
  <c r="I1178" i="6"/>
  <c r="F1179" i="6"/>
  <c r="J1179" i="6"/>
  <c r="G1180" i="6"/>
  <c r="K921" i="6"/>
  <c r="H1181" i="6"/>
  <c r="L1181" i="6"/>
  <c r="I1182" i="6"/>
  <c r="F1183" i="6"/>
  <c r="J1183" i="6"/>
  <c r="G1184" i="6"/>
  <c r="K925" i="6"/>
  <c r="H1185" i="6"/>
  <c r="L1185" i="6"/>
  <c r="I1186" i="6"/>
  <c r="F1187" i="6"/>
  <c r="J1187" i="6"/>
  <c r="G1188" i="6"/>
  <c r="K929" i="6"/>
  <c r="H1189" i="6"/>
  <c r="L1189" i="6"/>
  <c r="I1190" i="6"/>
  <c r="F1191" i="6"/>
  <c r="J1191" i="6"/>
  <c r="G1192" i="6"/>
  <c r="K933" i="6"/>
  <c r="H1193" i="6"/>
  <c r="L1193" i="6"/>
  <c r="I1194" i="6"/>
  <c r="F1195" i="6"/>
  <c r="J1195" i="6"/>
  <c r="G1196" i="6"/>
  <c r="K937" i="6"/>
  <c r="H1197" i="6"/>
  <c r="L1197" i="6"/>
  <c r="I1198" i="6"/>
  <c r="F1199" i="6"/>
  <c r="J1199" i="6"/>
  <c r="G1200" i="6"/>
  <c r="K941" i="6"/>
  <c r="H1201" i="6"/>
  <c r="L1201" i="6"/>
  <c r="I1202" i="6"/>
  <c r="F1203" i="6"/>
  <c r="J1203" i="6"/>
  <c r="G1204" i="6"/>
  <c r="K945" i="6"/>
  <c r="H1205" i="6"/>
  <c r="L1205" i="6"/>
  <c r="I1206" i="6"/>
  <c r="F1207" i="6"/>
  <c r="J1207" i="6"/>
  <c r="G1208" i="6"/>
  <c r="K949" i="6"/>
  <c r="H1209" i="6"/>
  <c r="L1209" i="6"/>
  <c r="I1210" i="6"/>
  <c r="F1211" i="6"/>
  <c r="J1211" i="6"/>
  <c r="G1212" i="6"/>
  <c r="K953" i="6"/>
  <c r="H1213" i="6"/>
  <c r="L1213" i="6"/>
  <c r="I1214" i="6"/>
  <c r="F1215" i="6"/>
  <c r="J1215" i="6"/>
  <c r="G1216" i="6"/>
  <c r="K957" i="6"/>
  <c r="H1217" i="6"/>
  <c r="L1217" i="6"/>
  <c r="I1218" i="6"/>
  <c r="F1219" i="6"/>
  <c r="J1219" i="6"/>
  <c r="G1220" i="6"/>
  <c r="K961" i="6"/>
  <c r="H1221" i="6"/>
  <c r="L1221" i="6"/>
  <c r="I1222" i="6"/>
  <c r="F1223" i="6"/>
  <c r="J1223" i="6"/>
  <c r="G1224" i="6"/>
  <c r="K965" i="6"/>
  <c r="H1225" i="6"/>
  <c r="L1225" i="6"/>
  <c r="I1226" i="6"/>
  <c r="F1227" i="6"/>
  <c r="J1227" i="6"/>
  <c r="G1228" i="6"/>
  <c r="K969" i="6"/>
  <c r="H1229" i="6"/>
  <c r="L1229" i="6"/>
  <c r="I1230" i="6"/>
  <c r="F1231" i="6"/>
  <c r="J1231" i="6"/>
  <c r="G1232" i="6"/>
  <c r="K973" i="6"/>
  <c r="H1233" i="6"/>
  <c r="L1233" i="6"/>
  <c r="I1234" i="6"/>
  <c r="F1235" i="6"/>
  <c r="J1235" i="6"/>
  <c r="G1236" i="6"/>
  <c r="K977" i="6"/>
  <c r="H1237" i="6"/>
  <c r="L1237" i="6"/>
  <c r="I1238" i="6"/>
  <c r="F1239" i="6"/>
  <c r="J1239" i="6"/>
  <c r="G1240" i="6"/>
  <c r="K981" i="6"/>
  <c r="H1241" i="6"/>
  <c r="L1241" i="6"/>
  <c r="I1242" i="6"/>
  <c r="F1243" i="6"/>
  <c r="J1243" i="6"/>
  <c r="G1244" i="6"/>
  <c r="K985" i="6"/>
  <c r="H1245" i="6"/>
  <c r="L1245" i="6"/>
  <c r="I1246" i="6"/>
  <c r="F1247" i="6"/>
  <c r="J1247" i="6"/>
  <c r="G1248" i="6"/>
  <c r="K989" i="6"/>
  <c r="H1249" i="6"/>
  <c r="L1249" i="6"/>
  <c r="I1250" i="6"/>
  <c r="F1251" i="6"/>
  <c r="J1251" i="6"/>
  <c r="G1252" i="6"/>
  <c r="K993" i="6"/>
  <c r="H1253" i="6"/>
  <c r="L1253" i="6"/>
  <c r="I1254" i="6"/>
  <c r="F1255" i="6"/>
  <c r="J1255" i="6"/>
  <c r="G1256" i="6"/>
  <c r="K997" i="6"/>
  <c r="H1257" i="6"/>
  <c r="L1257" i="6"/>
  <c r="I1258" i="6"/>
  <c r="F1259" i="6"/>
  <c r="J1259" i="6"/>
  <c r="G1260" i="6"/>
  <c r="K1001" i="6"/>
  <c r="H1261" i="6"/>
  <c r="L1261" i="6"/>
  <c r="I1262" i="6"/>
  <c r="F1263" i="6"/>
  <c r="J1263" i="6"/>
  <c r="G1264" i="6"/>
  <c r="K1005" i="6"/>
  <c r="H1265" i="6"/>
  <c r="L1265" i="6"/>
  <c r="I1266" i="6"/>
  <c r="F1267" i="6"/>
  <c r="J1267" i="6"/>
  <c r="G1268" i="6"/>
  <c r="K1009" i="6"/>
  <c r="H1269" i="6"/>
  <c r="L1269" i="6"/>
  <c r="I1270" i="6"/>
  <c r="F1271" i="6"/>
  <c r="J1271" i="6"/>
  <c r="G1272" i="6"/>
  <c r="K1013" i="6"/>
  <c r="H1273" i="6"/>
  <c r="L1273" i="6"/>
  <c r="I1274" i="6"/>
  <c r="F1275" i="6"/>
  <c r="J1275" i="6"/>
  <c r="G1276" i="6"/>
  <c r="K1017" i="6"/>
  <c r="H1277" i="6"/>
  <c r="L1277" i="6"/>
  <c r="I1278" i="6"/>
  <c r="F1279" i="6"/>
  <c r="J1279" i="6"/>
  <c r="G1280" i="6"/>
  <c r="K1021" i="6"/>
  <c r="H1281" i="6"/>
  <c r="L1281" i="6"/>
  <c r="I1282" i="6"/>
  <c r="F1283" i="6"/>
  <c r="J1283" i="6"/>
  <c r="G1284" i="6"/>
  <c r="K1025" i="6"/>
  <c r="H1285" i="6"/>
  <c r="L1285" i="6"/>
  <c r="I1286" i="6"/>
  <c r="F1287" i="6"/>
  <c r="J1287" i="6"/>
  <c r="G1288" i="6"/>
  <c r="K1029" i="6"/>
  <c r="H1289" i="6"/>
  <c r="L1289" i="6"/>
  <c r="I1290" i="6"/>
  <c r="F1291" i="6"/>
  <c r="J1291" i="6"/>
  <c r="G1292" i="6"/>
  <c r="K1033" i="6"/>
  <c r="H1293" i="6"/>
  <c r="L1293" i="6"/>
  <c r="I1294" i="6"/>
  <c r="F1295" i="6"/>
  <c r="J1295" i="6"/>
  <c r="G1296" i="6"/>
  <c r="K1037" i="6"/>
  <c r="H1297" i="6"/>
  <c r="L1297" i="6"/>
  <c r="I1298" i="6"/>
  <c r="F1299" i="6"/>
  <c r="J1299" i="6"/>
  <c r="G1300" i="6"/>
  <c r="K1041" i="6"/>
  <c r="H1301" i="6"/>
  <c r="L1301" i="6"/>
  <c r="I1302" i="6"/>
  <c r="F1303" i="6"/>
  <c r="J1303" i="6"/>
  <c r="G1304" i="6"/>
  <c r="K1045" i="6"/>
  <c r="H1305" i="6"/>
  <c r="L1305" i="6"/>
  <c r="I1306" i="6"/>
  <c r="F1307" i="6"/>
  <c r="J1307" i="6"/>
  <c r="G1308" i="6"/>
  <c r="K1049" i="6"/>
  <c r="H1309" i="6"/>
  <c r="L1309" i="6"/>
  <c r="I1310" i="6"/>
  <c r="F1311" i="6"/>
  <c r="J1311" i="6"/>
  <c r="G1312" i="6"/>
  <c r="K1053" i="6"/>
  <c r="H1313" i="6"/>
  <c r="L1313" i="6"/>
  <c r="I1314" i="6"/>
  <c r="F1315" i="6"/>
  <c r="J1315" i="6"/>
  <c r="G1316" i="6"/>
  <c r="K1057" i="6"/>
  <c r="H1317" i="6"/>
  <c r="L1317" i="6"/>
  <c r="I1318" i="6"/>
  <c r="F1319" i="6"/>
  <c r="J1319" i="6"/>
  <c r="G1320" i="6"/>
  <c r="K1061" i="6"/>
  <c r="H1321" i="6"/>
  <c r="L1321" i="6"/>
  <c r="I1322" i="6"/>
  <c r="F1323" i="6"/>
  <c r="J1323" i="6"/>
  <c r="G1324" i="6"/>
  <c r="K1065" i="6"/>
  <c r="H1325" i="6"/>
  <c r="L1325" i="6"/>
  <c r="I1326" i="6"/>
  <c r="F1327" i="6"/>
  <c r="J1327" i="6"/>
  <c r="G1328" i="6"/>
  <c r="K1069" i="6"/>
  <c r="H1329" i="6"/>
  <c r="L1329" i="6"/>
  <c r="I1330" i="6"/>
  <c r="F1331" i="6"/>
  <c r="J1331" i="6"/>
  <c r="G1332" i="6"/>
  <c r="K1073" i="6"/>
  <c r="H1333" i="6"/>
  <c r="L1333" i="6"/>
  <c r="I1334" i="6"/>
  <c r="F1335" i="6"/>
  <c r="J1335" i="6"/>
  <c r="G1336" i="6"/>
  <c r="K1077" i="6"/>
  <c r="H1337" i="6"/>
  <c r="L1337" i="6"/>
  <c r="I1338" i="6"/>
  <c r="F1339" i="6"/>
  <c r="J1339" i="6"/>
  <c r="G1340" i="6"/>
  <c r="K1081" i="6"/>
  <c r="H1341" i="6"/>
  <c r="L1341" i="6"/>
  <c r="I1342" i="6"/>
  <c r="F1343" i="6"/>
  <c r="J1343" i="6"/>
  <c r="G1344" i="6"/>
  <c r="K1085" i="6"/>
  <c r="H1345" i="6"/>
  <c r="L1345" i="6"/>
  <c r="I1346" i="6"/>
  <c r="F1347" i="6"/>
  <c r="J1347" i="6"/>
  <c r="G1348" i="6"/>
  <c r="K1089" i="6"/>
  <c r="H1349" i="6"/>
  <c r="L1349" i="6"/>
  <c r="I1350" i="6"/>
  <c r="F1351" i="6"/>
  <c r="J1351" i="6"/>
  <c r="G1352" i="6"/>
  <c r="K1093" i="6"/>
  <c r="H1353" i="6"/>
  <c r="L1353" i="6"/>
  <c r="I1354" i="6"/>
  <c r="F1355" i="6"/>
  <c r="J1355" i="6"/>
  <c r="G1356" i="6"/>
  <c r="K1097" i="6"/>
  <c r="H1357" i="6"/>
  <c r="L1357" i="6"/>
  <c r="I1358" i="6"/>
  <c r="F1359" i="6"/>
  <c r="J1359" i="6"/>
  <c r="G1360" i="6"/>
  <c r="K1101" i="6"/>
  <c r="H1361" i="6"/>
  <c r="L1361" i="6"/>
  <c r="I1362" i="6"/>
  <c r="F1363" i="6"/>
  <c r="J1363" i="6"/>
  <c r="G1364" i="6"/>
  <c r="K1105" i="6"/>
  <c r="H1365" i="6"/>
  <c r="L1365" i="6"/>
  <c r="I1366" i="6"/>
  <c r="F1367" i="6"/>
  <c r="J1367" i="6"/>
  <c r="G1368" i="6"/>
  <c r="K1109" i="6"/>
  <c r="H1369" i="6"/>
  <c r="L1369" i="6"/>
  <c r="I1370" i="6"/>
  <c r="F1371" i="6"/>
  <c r="J1371" i="6"/>
  <c r="G1372" i="6"/>
  <c r="K1113" i="6"/>
  <c r="H1373" i="6"/>
  <c r="L1373" i="6"/>
  <c r="I1374" i="6"/>
  <c r="F1375" i="6"/>
  <c r="J1375" i="6"/>
  <c r="G1376" i="6"/>
  <c r="K1117" i="6"/>
  <c r="H1377" i="6"/>
  <c r="L1377" i="6"/>
  <c r="I1378" i="6"/>
  <c r="F1379" i="6"/>
  <c r="J1379" i="6"/>
  <c r="G1380" i="6"/>
  <c r="K1121" i="6"/>
  <c r="H1381" i="6"/>
  <c r="L1381" i="6"/>
  <c r="I1382" i="6"/>
  <c r="F1383" i="6"/>
  <c r="J1383" i="6"/>
  <c r="G1384" i="6"/>
  <c r="K1125" i="6"/>
  <c r="H1385" i="6"/>
  <c r="L1385" i="6"/>
  <c r="I1386" i="6"/>
  <c r="F1387" i="6"/>
  <c r="J1387" i="6"/>
  <c r="G1388" i="6"/>
  <c r="K1129" i="6"/>
  <c r="H1389" i="6"/>
  <c r="L1389" i="6"/>
  <c r="I1390" i="6"/>
  <c r="F1391" i="6"/>
  <c r="J1391" i="6"/>
  <c r="G1392" i="6"/>
  <c r="K1133" i="6"/>
  <c r="H1393" i="6"/>
  <c r="L1393" i="6"/>
  <c r="I1394" i="6"/>
  <c r="F1395" i="6"/>
  <c r="J1395" i="6"/>
  <c r="G1396" i="6"/>
  <c r="K1137" i="6"/>
  <c r="H1397" i="6"/>
  <c r="L1397" i="6"/>
  <c r="I1398" i="6"/>
  <c r="F1399" i="6"/>
  <c r="J1399" i="6"/>
  <c r="G1400" i="6"/>
  <c r="K1141" i="6"/>
  <c r="H1401" i="6"/>
  <c r="L1401" i="6"/>
  <c r="I1402" i="6"/>
  <c r="F1403" i="6"/>
  <c r="J1403" i="6"/>
  <c r="G1404" i="6"/>
  <c r="K1145" i="6"/>
  <c r="H1405" i="6"/>
  <c r="L1405" i="6"/>
  <c r="I1406" i="6"/>
  <c r="F1407" i="6"/>
  <c r="J1407" i="6"/>
  <c r="G1408" i="6"/>
  <c r="K1149" i="6"/>
  <c r="H1409" i="6"/>
  <c r="L1409" i="6"/>
  <c r="I1410" i="6"/>
  <c r="F1411" i="6"/>
  <c r="J1411" i="6"/>
  <c r="G1412" i="6"/>
  <c r="K1153" i="6"/>
  <c r="H1413" i="6"/>
  <c r="L1413" i="6"/>
  <c r="I1414" i="6"/>
  <c r="F1415" i="6"/>
  <c r="J1415" i="6"/>
  <c r="G1416" i="6"/>
  <c r="K1157" i="6"/>
  <c r="H1417" i="6"/>
  <c r="L1417" i="6"/>
  <c r="I1418" i="6"/>
  <c r="F1419" i="6"/>
  <c r="J1419" i="6"/>
  <c r="G1420" i="6"/>
  <c r="K1161" i="6"/>
  <c r="H1421" i="6"/>
  <c r="L1421" i="6"/>
  <c r="I1422" i="6"/>
  <c r="F1423" i="6"/>
  <c r="J1423" i="6"/>
  <c r="G1424" i="6"/>
  <c r="K1165" i="6"/>
  <c r="H1425" i="6"/>
  <c r="L1425" i="6"/>
  <c r="I1426" i="6"/>
  <c r="F1427" i="6"/>
  <c r="J1427" i="6"/>
  <c r="G1428" i="6"/>
  <c r="K1169" i="6"/>
  <c r="H1429" i="6"/>
  <c r="L1429" i="6"/>
  <c r="I1430" i="6"/>
  <c r="F1431" i="6"/>
  <c r="J1431" i="6"/>
  <c r="G1432" i="6"/>
  <c r="K1173" i="6"/>
  <c r="H1433" i="6"/>
  <c r="L1433" i="6"/>
  <c r="I1434" i="6"/>
  <c r="F1435" i="6"/>
  <c r="J1435" i="6"/>
  <c r="G1436" i="6"/>
  <c r="K1177" i="6"/>
  <c r="H1437" i="6"/>
  <c r="L1437" i="6"/>
  <c r="I1438" i="6"/>
  <c r="F1439" i="6"/>
  <c r="J1439" i="6"/>
  <c r="G1440" i="6"/>
  <c r="K1181" i="6"/>
  <c r="H1441" i="6"/>
  <c r="L1441" i="6"/>
  <c r="I1442" i="6"/>
  <c r="F1443" i="6"/>
  <c r="J1443" i="6"/>
  <c r="G1444" i="6"/>
  <c r="K1185" i="6"/>
  <c r="H1445" i="6"/>
  <c r="L1445" i="6"/>
  <c r="I1446" i="6"/>
  <c r="F1447" i="6"/>
  <c r="J1447" i="6"/>
  <c r="G1448" i="6"/>
  <c r="K1189" i="6"/>
  <c r="H1449" i="6"/>
  <c r="L1449" i="6"/>
  <c r="I1450" i="6"/>
  <c r="F1451" i="6"/>
  <c r="J1451" i="6"/>
  <c r="G1452" i="6"/>
  <c r="K1193" i="6"/>
  <c r="H1453" i="6"/>
  <c r="L1453" i="6"/>
  <c r="I1454" i="6"/>
  <c r="F1455" i="6"/>
  <c r="J1455" i="6"/>
  <c r="G1456" i="6"/>
  <c r="K1197" i="6"/>
  <c r="H1457" i="6"/>
  <c r="L1457" i="6"/>
  <c r="I1458" i="6"/>
  <c r="F1459" i="6"/>
  <c r="J1459" i="6"/>
  <c r="G1460" i="6"/>
  <c r="K1201" i="6"/>
  <c r="H1461" i="6"/>
  <c r="L1461" i="6"/>
  <c r="I1462" i="6"/>
  <c r="F1463" i="6"/>
  <c r="J1463" i="6"/>
  <c r="G1464" i="6"/>
  <c r="K1205" i="6"/>
  <c r="H1465" i="6"/>
  <c r="L1465" i="6"/>
  <c r="I1466" i="6"/>
  <c r="F1467" i="6"/>
  <c r="J1467" i="6"/>
  <c r="G1468" i="6"/>
  <c r="K1209" i="6"/>
  <c r="H1469" i="6"/>
  <c r="L1469" i="6"/>
  <c r="I1470" i="6"/>
  <c r="F1471" i="6"/>
  <c r="J1471" i="6"/>
  <c r="G1472" i="6"/>
  <c r="K1213" i="6"/>
  <c r="H1473" i="6"/>
  <c r="L1473" i="6"/>
  <c r="I1474" i="6"/>
  <c r="F1475" i="6"/>
  <c r="J1475" i="6"/>
  <c r="G1476" i="6"/>
  <c r="K1217" i="6"/>
  <c r="H1477" i="6"/>
  <c r="L1477" i="6"/>
  <c r="I1478" i="6"/>
  <c r="F1479" i="6"/>
  <c r="J1479" i="6"/>
  <c r="G1480" i="6"/>
  <c r="K1221" i="6"/>
  <c r="H1481" i="6"/>
  <c r="L1481" i="6"/>
  <c r="I1482" i="6"/>
  <c r="F1483" i="6"/>
  <c r="J1483" i="6"/>
  <c r="G1484" i="6"/>
  <c r="K1225" i="6"/>
  <c r="H1485" i="6"/>
  <c r="L1485" i="6"/>
  <c r="I1486" i="6"/>
  <c r="F1487" i="6"/>
  <c r="J1487" i="6"/>
  <c r="G1488" i="6"/>
  <c r="K1229" i="6"/>
  <c r="H1489" i="6"/>
  <c r="L1489" i="6"/>
  <c r="I1490" i="6"/>
  <c r="F1491" i="6"/>
  <c r="J1491" i="6"/>
  <c r="G1492" i="6"/>
  <c r="K1233" i="6"/>
  <c r="H1493" i="6"/>
  <c r="L1493" i="6"/>
  <c r="I1494" i="6"/>
  <c r="F1495" i="6"/>
  <c r="J1495" i="6"/>
  <c r="G1496" i="6"/>
  <c r="K1237" i="6"/>
  <c r="H1497" i="6"/>
  <c r="L1497" i="6"/>
  <c r="I1498" i="6"/>
  <c r="F1499" i="6"/>
  <c r="J1499" i="6"/>
  <c r="G1500" i="6"/>
  <c r="K1241" i="6"/>
  <c r="H1501" i="6"/>
  <c r="L1501" i="6"/>
  <c r="I1502" i="6"/>
  <c r="F1503" i="6"/>
  <c r="J1503" i="6"/>
  <c r="G1504" i="6"/>
  <c r="K1245" i="6"/>
  <c r="H1505" i="6"/>
  <c r="L1505" i="6"/>
  <c r="I1506" i="6"/>
  <c r="F1507" i="6"/>
  <c r="J1507" i="6"/>
  <c r="G1508" i="6"/>
  <c r="K1249" i="6"/>
  <c r="H1509" i="6"/>
  <c r="L1509" i="6"/>
  <c r="I1510" i="6"/>
  <c r="F1511" i="6"/>
  <c r="J1511" i="6"/>
  <c r="G1512" i="6"/>
  <c r="K1253" i="6"/>
  <c r="H1513" i="6"/>
  <c r="L1513" i="6"/>
  <c r="I1514" i="6"/>
  <c r="F1515" i="6"/>
  <c r="J1515" i="6"/>
  <c r="G1516" i="6"/>
  <c r="K1257" i="6"/>
  <c r="H1517" i="6"/>
  <c r="L1517" i="6"/>
  <c r="I1518" i="6"/>
  <c r="F1519" i="6"/>
  <c r="J1519" i="6"/>
  <c r="G1520" i="6"/>
  <c r="K1261" i="6"/>
  <c r="H1521" i="6"/>
  <c r="L1521" i="6"/>
  <c r="I1522" i="6"/>
  <c r="F1523" i="6"/>
  <c r="J1523" i="6"/>
  <c r="G1524" i="6"/>
  <c r="K1265" i="6"/>
  <c r="H1525" i="6"/>
  <c r="L1525" i="6"/>
  <c r="I1526" i="6"/>
  <c r="F1527" i="6"/>
  <c r="J1527" i="6"/>
  <c r="G1528" i="6"/>
  <c r="K1269" i="6"/>
  <c r="H1529" i="6"/>
  <c r="L1529" i="6"/>
  <c r="I1530" i="6"/>
  <c r="F1531" i="6"/>
  <c r="J1531" i="6"/>
  <c r="G1532" i="6"/>
  <c r="K1273" i="6"/>
  <c r="H1533" i="6"/>
  <c r="L1533" i="6"/>
  <c r="I1534" i="6"/>
  <c r="F1535" i="6"/>
  <c r="J1535" i="6"/>
  <c r="G1536" i="6"/>
  <c r="K1277" i="6"/>
  <c r="H1537" i="6"/>
  <c r="L1537" i="6"/>
  <c r="I1538" i="6"/>
  <c r="F1539" i="6"/>
  <c r="J1539" i="6"/>
  <c r="G1540" i="6"/>
  <c r="K1281" i="6"/>
  <c r="H1541" i="6"/>
  <c r="L1541" i="6"/>
  <c r="I1542" i="6"/>
  <c r="F1543" i="6"/>
  <c r="J1543" i="6"/>
  <c r="G1544" i="6"/>
  <c r="K1285" i="6"/>
  <c r="H1545" i="6"/>
  <c r="L1545" i="6"/>
  <c r="I1546" i="6"/>
  <c r="F1547" i="6"/>
  <c r="J1547" i="6"/>
  <c r="G1548" i="6"/>
  <c r="K1289" i="6"/>
  <c r="H1549" i="6"/>
  <c r="L1549" i="6"/>
  <c r="I1550" i="6"/>
  <c r="F1551" i="6"/>
  <c r="J1551" i="6"/>
  <c r="G1552" i="6"/>
  <c r="K1293" i="6"/>
  <c r="H1553" i="6"/>
  <c r="L1553" i="6"/>
  <c r="I1554" i="6"/>
  <c r="F1555" i="6"/>
  <c r="J1555" i="6"/>
  <c r="G1556" i="6"/>
  <c r="K1297" i="6"/>
  <c r="H1557" i="6"/>
  <c r="L1557" i="6"/>
  <c r="I1558" i="6"/>
  <c r="F1559" i="6"/>
  <c r="J1559" i="6"/>
  <c r="G1560" i="6"/>
  <c r="K1301" i="6"/>
  <c r="H1561" i="6"/>
  <c r="L1561" i="6"/>
  <c r="I1562" i="6"/>
  <c r="F1563" i="6"/>
  <c r="J1563" i="6"/>
  <c r="G1564" i="6"/>
  <c r="K1305" i="6"/>
  <c r="H1565" i="6"/>
  <c r="L1565" i="6"/>
  <c r="I1566" i="6"/>
  <c r="F1567" i="6"/>
  <c r="J1567" i="6"/>
  <c r="G1568" i="6"/>
  <c r="K1309" i="6"/>
  <c r="H1569" i="6"/>
  <c r="L1569" i="6"/>
  <c r="I1570" i="6"/>
  <c r="F1571" i="6"/>
  <c r="J1571" i="6"/>
  <c r="G1572" i="6"/>
  <c r="K1313" i="6"/>
  <c r="H1573" i="6"/>
  <c r="L1573" i="6"/>
  <c r="I1574" i="6"/>
  <c r="F1575" i="6"/>
  <c r="J1575" i="6"/>
  <c r="G1576" i="6"/>
  <c r="K1317" i="6"/>
  <c r="H1577" i="6"/>
  <c r="L1577" i="6"/>
  <c r="I1578" i="6"/>
  <c r="F1579" i="6"/>
  <c r="J1579" i="6"/>
  <c r="G1580" i="6"/>
  <c r="K1321" i="6"/>
  <c r="H1581" i="6"/>
  <c r="L1581" i="6"/>
  <c r="I1582" i="6"/>
  <c r="F1583" i="6"/>
  <c r="J1583" i="6"/>
  <c r="G1584" i="6"/>
  <c r="K1325" i="6"/>
  <c r="H1585" i="6"/>
  <c r="L1585" i="6"/>
  <c r="I1586" i="6"/>
  <c r="F1587" i="6"/>
  <c r="J1587" i="6"/>
  <c r="G1588" i="6"/>
  <c r="K1329" i="6"/>
  <c r="H1589" i="6"/>
  <c r="L1589" i="6"/>
  <c r="I1590" i="6"/>
  <c r="F1591" i="6"/>
  <c r="J1591" i="6"/>
  <c r="G1592" i="6"/>
  <c r="K1333" i="6"/>
  <c r="H1593" i="6"/>
  <c r="L1593" i="6"/>
  <c r="I1594" i="6"/>
  <c r="F1595" i="6"/>
  <c r="J1595" i="6"/>
  <c r="G1596" i="6"/>
  <c r="K1337" i="6"/>
  <c r="H1597" i="6"/>
  <c r="L1597" i="6"/>
  <c r="I1598" i="6"/>
  <c r="F1599" i="6"/>
  <c r="J1599" i="6"/>
  <c r="G1600" i="6"/>
  <c r="K1341" i="6"/>
  <c r="H1601" i="6"/>
  <c r="L1601" i="6"/>
  <c r="I1602" i="6"/>
  <c r="F1603" i="6"/>
  <c r="J1603" i="6"/>
  <c r="G1604" i="6"/>
  <c r="K1345" i="6"/>
  <c r="H1605" i="6"/>
  <c r="L1605" i="6"/>
  <c r="I1606" i="6"/>
  <c r="F1607" i="6"/>
  <c r="J1607" i="6"/>
  <c r="G1608" i="6"/>
  <c r="K1349" i="6"/>
  <c r="H1609" i="6"/>
  <c r="L1609" i="6"/>
  <c r="I1610" i="6"/>
  <c r="F1611" i="6"/>
  <c r="J1611" i="6"/>
  <c r="G1612" i="6"/>
  <c r="K1353" i="6"/>
  <c r="H1613" i="6"/>
  <c r="L1613" i="6"/>
  <c r="I1614" i="6"/>
  <c r="F1615" i="6"/>
  <c r="J1615" i="6"/>
  <c r="G1616" i="6"/>
  <c r="K1357" i="6"/>
  <c r="H1617" i="6"/>
  <c r="L1617" i="6"/>
  <c r="I1618" i="6"/>
  <c r="F1619" i="6"/>
  <c r="J1619" i="6"/>
  <c r="G1620" i="6"/>
  <c r="K1361" i="6"/>
  <c r="H1621" i="6"/>
  <c r="L1621" i="6"/>
  <c r="I1622" i="6"/>
  <c r="F1623" i="6"/>
  <c r="J1623" i="6"/>
  <c r="G1624" i="6"/>
  <c r="K1365" i="6"/>
  <c r="H1625" i="6"/>
  <c r="L1625" i="6"/>
  <c r="I1626" i="6"/>
  <c r="F1627" i="6"/>
  <c r="J1627" i="6"/>
  <c r="G1628" i="6"/>
  <c r="K1369" i="6"/>
  <c r="H1629" i="6"/>
  <c r="L1629" i="6"/>
  <c r="I1630" i="6"/>
  <c r="F1631" i="6"/>
  <c r="J1631" i="6"/>
  <c r="G1632" i="6"/>
  <c r="K1373" i="6"/>
  <c r="H1633" i="6"/>
  <c r="L1633" i="6"/>
  <c r="I1634" i="6"/>
  <c r="F1635" i="6"/>
  <c r="J1635" i="6"/>
  <c r="G1636" i="6"/>
  <c r="K1377" i="6"/>
  <c r="H1637" i="6"/>
  <c r="L1637" i="6"/>
  <c r="I1638" i="6"/>
  <c r="F1639" i="6"/>
  <c r="J1639" i="6"/>
  <c r="G1640" i="6"/>
  <c r="K1381" i="6"/>
  <c r="H1641" i="6"/>
  <c r="L1641" i="6"/>
  <c r="I1642" i="6"/>
  <c r="F1643" i="6"/>
  <c r="J1643" i="6"/>
  <c r="G1644" i="6"/>
  <c r="K1385" i="6"/>
  <c r="H1645" i="6"/>
  <c r="L1645" i="6"/>
  <c r="I1646" i="6"/>
  <c r="F1647" i="6"/>
  <c r="J1647" i="6"/>
  <c r="G1648" i="6"/>
  <c r="K1389" i="6"/>
  <c r="H1649" i="6"/>
  <c r="L1649" i="6"/>
  <c r="I1650" i="6"/>
  <c r="F1651" i="6"/>
  <c r="J1651" i="6"/>
  <c r="G1652" i="6"/>
  <c r="K1393" i="6"/>
  <c r="H1653" i="6"/>
  <c r="L1653" i="6"/>
  <c r="I1654" i="6"/>
  <c r="F1655" i="6"/>
  <c r="J1655" i="6"/>
  <c r="H1656" i="6"/>
  <c r="L1656" i="6"/>
  <c r="J1657" i="6"/>
  <c r="H1658" i="6"/>
  <c r="L1658" i="6"/>
  <c r="J1659" i="6"/>
  <c r="H1660" i="6"/>
  <c r="L1660" i="6"/>
  <c r="J1661" i="6"/>
  <c r="H1662" i="6"/>
  <c r="L1662" i="6"/>
  <c r="J1663" i="6"/>
  <c r="H1664" i="6"/>
  <c r="J1665" i="6"/>
  <c r="L1666" i="6"/>
  <c r="H1668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H1154" i="6"/>
  <c r="L1667" i="6"/>
  <c r="J1666" i="6"/>
  <c r="H1665" i="6"/>
  <c r="K1409" i="6"/>
  <c r="G1668" i="6"/>
  <c r="I1667" i="6"/>
  <c r="K1407" i="6"/>
  <c r="G1666" i="6"/>
  <c r="I1665" i="6"/>
  <c r="K1405" i="6"/>
  <c r="G1664" i="6"/>
  <c r="I1663" i="6"/>
  <c r="K1403" i="6"/>
  <c r="G1662" i="6"/>
  <c r="I1661" i="6"/>
  <c r="K1401" i="6"/>
  <c r="G1660" i="6"/>
  <c r="I1659" i="6"/>
  <c r="K1399" i="6"/>
  <c r="G1658" i="6"/>
  <c r="I1657" i="6"/>
  <c r="K1397" i="6"/>
  <c r="G1656" i="6"/>
  <c r="I1655" i="6"/>
  <c r="L1654" i="6"/>
  <c r="H1654" i="6"/>
  <c r="K1394" i="6"/>
  <c r="G1653" i="6"/>
  <c r="J1652" i="6"/>
  <c r="F1652" i="6"/>
  <c r="I1651" i="6"/>
  <c r="L1650" i="6"/>
  <c r="H1650" i="6"/>
  <c r="K1390" i="6"/>
  <c r="G1649" i="6"/>
  <c r="J1648" i="6"/>
  <c r="F1648" i="6"/>
  <c r="I1647" i="6"/>
  <c r="L1646" i="6"/>
  <c r="H1646" i="6"/>
  <c r="K1386" i="6"/>
  <c r="G1645" i="6"/>
  <c r="J1644" i="6"/>
  <c r="F1644" i="6"/>
  <c r="I1643" i="6"/>
  <c r="L1642" i="6"/>
  <c r="H1642" i="6"/>
  <c r="K1382" i="6"/>
  <c r="G1641" i="6"/>
  <c r="J1640" i="6"/>
  <c r="F1640" i="6"/>
  <c r="I1639" i="6"/>
  <c r="L1638" i="6"/>
  <c r="H1638" i="6"/>
  <c r="K1378" i="6"/>
  <c r="G1637" i="6"/>
  <c r="J1636" i="6"/>
  <c r="F1636" i="6"/>
  <c r="I1635" i="6"/>
  <c r="L1634" i="6"/>
  <c r="H1634" i="6"/>
  <c r="K1374" i="6"/>
  <c r="G1633" i="6"/>
  <c r="J1632" i="6"/>
  <c r="F1632" i="6"/>
  <c r="I1631" i="6"/>
  <c r="L1630" i="6"/>
  <c r="H1630" i="6"/>
  <c r="K1370" i="6"/>
  <c r="G1629" i="6"/>
  <c r="J1628" i="6"/>
  <c r="F1628" i="6"/>
  <c r="I1627" i="6"/>
  <c r="L1626" i="6"/>
  <c r="H1626" i="6"/>
  <c r="K1366" i="6"/>
  <c r="G1625" i="6"/>
  <c r="J1624" i="6"/>
  <c r="F1624" i="6"/>
  <c r="I1623" i="6"/>
  <c r="L1622" i="6"/>
  <c r="H1622" i="6"/>
  <c r="K1362" i="6"/>
  <c r="G1621" i="6"/>
  <c r="J1620" i="6"/>
  <c r="F1620" i="6"/>
  <c r="I1619" i="6"/>
  <c r="L1618" i="6"/>
  <c r="H1618" i="6"/>
  <c r="K1358" i="6"/>
  <c r="G1617" i="6"/>
  <c r="J1616" i="6"/>
  <c r="F1616" i="6"/>
  <c r="I1615" i="6"/>
  <c r="L1614" i="6"/>
  <c r="H1614" i="6"/>
  <c r="K1354" i="6"/>
  <c r="G1613" i="6"/>
  <c r="J1612" i="6"/>
  <c r="F1612" i="6"/>
  <c r="I1611" i="6"/>
  <c r="L1610" i="6"/>
  <c r="H1610" i="6"/>
  <c r="K1350" i="6"/>
  <c r="G1609" i="6"/>
  <c r="J1608" i="6"/>
  <c r="F1608" i="6"/>
  <c r="I1607" i="6"/>
  <c r="L1606" i="6"/>
  <c r="H1606" i="6"/>
  <c r="K1346" i="6"/>
  <c r="G1605" i="6"/>
  <c r="J1604" i="6"/>
  <c r="F1604" i="6"/>
  <c r="I1603" i="6"/>
  <c r="L1602" i="6"/>
  <c r="H1602" i="6"/>
  <c r="K1342" i="6"/>
  <c r="G1601" i="6"/>
  <c r="J1600" i="6"/>
  <c r="F1600" i="6"/>
  <c r="I1599" i="6"/>
  <c r="L1598" i="6"/>
  <c r="H1598" i="6"/>
  <c r="K1338" i="6"/>
  <c r="G1597" i="6"/>
  <c r="J1596" i="6"/>
  <c r="F1596" i="6"/>
  <c r="I1595" i="6"/>
  <c r="L1594" i="6"/>
  <c r="H1594" i="6"/>
  <c r="K1334" i="6"/>
  <c r="G1593" i="6"/>
  <c r="J1592" i="6"/>
  <c r="F1592" i="6"/>
  <c r="I1591" i="6"/>
  <c r="L1590" i="6"/>
  <c r="H1590" i="6"/>
  <c r="K1330" i="6"/>
  <c r="G1589" i="6"/>
  <c r="J1588" i="6"/>
  <c r="F1588" i="6"/>
  <c r="I1587" i="6"/>
  <c r="L1586" i="6"/>
  <c r="H1586" i="6"/>
  <c r="K1326" i="6"/>
  <c r="G1585" i="6"/>
  <c r="J1584" i="6"/>
  <c r="F1584" i="6"/>
  <c r="I1583" i="6"/>
  <c r="L1582" i="6"/>
  <c r="H1582" i="6"/>
  <c r="K1322" i="6"/>
  <c r="G1581" i="6"/>
  <c r="J1580" i="6"/>
  <c r="F1580" i="6"/>
  <c r="I1579" i="6"/>
  <c r="L1578" i="6"/>
  <c r="H1578" i="6"/>
  <c r="K1318" i="6"/>
  <c r="G1577" i="6"/>
  <c r="J1576" i="6"/>
  <c r="F1576" i="6"/>
  <c r="I1575" i="6"/>
  <c r="L1574" i="6"/>
  <c r="H1574" i="6"/>
  <c r="K1314" i="6"/>
  <c r="G1573" i="6"/>
  <c r="J1572" i="6"/>
  <c r="F1572" i="6"/>
  <c r="I1571" i="6"/>
  <c r="L1570" i="6"/>
  <c r="H1570" i="6"/>
  <c r="K1310" i="6"/>
  <c r="G1569" i="6"/>
  <c r="J1568" i="6"/>
  <c r="F1568" i="6"/>
  <c r="I1567" i="6"/>
  <c r="L1566" i="6"/>
  <c r="H1566" i="6"/>
  <c r="K1306" i="6"/>
  <c r="G1565" i="6"/>
  <c r="J1564" i="6"/>
  <c r="F1564" i="6"/>
  <c r="I1563" i="6"/>
  <c r="L1562" i="6"/>
  <c r="H1562" i="6"/>
  <c r="K1302" i="6"/>
  <c r="G1561" i="6"/>
  <c r="J1560" i="6"/>
  <c r="F1560" i="6"/>
  <c r="I1559" i="6"/>
  <c r="L1558" i="6"/>
  <c r="H1558" i="6"/>
  <c r="K1298" i="6"/>
  <c r="G1557" i="6"/>
  <c r="J1556" i="6"/>
  <c r="F1556" i="6"/>
  <c r="I1555" i="6"/>
  <c r="L1554" i="6"/>
  <c r="H1554" i="6"/>
  <c r="K1294" i="6"/>
  <c r="G1553" i="6"/>
  <c r="J1552" i="6"/>
  <c r="F1552" i="6"/>
  <c r="I1551" i="6"/>
  <c r="L1550" i="6"/>
  <c r="H1550" i="6"/>
  <c r="K1290" i="6"/>
  <c r="G1549" i="6"/>
  <c r="J1548" i="6"/>
  <c r="F1548" i="6"/>
  <c r="I1547" i="6"/>
  <c r="L1546" i="6"/>
  <c r="H1546" i="6"/>
  <c r="K1286" i="6"/>
  <c r="G1545" i="6"/>
  <c r="J1544" i="6"/>
  <c r="F1544" i="6"/>
  <c r="I1543" i="6"/>
  <c r="L1542" i="6"/>
  <c r="H1542" i="6"/>
  <c r="K1282" i="6"/>
  <c r="G1541" i="6"/>
  <c r="J1540" i="6"/>
  <c r="F1540" i="6"/>
  <c r="I1539" i="6"/>
  <c r="L1538" i="6"/>
  <c r="H1538" i="6"/>
  <c r="K1278" i="6"/>
  <c r="G1537" i="6"/>
  <c r="J1536" i="6"/>
  <c r="F1536" i="6"/>
  <c r="I1535" i="6"/>
  <c r="L1534" i="6"/>
  <c r="H1534" i="6"/>
  <c r="K1274" i="6"/>
  <c r="G1533" i="6"/>
  <c r="J1532" i="6"/>
  <c r="F1532" i="6"/>
  <c r="I1531" i="6"/>
  <c r="L1530" i="6"/>
  <c r="H1530" i="6"/>
  <c r="K1270" i="6"/>
  <c r="G1529" i="6"/>
  <c r="J1528" i="6"/>
  <c r="F1528" i="6"/>
  <c r="I1527" i="6"/>
  <c r="L1526" i="6"/>
  <c r="H1526" i="6"/>
  <c r="K1266" i="6"/>
  <c r="G1525" i="6"/>
  <c r="J1524" i="6"/>
  <c r="F1524" i="6"/>
  <c r="I1523" i="6"/>
  <c r="L1522" i="6"/>
  <c r="H1522" i="6"/>
  <c r="K1262" i="6"/>
  <c r="G1521" i="6"/>
  <c r="J1520" i="6"/>
  <c r="F1520" i="6"/>
  <c r="I1519" i="6"/>
  <c r="L1518" i="6"/>
  <c r="H1518" i="6"/>
  <c r="K1258" i="6"/>
  <c r="G1517" i="6"/>
  <c r="J1516" i="6"/>
  <c r="F1516" i="6"/>
  <c r="I1515" i="6"/>
  <c r="L1514" i="6"/>
  <c r="H1514" i="6"/>
  <c r="K1254" i="6"/>
  <c r="G1513" i="6"/>
  <c r="J1512" i="6"/>
  <c r="F1512" i="6"/>
  <c r="I1511" i="6"/>
  <c r="L1510" i="6"/>
  <c r="H1510" i="6"/>
  <c r="K1250" i="6"/>
  <c r="G1509" i="6"/>
  <c r="J1508" i="6"/>
  <c r="F1508" i="6"/>
  <c r="I1507" i="6"/>
  <c r="L1506" i="6"/>
  <c r="H1506" i="6"/>
  <c r="K1246" i="6"/>
  <c r="G1505" i="6"/>
  <c r="J1504" i="6"/>
  <c r="F1504" i="6"/>
  <c r="I1503" i="6"/>
  <c r="L1502" i="6"/>
  <c r="H1502" i="6"/>
  <c r="K1242" i="6"/>
  <c r="G1501" i="6"/>
  <c r="J1500" i="6"/>
  <c r="F1500" i="6"/>
  <c r="I1499" i="6"/>
  <c r="L1498" i="6"/>
  <c r="H1498" i="6"/>
  <c r="K1238" i="6"/>
  <c r="G1497" i="6"/>
  <c r="J1496" i="6"/>
  <c r="F1496" i="6"/>
  <c r="I1495" i="6"/>
  <c r="L1494" i="6"/>
  <c r="H1494" i="6"/>
  <c r="K1234" i="6"/>
  <c r="G1493" i="6"/>
  <c r="J1492" i="6"/>
  <c r="F1492" i="6"/>
  <c r="I1491" i="6"/>
  <c r="L1490" i="6"/>
  <c r="H1490" i="6"/>
  <c r="K1230" i="6"/>
  <c r="G1489" i="6"/>
  <c r="J1488" i="6"/>
  <c r="F1488" i="6"/>
  <c r="I1487" i="6"/>
  <c r="L1486" i="6"/>
  <c r="H1486" i="6"/>
  <c r="K1226" i="6"/>
  <c r="G1485" i="6"/>
  <c r="J1484" i="6"/>
  <c r="F1484" i="6"/>
  <c r="I1483" i="6"/>
  <c r="L1482" i="6"/>
  <c r="H1482" i="6"/>
  <c r="K1222" i="6"/>
  <c r="G1481" i="6"/>
  <c r="J1480" i="6"/>
  <c r="F1480" i="6"/>
  <c r="I1479" i="6"/>
  <c r="L1478" i="6"/>
  <c r="H1478" i="6"/>
  <c r="K1218" i="6"/>
  <c r="G1477" i="6"/>
  <c r="J1476" i="6"/>
  <c r="F1476" i="6"/>
  <c r="I1475" i="6"/>
  <c r="L1474" i="6"/>
  <c r="H1474" i="6"/>
  <c r="K1214" i="6"/>
  <c r="G1473" i="6"/>
  <c r="J1472" i="6"/>
  <c r="F1472" i="6"/>
  <c r="I1471" i="6"/>
  <c r="L1470" i="6"/>
  <c r="H1470" i="6"/>
  <c r="K1210" i="6"/>
  <c r="G1469" i="6"/>
  <c r="J1468" i="6"/>
  <c r="F1468" i="6"/>
  <c r="I1467" i="6"/>
  <c r="L1466" i="6"/>
  <c r="H1466" i="6"/>
  <c r="K1206" i="6"/>
  <c r="G1465" i="6"/>
  <c r="J1464" i="6"/>
  <c r="F1464" i="6"/>
  <c r="I1463" i="6"/>
  <c r="L1462" i="6"/>
  <c r="H1462" i="6"/>
  <c r="K1202" i="6"/>
  <c r="G1461" i="6"/>
  <c r="J1460" i="6"/>
  <c r="F1460" i="6"/>
  <c r="I1459" i="6"/>
  <c r="L1458" i="6"/>
  <c r="H1458" i="6"/>
  <c r="K1198" i="6"/>
  <c r="G1457" i="6"/>
  <c r="J1456" i="6"/>
  <c r="F1456" i="6"/>
  <c r="I1455" i="6"/>
  <c r="L1454" i="6"/>
  <c r="H1454" i="6"/>
  <c r="K1194" i="6"/>
  <c r="G1453" i="6"/>
  <c r="J1452" i="6"/>
  <c r="F1452" i="6"/>
  <c r="I1451" i="6"/>
  <c r="L1450" i="6"/>
  <c r="H1450" i="6"/>
  <c r="K1190" i="6"/>
  <c r="G1449" i="6"/>
  <c r="J1448" i="6"/>
  <c r="F1448" i="6"/>
  <c r="I1447" i="6"/>
  <c r="L1446" i="6"/>
  <c r="H1446" i="6"/>
  <c r="K1186" i="6"/>
  <c r="G1445" i="6"/>
  <c r="J1444" i="6"/>
  <c r="F1444" i="6"/>
  <c r="I1443" i="6"/>
  <c r="L1442" i="6"/>
  <c r="H1442" i="6"/>
  <c r="K1182" i="6"/>
  <c r="G1441" i="6"/>
  <c r="J1440" i="6"/>
  <c r="F1440" i="6"/>
  <c r="I1439" i="6"/>
  <c r="L1438" i="6"/>
  <c r="H1438" i="6"/>
  <c r="K1178" i="6"/>
  <c r="G1437" i="6"/>
  <c r="J1436" i="6"/>
  <c r="F1436" i="6"/>
  <c r="I1435" i="6"/>
  <c r="L1434" i="6"/>
  <c r="H1434" i="6"/>
  <c r="K1174" i="6"/>
  <c r="G1433" i="6"/>
  <c r="J1432" i="6"/>
  <c r="F1432" i="6"/>
  <c r="I1431" i="6"/>
  <c r="L1430" i="6"/>
  <c r="H1430" i="6"/>
  <c r="K1170" i="6"/>
  <c r="G1429" i="6"/>
  <c r="J1428" i="6"/>
  <c r="F1428" i="6"/>
  <c r="I1427" i="6"/>
  <c r="L1426" i="6"/>
  <c r="H1426" i="6"/>
  <c r="K1166" i="6"/>
  <c r="G1425" i="6"/>
  <c r="J1424" i="6"/>
  <c r="F1424" i="6"/>
  <c r="I1423" i="6"/>
  <c r="L1422" i="6"/>
  <c r="H1422" i="6"/>
  <c r="K1162" i="6"/>
  <c r="G1421" i="6"/>
  <c r="J1420" i="6"/>
  <c r="F1420" i="6"/>
  <c r="I1419" i="6"/>
  <c r="L1418" i="6"/>
  <c r="H1418" i="6"/>
  <c r="K1158" i="6"/>
  <c r="G1417" i="6"/>
  <c r="J1416" i="6"/>
  <c r="F1416" i="6"/>
  <c r="I1415" i="6"/>
  <c r="L1414" i="6"/>
  <c r="H1414" i="6"/>
  <c r="K1154" i="6"/>
  <c r="G1413" i="6"/>
  <c r="J1412" i="6"/>
  <c r="F1412" i="6"/>
  <c r="I1411" i="6"/>
  <c r="L1410" i="6"/>
  <c r="H1410" i="6"/>
  <c r="K1150" i="6"/>
  <c r="G1409" i="6"/>
  <c r="J1408" i="6"/>
  <c r="F1408" i="6"/>
  <c r="I1407" i="6"/>
  <c r="L1406" i="6"/>
  <c r="H1406" i="6"/>
  <c r="K1146" i="6"/>
  <c r="G1405" i="6"/>
  <c r="J1404" i="6"/>
  <c r="F1404" i="6"/>
  <c r="I1403" i="6"/>
  <c r="L1402" i="6"/>
  <c r="H1402" i="6"/>
  <c r="K1142" i="6"/>
  <c r="G1401" i="6"/>
  <c r="J1400" i="6"/>
  <c r="F1400" i="6"/>
  <c r="I1399" i="6"/>
  <c r="L1398" i="6"/>
  <c r="H1398" i="6"/>
  <c r="K1138" i="6"/>
  <c r="G1397" i="6"/>
  <c r="J1396" i="6"/>
  <c r="F1396" i="6"/>
  <c r="I1395" i="6"/>
  <c r="L1394" i="6"/>
  <c r="H1394" i="6"/>
  <c r="K1134" i="6"/>
  <c r="G1393" i="6"/>
  <c r="J1392" i="6"/>
  <c r="F1392" i="6"/>
  <c r="I1391" i="6"/>
  <c r="L1390" i="6"/>
  <c r="H1390" i="6"/>
  <c r="K1130" i="6"/>
  <c r="G1389" i="6"/>
  <c r="J1388" i="6"/>
  <c r="F1388" i="6"/>
  <c r="I1387" i="6"/>
  <c r="L1386" i="6"/>
  <c r="H1386" i="6"/>
  <c r="K1126" i="6"/>
  <c r="G1385" i="6"/>
  <c r="J1384" i="6"/>
  <c r="F1384" i="6"/>
  <c r="I1383" i="6"/>
  <c r="L1382" i="6"/>
  <c r="H1382" i="6"/>
  <c r="K1122" i="6"/>
  <c r="G1381" i="6"/>
  <c r="J1380" i="6"/>
  <c r="F1380" i="6"/>
  <c r="I1379" i="6"/>
  <c r="L1378" i="6"/>
  <c r="H1378" i="6"/>
  <c r="K1118" i="6"/>
  <c r="G1377" i="6"/>
  <c r="J1376" i="6"/>
  <c r="F1376" i="6"/>
  <c r="I1375" i="6"/>
  <c r="L1374" i="6"/>
  <c r="H1374" i="6"/>
  <c r="K1114" i="6"/>
  <c r="G1373" i="6"/>
  <c r="J1372" i="6"/>
  <c r="F1372" i="6"/>
  <c r="I1371" i="6"/>
  <c r="L1370" i="6"/>
  <c r="H1370" i="6"/>
  <c r="K1110" i="6"/>
  <c r="G1369" i="6"/>
  <c r="J1368" i="6"/>
  <c r="F1368" i="6"/>
  <c r="I1367" i="6"/>
  <c r="L1366" i="6"/>
  <c r="H1366" i="6"/>
  <c r="K1106" i="6"/>
  <c r="G1365" i="6"/>
  <c r="J1364" i="6"/>
  <c r="F1364" i="6"/>
  <c r="I1363" i="6"/>
  <c r="L1362" i="6"/>
  <c r="H1362" i="6"/>
  <c r="K1102" i="6"/>
  <c r="G1361" i="6"/>
  <c r="J1360" i="6"/>
  <c r="F1360" i="6"/>
  <c r="I1359" i="6"/>
  <c r="L1358" i="6"/>
  <c r="H1358" i="6"/>
  <c r="K1098" i="6"/>
  <c r="G1357" i="6"/>
  <c r="J1356" i="6"/>
  <c r="F1356" i="6"/>
  <c r="I1355" i="6"/>
  <c r="L1354" i="6"/>
  <c r="H1354" i="6"/>
  <c r="K1094" i="6"/>
  <c r="G1353" i="6"/>
  <c r="J1352" i="6"/>
  <c r="F1352" i="6"/>
  <c r="I1351" i="6"/>
  <c r="L1350" i="6"/>
  <c r="H1350" i="6"/>
  <c r="K1090" i="6"/>
  <c r="G1349" i="6"/>
  <c r="J1348" i="6"/>
  <c r="F1348" i="6"/>
  <c r="I1347" i="6"/>
  <c r="L1346" i="6"/>
  <c r="H1346" i="6"/>
  <c r="K1086" i="6"/>
  <c r="G1345" i="6"/>
  <c r="J1344" i="6"/>
  <c r="F1344" i="6"/>
  <c r="I1343" i="6"/>
  <c r="L1342" i="6"/>
  <c r="H1342" i="6"/>
  <c r="K1082" i="6"/>
  <c r="G1341" i="6"/>
  <c r="J1340" i="6"/>
  <c r="F1340" i="6"/>
  <c r="I1339" i="6"/>
  <c r="L1338" i="6"/>
  <c r="H1338" i="6"/>
  <c r="K1078" i="6"/>
  <c r="G1337" i="6"/>
  <c r="J1336" i="6"/>
  <c r="F1336" i="6"/>
  <c r="I1335" i="6"/>
  <c r="L1334" i="6"/>
  <c r="H1334" i="6"/>
  <c r="K1074" i="6"/>
  <c r="G1333" i="6"/>
  <c r="J1332" i="6"/>
  <c r="F1332" i="6"/>
  <c r="I1331" i="6"/>
  <c r="L1330" i="6"/>
  <c r="H1330" i="6"/>
  <c r="K1070" i="6"/>
  <c r="G1329" i="6"/>
  <c r="J1328" i="6"/>
  <c r="F1328" i="6"/>
  <c r="I1327" i="6"/>
  <c r="L1326" i="6"/>
  <c r="H1326" i="6"/>
  <c r="K1066" i="6"/>
  <c r="G1325" i="6"/>
  <c r="J1324" i="6"/>
  <c r="F1324" i="6"/>
  <c r="I1323" i="6"/>
  <c r="L1322" i="6"/>
  <c r="H1322" i="6"/>
  <c r="K1062" i="6"/>
  <c r="G1321" i="6"/>
  <c r="J1320" i="6"/>
  <c r="F1320" i="6"/>
  <c r="I1319" i="6"/>
  <c r="L1318" i="6"/>
  <c r="H1318" i="6"/>
  <c r="K1058" i="6"/>
  <c r="G1317" i="6"/>
  <c r="J1316" i="6"/>
  <c r="F1316" i="6"/>
  <c r="I1315" i="6"/>
  <c r="L1314" i="6"/>
  <c r="H1314" i="6"/>
  <c r="K1054" i="6"/>
  <c r="G1313" i="6"/>
  <c r="J1312" i="6"/>
  <c r="F1312" i="6"/>
  <c r="I1311" i="6"/>
  <c r="L1310" i="6"/>
  <c r="H1310" i="6"/>
  <c r="K1050" i="6"/>
  <c r="G1309" i="6"/>
  <c r="J1308" i="6"/>
  <c r="F1308" i="6"/>
  <c r="I1307" i="6"/>
  <c r="L1306" i="6"/>
  <c r="H1306" i="6"/>
  <c r="K1046" i="6"/>
  <c r="G1305" i="6"/>
  <c r="J1304" i="6"/>
  <c r="F1304" i="6"/>
  <c r="I1303" i="6"/>
  <c r="L1302" i="6"/>
  <c r="H1302" i="6"/>
  <c r="K1042" i="6"/>
  <c r="G1301" i="6"/>
  <c r="J1300" i="6"/>
  <c r="F1300" i="6"/>
  <c r="I1299" i="6"/>
  <c r="L1298" i="6"/>
  <c r="H1298" i="6"/>
  <c r="K1038" i="6"/>
  <c r="G1297" i="6"/>
  <c r="J1296" i="6"/>
  <c r="F1296" i="6"/>
  <c r="I1295" i="6"/>
  <c r="L1294" i="6"/>
  <c r="H1294" i="6"/>
  <c r="K1034" i="6"/>
  <c r="G1293" i="6"/>
  <c r="J1292" i="6"/>
  <c r="F1292" i="6"/>
  <c r="I1291" i="6"/>
  <c r="L1290" i="6"/>
  <c r="H1290" i="6"/>
  <c r="K1030" i="6"/>
  <c r="G1289" i="6"/>
  <c r="J1288" i="6"/>
  <c r="F1288" i="6"/>
  <c r="I1287" i="6"/>
  <c r="L1286" i="6"/>
  <c r="H1286" i="6"/>
  <c r="K1026" i="6"/>
  <c r="G1285" i="6"/>
  <c r="J1284" i="6"/>
  <c r="F1284" i="6"/>
  <c r="I1283" i="6"/>
  <c r="L1282" i="6"/>
  <c r="H1282" i="6"/>
  <c r="K1022" i="6"/>
  <c r="G1281" i="6"/>
  <c r="J1280" i="6"/>
  <c r="F1280" i="6"/>
  <c r="I1279" i="6"/>
  <c r="L1278" i="6"/>
  <c r="H1278" i="6"/>
  <c r="K1018" i="6"/>
  <c r="G1277" i="6"/>
  <c r="J1276" i="6"/>
  <c r="F1276" i="6"/>
  <c r="I1275" i="6"/>
  <c r="L1274" i="6"/>
  <c r="H1274" i="6"/>
  <c r="K1014" i="6"/>
  <c r="G1273" i="6"/>
  <c r="J1272" i="6"/>
  <c r="F1272" i="6"/>
  <c r="I1271" i="6"/>
  <c r="L1270" i="6"/>
  <c r="H1270" i="6"/>
  <c r="K1010" i="6"/>
  <c r="G1269" i="6"/>
  <c r="J1268" i="6"/>
  <c r="F1268" i="6"/>
  <c r="I1267" i="6"/>
  <c r="L1266" i="6"/>
  <c r="H1266" i="6"/>
  <c r="K1006" i="6"/>
  <c r="G1265" i="6"/>
  <c r="J1264" i="6"/>
  <c r="F1264" i="6"/>
  <c r="I1263" i="6"/>
  <c r="L1262" i="6"/>
  <c r="H1262" i="6"/>
  <c r="K1002" i="6"/>
  <c r="G1261" i="6"/>
  <c r="J1260" i="6"/>
  <c r="F1260" i="6"/>
  <c r="I1259" i="6"/>
  <c r="L1258" i="6"/>
  <c r="H1258" i="6"/>
  <c r="K998" i="6"/>
  <c r="G1257" i="6"/>
  <c r="J1256" i="6"/>
  <c r="F1256" i="6"/>
  <c r="I1255" i="6"/>
  <c r="L1254" i="6"/>
  <c r="H1254" i="6"/>
  <c r="K994" i="6"/>
  <c r="G1253" i="6"/>
  <c r="J1252" i="6"/>
  <c r="F1252" i="6"/>
  <c r="I1251" i="6"/>
  <c r="L1250" i="6"/>
  <c r="H1250" i="6"/>
  <c r="K990" i="6"/>
  <c r="G1249" i="6"/>
  <c r="J1248" i="6"/>
  <c r="F1248" i="6"/>
  <c r="I1247" i="6"/>
  <c r="L1246" i="6"/>
  <c r="H1246" i="6"/>
  <c r="K986" i="6"/>
  <c r="G1245" i="6"/>
  <c r="J1244" i="6"/>
  <c r="F1244" i="6"/>
  <c r="I1243" i="6"/>
  <c r="L1242" i="6"/>
  <c r="H1242" i="6"/>
  <c r="K982" i="6"/>
  <c r="G1241" i="6"/>
  <c r="J1240" i="6"/>
  <c r="F1240" i="6"/>
  <c r="I1239" i="6"/>
  <c r="L1238" i="6"/>
  <c r="H1238" i="6"/>
  <c r="K978" i="6"/>
  <c r="G1237" i="6"/>
  <c r="J1236" i="6"/>
  <c r="F1236" i="6"/>
  <c r="I1235" i="6"/>
  <c r="L1234" i="6"/>
  <c r="H1234" i="6"/>
  <c r="K974" i="6"/>
  <c r="G1233" i="6"/>
  <c r="J1232" i="6"/>
  <c r="F1232" i="6"/>
  <c r="I1231" i="6"/>
  <c r="L1230" i="6"/>
  <c r="H1230" i="6"/>
  <c r="K970" i="6"/>
  <c r="G1229" i="6"/>
  <c r="J1228" i="6"/>
  <c r="F1228" i="6"/>
  <c r="I1227" i="6"/>
  <c r="L1226" i="6"/>
  <c r="H1226" i="6"/>
  <c r="K966" i="6"/>
  <c r="G1225" i="6"/>
  <c r="J1224" i="6"/>
  <c r="F1224" i="6"/>
  <c r="I1223" i="6"/>
  <c r="L1222" i="6"/>
  <c r="H1222" i="6"/>
  <c r="K962" i="6"/>
  <c r="G1221" i="6"/>
  <c r="J1220" i="6"/>
  <c r="F1220" i="6"/>
  <c r="I1219" i="6"/>
  <c r="L1218" i="6"/>
  <c r="H1218" i="6"/>
  <c r="K958" i="6"/>
  <c r="G1217" i="6"/>
  <c r="J1216" i="6"/>
  <c r="F1216" i="6"/>
  <c r="I1215" i="6"/>
  <c r="L1214" i="6"/>
  <c r="H1214" i="6"/>
  <c r="K954" i="6"/>
  <c r="G1213" i="6"/>
  <c r="J1212" i="6"/>
  <c r="F1212" i="6"/>
  <c r="I1211" i="6"/>
  <c r="L1210" i="6"/>
  <c r="H1210" i="6"/>
  <c r="K950" i="6"/>
  <c r="G1209" i="6"/>
  <c r="J1208" i="6"/>
  <c r="F1208" i="6"/>
  <c r="I1207" i="6"/>
  <c r="L1206" i="6"/>
  <c r="H1206" i="6"/>
  <c r="K946" i="6"/>
  <c r="G1205" i="6"/>
  <c r="J1204" i="6"/>
  <c r="F1204" i="6"/>
  <c r="I1203" i="6"/>
  <c r="L1202" i="6"/>
  <c r="H1202" i="6"/>
  <c r="K942" i="6"/>
  <c r="G1201" i="6"/>
  <c r="J1200" i="6"/>
  <c r="F1200" i="6"/>
  <c r="I1199" i="6"/>
  <c r="L1198" i="6"/>
  <c r="H1198" i="6"/>
  <c r="K938" i="6"/>
  <c r="G1197" i="6"/>
  <c r="J1196" i="6"/>
  <c r="F1196" i="6"/>
  <c r="I1195" i="6"/>
  <c r="L1194" i="6"/>
  <c r="H1194" i="6"/>
  <c r="K934" i="6"/>
  <c r="G1193" i="6"/>
  <c r="J1192" i="6"/>
  <c r="F1192" i="6"/>
  <c r="I1191" i="6"/>
  <c r="L1190" i="6"/>
  <c r="H1190" i="6"/>
  <c r="K930" i="6"/>
  <c r="G1189" i="6"/>
  <c r="J1188" i="6"/>
  <c r="F1188" i="6"/>
  <c r="I1187" i="6"/>
  <c r="L1186" i="6"/>
  <c r="H1186" i="6"/>
  <c r="K926" i="6"/>
  <c r="G1185" i="6"/>
  <c r="J1184" i="6"/>
  <c r="F1184" i="6"/>
  <c r="I1183" i="6"/>
  <c r="L1182" i="6"/>
  <c r="H1182" i="6"/>
  <c r="K922" i="6"/>
  <c r="G1181" i="6"/>
  <c r="J1180" i="6"/>
  <c r="F1180" i="6"/>
  <c r="I1179" i="6"/>
  <c r="L1178" i="6"/>
  <c r="H1178" i="6"/>
  <c r="K918" i="6"/>
  <c r="G1177" i="6"/>
  <c r="J1176" i="6"/>
  <c r="F1176" i="6"/>
  <c r="I1175" i="6"/>
  <c r="L1174" i="6"/>
  <c r="H1174" i="6"/>
  <c r="L1173" i="6"/>
  <c r="H1173" i="6"/>
  <c r="L1172" i="6"/>
  <c r="H1172" i="6"/>
  <c r="L1171" i="6"/>
  <c r="H1171" i="6"/>
  <c r="L1170" i="6"/>
  <c r="H1170" i="6"/>
  <c r="L1169" i="6"/>
  <c r="H1169" i="6"/>
  <c r="L1168" i="6"/>
  <c r="H1168" i="6"/>
  <c r="L1167" i="6"/>
  <c r="H1167" i="6"/>
  <c r="L1166" i="6"/>
  <c r="H1166" i="6"/>
  <c r="L1165" i="6"/>
  <c r="H1165" i="6"/>
  <c r="L1164" i="6"/>
  <c r="H1164" i="6"/>
  <c r="L1163" i="6"/>
  <c r="H1163" i="6"/>
  <c r="L1162" i="6"/>
  <c r="H1162" i="6"/>
  <c r="L1161" i="6"/>
  <c r="H1161" i="6"/>
  <c r="L1160" i="6"/>
  <c r="H1160" i="6"/>
  <c r="L1159" i="6"/>
  <c r="H1159" i="6"/>
  <c r="L1158" i="6"/>
  <c r="H1158" i="6"/>
  <c r="L1157" i="6"/>
  <c r="H1157" i="6"/>
  <c r="L1156" i="6"/>
  <c r="H1156" i="6"/>
  <c r="L1155" i="6"/>
  <c r="H1155" i="6"/>
  <c r="L1154" i="6"/>
  <c r="F1154" i="6"/>
  <c r="G1152" i="6"/>
  <c r="G1150" i="6"/>
  <c r="G1148" i="6"/>
  <c r="G1146" i="6"/>
  <c r="G1144" i="6"/>
  <c r="G1142" i="6"/>
  <c r="G1140" i="6"/>
  <c r="G1138" i="6"/>
  <c r="G1136" i="6"/>
  <c r="G1134" i="6"/>
  <c r="G1132" i="6"/>
  <c r="G1130" i="6"/>
  <c r="G1128" i="6"/>
  <c r="N384" i="6"/>
  <c r="N371" i="6"/>
  <c r="N382" i="6"/>
  <c r="N386" i="6"/>
  <c r="N366" i="6"/>
  <c r="N375" i="6"/>
  <c r="N377" i="6"/>
  <c r="N365" i="6"/>
  <c r="N374" i="6"/>
  <c r="N379" i="6"/>
  <c r="N370" i="6"/>
  <c r="N372" i="6"/>
  <c r="N378" i="6"/>
  <c r="N368" i="6"/>
  <c r="N376" i="6"/>
  <c r="N367" i="6"/>
  <c r="N369" i="6"/>
  <c r="N385" i="6"/>
  <c r="N380" i="6"/>
  <c r="N383" i="6"/>
  <c r="N373" i="6"/>
  <c r="N381" i="6"/>
  <c r="G135" i="6" l="1"/>
  <c r="I135" i="6"/>
  <c r="K135" i="6"/>
  <c r="F135" i="6"/>
  <c r="J135" i="6"/>
  <c r="H135" i="6"/>
  <c r="L135" i="6"/>
  <c r="G133" i="6"/>
  <c r="I133" i="6"/>
  <c r="K133" i="6"/>
  <c r="H133" i="6"/>
  <c r="L133" i="6"/>
  <c r="F133" i="6"/>
  <c r="J133" i="6"/>
  <c r="G131" i="6"/>
  <c r="I131" i="6"/>
  <c r="K131" i="6"/>
  <c r="F131" i="6"/>
  <c r="J131" i="6"/>
  <c r="H131" i="6"/>
  <c r="L131" i="6"/>
  <c r="G129" i="6"/>
  <c r="I129" i="6"/>
  <c r="K129" i="6"/>
  <c r="H129" i="6"/>
  <c r="L129" i="6"/>
  <c r="F129" i="6"/>
  <c r="J129" i="6"/>
  <c r="G127" i="6"/>
  <c r="I127" i="6"/>
  <c r="K127" i="6"/>
  <c r="F127" i="6"/>
  <c r="J127" i="6"/>
  <c r="H127" i="6"/>
  <c r="L127" i="6"/>
  <c r="G125" i="6"/>
  <c r="I125" i="6"/>
  <c r="K125" i="6"/>
  <c r="H125" i="6"/>
  <c r="L125" i="6"/>
  <c r="F125" i="6"/>
  <c r="J125" i="6"/>
  <c r="I199" i="6"/>
  <c r="F199" i="6"/>
  <c r="H199" i="6"/>
  <c r="J199" i="6"/>
  <c r="L199" i="6"/>
  <c r="G199" i="6"/>
  <c r="K199" i="6"/>
  <c r="I197" i="6"/>
  <c r="F197" i="6"/>
  <c r="H197" i="6"/>
  <c r="J197" i="6"/>
  <c r="L197" i="6"/>
  <c r="G197" i="6"/>
  <c r="K197" i="6"/>
  <c r="I195" i="6"/>
  <c r="F195" i="6"/>
  <c r="H195" i="6"/>
  <c r="J195" i="6"/>
  <c r="L195" i="6"/>
  <c r="G195" i="6"/>
  <c r="K195" i="6"/>
  <c r="G193" i="6"/>
  <c r="F193" i="6"/>
  <c r="H193" i="6"/>
  <c r="J193" i="6"/>
  <c r="L193" i="6"/>
  <c r="I193" i="6"/>
  <c r="K193" i="6"/>
  <c r="G191" i="6"/>
  <c r="F191" i="6"/>
  <c r="H191" i="6"/>
  <c r="J191" i="6"/>
  <c r="L191" i="6"/>
  <c r="I191" i="6"/>
  <c r="K191" i="6"/>
  <c r="I189" i="6"/>
  <c r="F189" i="6"/>
  <c r="H189" i="6"/>
  <c r="J189" i="6"/>
  <c r="L189" i="6"/>
  <c r="G189" i="6"/>
  <c r="K189" i="6"/>
  <c r="I187" i="6"/>
  <c r="F187" i="6"/>
  <c r="H187" i="6"/>
  <c r="J187" i="6"/>
  <c r="L187" i="6"/>
  <c r="G187" i="6"/>
  <c r="K187" i="6"/>
  <c r="I185" i="6"/>
  <c r="F185" i="6"/>
  <c r="H185" i="6"/>
  <c r="J185" i="6"/>
  <c r="L185" i="6"/>
  <c r="G185" i="6"/>
  <c r="K185" i="6"/>
  <c r="I183" i="6"/>
  <c r="F183" i="6"/>
  <c r="H183" i="6"/>
  <c r="J183" i="6"/>
  <c r="L183" i="6"/>
  <c r="G183" i="6"/>
  <c r="K183" i="6"/>
  <c r="G181" i="6"/>
  <c r="F181" i="6"/>
  <c r="H181" i="6"/>
  <c r="J181" i="6"/>
  <c r="L181" i="6"/>
  <c r="I181" i="6"/>
  <c r="K181" i="6"/>
  <c r="K179" i="6"/>
  <c r="F179" i="6"/>
  <c r="H179" i="6"/>
  <c r="J179" i="6"/>
  <c r="L179" i="6"/>
  <c r="G179" i="6"/>
  <c r="I179" i="6"/>
  <c r="I177" i="6"/>
  <c r="F177" i="6"/>
  <c r="H177" i="6"/>
  <c r="J177" i="6"/>
  <c r="L177" i="6"/>
  <c r="G177" i="6"/>
  <c r="K177" i="6"/>
  <c r="I175" i="6"/>
  <c r="F175" i="6"/>
  <c r="H175" i="6"/>
  <c r="J175" i="6"/>
  <c r="L175" i="6"/>
  <c r="G175" i="6"/>
  <c r="K175" i="6"/>
  <c r="G173" i="6"/>
  <c r="I173" i="6"/>
  <c r="K173" i="6"/>
  <c r="J173" i="6"/>
  <c r="H173" i="6"/>
  <c r="L173" i="6"/>
  <c r="F173" i="6"/>
  <c r="G171" i="6"/>
  <c r="I171" i="6"/>
  <c r="K171" i="6"/>
  <c r="F171" i="6"/>
  <c r="J171" i="6"/>
  <c r="H171" i="6"/>
  <c r="L171" i="6"/>
  <c r="G169" i="6"/>
  <c r="I169" i="6"/>
  <c r="K169" i="6"/>
  <c r="F169" i="6"/>
  <c r="H169" i="6"/>
  <c r="L169" i="6"/>
  <c r="J169" i="6"/>
  <c r="G167" i="6"/>
  <c r="I167" i="6"/>
  <c r="K167" i="6"/>
  <c r="F167" i="6"/>
  <c r="J167" i="6"/>
  <c r="H167" i="6"/>
  <c r="L167" i="6"/>
  <c r="G165" i="6"/>
  <c r="I165" i="6"/>
  <c r="K165" i="6"/>
  <c r="H165" i="6"/>
  <c r="L165" i="6"/>
  <c r="F165" i="6"/>
  <c r="J165" i="6"/>
  <c r="G163" i="6"/>
  <c r="I163" i="6"/>
  <c r="K163" i="6"/>
  <c r="F163" i="6"/>
  <c r="J163" i="6"/>
  <c r="H163" i="6"/>
  <c r="L163" i="6"/>
  <c r="G161" i="6"/>
  <c r="I161" i="6"/>
  <c r="K161" i="6"/>
  <c r="F161" i="6"/>
  <c r="H161" i="6"/>
  <c r="L161" i="6"/>
  <c r="J161" i="6"/>
  <c r="G159" i="6"/>
  <c r="I159" i="6"/>
  <c r="K159" i="6"/>
  <c r="F159" i="6"/>
  <c r="J159" i="6"/>
  <c r="H159" i="6"/>
  <c r="L159" i="6"/>
  <c r="G157" i="6"/>
  <c r="I157" i="6"/>
  <c r="K157" i="6"/>
  <c r="H157" i="6"/>
  <c r="L157" i="6"/>
  <c r="F157" i="6"/>
  <c r="J157" i="6"/>
  <c r="G155" i="6"/>
  <c r="I155" i="6"/>
  <c r="K155" i="6"/>
  <c r="F155" i="6"/>
  <c r="J155" i="6"/>
  <c r="H155" i="6"/>
  <c r="L155" i="6"/>
  <c r="G153" i="6"/>
  <c r="I153" i="6"/>
  <c r="K153" i="6"/>
  <c r="L153" i="6"/>
  <c r="F153" i="6"/>
  <c r="J153" i="6"/>
  <c r="G151" i="6"/>
  <c r="I151" i="6"/>
  <c r="K151" i="6"/>
  <c r="F151" i="6"/>
  <c r="J151" i="6"/>
  <c r="H151" i="6"/>
  <c r="L151" i="6"/>
  <c r="G149" i="6"/>
  <c r="I149" i="6"/>
  <c r="K149" i="6"/>
  <c r="H149" i="6"/>
  <c r="L149" i="6"/>
  <c r="F149" i="6"/>
  <c r="J149" i="6"/>
  <c r="G147" i="6"/>
  <c r="I147" i="6"/>
  <c r="K147" i="6"/>
  <c r="F147" i="6"/>
  <c r="J147" i="6"/>
  <c r="H147" i="6"/>
  <c r="L147" i="6"/>
  <c r="G145" i="6"/>
  <c r="I145" i="6"/>
  <c r="K145" i="6"/>
  <c r="H145" i="6"/>
  <c r="L145" i="6"/>
  <c r="F145" i="6"/>
  <c r="J145" i="6"/>
  <c r="G143" i="6"/>
  <c r="I143" i="6"/>
  <c r="K143" i="6"/>
  <c r="F143" i="6"/>
  <c r="J143" i="6"/>
  <c r="H143" i="6"/>
  <c r="L143" i="6"/>
  <c r="G141" i="6"/>
  <c r="I141" i="6"/>
  <c r="K141" i="6"/>
  <c r="H141" i="6"/>
  <c r="L141" i="6"/>
  <c r="F141" i="6"/>
  <c r="J141" i="6"/>
  <c r="G139" i="6"/>
  <c r="I139" i="6"/>
  <c r="K139" i="6"/>
  <c r="F139" i="6"/>
  <c r="J139" i="6"/>
  <c r="H139" i="6"/>
  <c r="L139" i="6"/>
  <c r="G137" i="6"/>
  <c r="I137" i="6"/>
  <c r="K137" i="6"/>
  <c r="J137" i="6"/>
  <c r="H137" i="6"/>
  <c r="L137" i="6"/>
  <c r="F137" i="6"/>
  <c r="F122" i="6"/>
  <c r="H122" i="6"/>
  <c r="J122" i="6"/>
  <c r="L122" i="6"/>
  <c r="I122" i="6"/>
  <c r="G122" i="6"/>
  <c r="K122" i="6"/>
  <c r="F120" i="6"/>
  <c r="H120" i="6"/>
  <c r="J120" i="6"/>
  <c r="L120" i="6"/>
  <c r="G120" i="6"/>
  <c r="K120" i="6"/>
  <c r="I120" i="6"/>
  <c r="F118" i="6"/>
  <c r="H118" i="6"/>
  <c r="J118" i="6"/>
  <c r="L118" i="6"/>
  <c r="I118" i="6"/>
  <c r="G118" i="6"/>
  <c r="K118" i="6"/>
  <c r="F116" i="6"/>
  <c r="H116" i="6"/>
  <c r="J116" i="6"/>
  <c r="L116" i="6"/>
  <c r="G116" i="6"/>
  <c r="K116" i="6"/>
  <c r="I116" i="6"/>
  <c r="F114" i="6"/>
  <c r="H114" i="6"/>
  <c r="J114" i="6"/>
  <c r="L114" i="6"/>
  <c r="I114" i="6"/>
  <c r="G114" i="6"/>
  <c r="K114" i="6"/>
  <c r="F112" i="6"/>
  <c r="H112" i="6"/>
  <c r="J112" i="6"/>
  <c r="L112" i="6"/>
  <c r="G112" i="6"/>
  <c r="K112" i="6"/>
  <c r="I112" i="6"/>
  <c r="F110" i="6"/>
  <c r="H110" i="6"/>
  <c r="J110" i="6"/>
  <c r="L110" i="6"/>
  <c r="I110" i="6"/>
  <c r="G110" i="6"/>
  <c r="K110" i="6"/>
  <c r="F108" i="6"/>
  <c r="H108" i="6"/>
  <c r="J108" i="6"/>
  <c r="L108" i="6"/>
  <c r="G108" i="6"/>
  <c r="K108" i="6"/>
  <c r="I108" i="6"/>
  <c r="F106" i="6"/>
  <c r="H106" i="6"/>
  <c r="J106" i="6"/>
  <c r="L106" i="6"/>
  <c r="I106" i="6"/>
  <c r="G106" i="6"/>
  <c r="K106" i="6"/>
  <c r="F104" i="6"/>
  <c r="H104" i="6"/>
  <c r="J104" i="6"/>
  <c r="L104" i="6"/>
  <c r="G104" i="6"/>
  <c r="K104" i="6"/>
  <c r="I104" i="6"/>
  <c r="F102" i="6"/>
  <c r="H102" i="6"/>
  <c r="J102" i="6"/>
  <c r="L102" i="6"/>
  <c r="I102" i="6"/>
  <c r="G102" i="6"/>
  <c r="K102" i="6"/>
  <c r="F100" i="6"/>
  <c r="H100" i="6"/>
  <c r="J100" i="6"/>
  <c r="L100" i="6"/>
  <c r="G100" i="6"/>
  <c r="K100" i="6"/>
  <c r="I100" i="6"/>
  <c r="F98" i="6"/>
  <c r="H98" i="6"/>
  <c r="J98" i="6"/>
  <c r="L98" i="6"/>
  <c r="I98" i="6"/>
  <c r="G98" i="6"/>
  <c r="K98" i="6"/>
  <c r="F96" i="6"/>
  <c r="H96" i="6"/>
  <c r="J96" i="6"/>
  <c r="L96" i="6"/>
  <c r="G96" i="6"/>
  <c r="K96" i="6"/>
  <c r="I96" i="6"/>
  <c r="F94" i="6"/>
  <c r="H94" i="6"/>
  <c r="J94" i="6"/>
  <c r="L94" i="6"/>
  <c r="I94" i="6"/>
  <c r="G94" i="6"/>
  <c r="K94" i="6"/>
  <c r="F92" i="6"/>
  <c r="H92" i="6"/>
  <c r="J92" i="6"/>
  <c r="L92" i="6"/>
  <c r="G92" i="6"/>
  <c r="K92" i="6"/>
  <c r="I92" i="6"/>
  <c r="F90" i="6"/>
  <c r="H90" i="6"/>
  <c r="J90" i="6"/>
  <c r="L90" i="6"/>
  <c r="I90" i="6"/>
  <c r="G90" i="6"/>
  <c r="K90" i="6"/>
  <c r="F88" i="6"/>
  <c r="H88" i="6"/>
  <c r="J88" i="6"/>
  <c r="L88" i="6"/>
  <c r="G88" i="6"/>
  <c r="K88" i="6"/>
  <c r="I88" i="6"/>
  <c r="F86" i="6"/>
  <c r="H86" i="6"/>
  <c r="J86" i="6"/>
  <c r="L86" i="6"/>
  <c r="I86" i="6"/>
  <c r="G86" i="6"/>
  <c r="K86" i="6"/>
  <c r="F84" i="6"/>
  <c r="H84" i="6"/>
  <c r="J84" i="6"/>
  <c r="L84" i="6"/>
  <c r="G84" i="6"/>
  <c r="K84" i="6"/>
  <c r="I84" i="6"/>
  <c r="F82" i="6"/>
  <c r="H82" i="6"/>
  <c r="J82" i="6"/>
  <c r="L82" i="6"/>
  <c r="G82" i="6"/>
  <c r="K82" i="6"/>
  <c r="I82" i="6"/>
  <c r="F80" i="6"/>
  <c r="H80" i="6"/>
  <c r="J80" i="6"/>
  <c r="L80" i="6"/>
  <c r="I80" i="6"/>
  <c r="K80" i="6"/>
  <c r="G80" i="6"/>
  <c r="F78" i="6"/>
  <c r="H78" i="6"/>
  <c r="J78" i="6"/>
  <c r="L78" i="6"/>
  <c r="G78" i="6"/>
  <c r="K78" i="6"/>
  <c r="I78" i="6"/>
  <c r="F76" i="6"/>
  <c r="H76" i="6"/>
  <c r="J76" i="6"/>
  <c r="L76" i="6"/>
  <c r="I76" i="6"/>
  <c r="G76" i="6"/>
  <c r="K76" i="6"/>
  <c r="F74" i="6"/>
  <c r="H74" i="6"/>
  <c r="J74" i="6"/>
  <c r="L74" i="6"/>
  <c r="G74" i="6"/>
  <c r="K74" i="6"/>
  <c r="I74" i="6"/>
  <c r="F72" i="6"/>
  <c r="H72" i="6"/>
  <c r="J72" i="6"/>
  <c r="L72" i="6"/>
  <c r="I72" i="6"/>
  <c r="K72" i="6"/>
  <c r="G72" i="6"/>
  <c r="F70" i="6"/>
  <c r="H70" i="6"/>
  <c r="J70" i="6"/>
  <c r="L70" i="6"/>
  <c r="G70" i="6"/>
  <c r="K70" i="6"/>
  <c r="I70" i="6"/>
  <c r="G68" i="6"/>
  <c r="I68" i="6"/>
  <c r="K68" i="6"/>
  <c r="F68" i="6"/>
  <c r="H68" i="6"/>
  <c r="J68" i="6"/>
  <c r="L68" i="6"/>
  <c r="G66" i="6"/>
  <c r="I66" i="6"/>
  <c r="K66" i="6"/>
  <c r="F66" i="6"/>
  <c r="H66" i="6"/>
  <c r="J66" i="6"/>
  <c r="L66" i="6"/>
  <c r="G64" i="6"/>
  <c r="I64" i="6"/>
  <c r="K64" i="6"/>
  <c r="F64" i="6"/>
  <c r="H64" i="6"/>
  <c r="J64" i="6"/>
  <c r="L64" i="6"/>
  <c r="G62" i="6"/>
  <c r="I62" i="6"/>
  <c r="K62" i="6"/>
  <c r="F62" i="6"/>
  <c r="H62" i="6"/>
  <c r="J62" i="6"/>
  <c r="L62" i="6"/>
  <c r="G60" i="6"/>
  <c r="I60" i="6"/>
  <c r="K60" i="6"/>
  <c r="F60" i="6"/>
  <c r="H60" i="6"/>
  <c r="J60" i="6"/>
  <c r="L60" i="6"/>
  <c r="G58" i="6"/>
  <c r="I58" i="6"/>
  <c r="K58" i="6"/>
  <c r="F58" i="6"/>
  <c r="H58" i="6"/>
  <c r="J58" i="6"/>
  <c r="L58" i="6"/>
  <c r="G56" i="6"/>
  <c r="I56" i="6"/>
  <c r="K56" i="6"/>
  <c r="F56" i="6"/>
  <c r="H56" i="6"/>
  <c r="J56" i="6"/>
  <c r="L56" i="6"/>
  <c r="G54" i="6"/>
  <c r="I54" i="6"/>
  <c r="K54" i="6"/>
  <c r="F54" i="6"/>
  <c r="H54" i="6"/>
  <c r="J54" i="6"/>
  <c r="L54" i="6"/>
  <c r="G52" i="6"/>
  <c r="I52" i="6"/>
  <c r="K52" i="6"/>
  <c r="F52" i="6"/>
  <c r="H52" i="6"/>
  <c r="J52" i="6"/>
  <c r="L52" i="6"/>
  <c r="G50" i="6"/>
  <c r="I50" i="6"/>
  <c r="K50" i="6"/>
  <c r="F50" i="6"/>
  <c r="H50" i="6"/>
  <c r="J50" i="6"/>
  <c r="L50" i="6"/>
  <c r="G48" i="6"/>
  <c r="I48" i="6"/>
  <c r="K48" i="6"/>
  <c r="F48" i="6"/>
  <c r="H48" i="6"/>
  <c r="J48" i="6"/>
  <c r="L48" i="6"/>
  <c r="G46" i="6"/>
  <c r="I46" i="6"/>
  <c r="K46" i="6"/>
  <c r="F46" i="6"/>
  <c r="H46" i="6"/>
  <c r="J46" i="6"/>
  <c r="L46" i="6"/>
  <c r="G44" i="6"/>
  <c r="I44" i="6"/>
  <c r="K44" i="6"/>
  <c r="F44" i="6"/>
  <c r="H44" i="6"/>
  <c r="J44" i="6"/>
  <c r="L44" i="6"/>
  <c r="F42" i="6"/>
  <c r="G42" i="6"/>
  <c r="I42" i="6"/>
  <c r="K42" i="6"/>
  <c r="H42" i="6"/>
  <c r="J42" i="6"/>
  <c r="L42" i="6"/>
  <c r="F40" i="6"/>
  <c r="H40" i="6"/>
  <c r="J40" i="6"/>
  <c r="L40" i="6"/>
  <c r="I40" i="6"/>
  <c r="G40" i="6"/>
  <c r="K40" i="6"/>
  <c r="F38" i="6"/>
  <c r="H38" i="6"/>
  <c r="J38" i="6"/>
  <c r="L38" i="6"/>
  <c r="G38" i="6"/>
  <c r="K38" i="6"/>
  <c r="I38" i="6"/>
  <c r="F36" i="6"/>
  <c r="H36" i="6"/>
  <c r="J36" i="6"/>
  <c r="L36" i="6"/>
  <c r="I36" i="6"/>
  <c r="G36" i="6"/>
  <c r="K36" i="6"/>
  <c r="F34" i="6"/>
  <c r="H34" i="6"/>
  <c r="J34" i="6"/>
  <c r="L34" i="6"/>
  <c r="G34" i="6"/>
  <c r="K34" i="6"/>
  <c r="I34" i="6"/>
  <c r="F32" i="6"/>
  <c r="H32" i="6"/>
  <c r="J32" i="6"/>
  <c r="L32" i="6"/>
  <c r="I32" i="6"/>
  <c r="G32" i="6"/>
  <c r="K32" i="6"/>
  <c r="F30" i="6"/>
  <c r="H30" i="6"/>
  <c r="J30" i="6"/>
  <c r="L30" i="6"/>
  <c r="G30" i="6"/>
  <c r="K30" i="6"/>
  <c r="I30" i="6"/>
  <c r="G28" i="6"/>
  <c r="I28" i="6"/>
  <c r="K28" i="6"/>
  <c r="F28" i="6"/>
  <c r="H28" i="6"/>
  <c r="J28" i="6"/>
  <c r="L28" i="6"/>
  <c r="G26" i="6"/>
  <c r="I26" i="6"/>
  <c r="K26" i="6"/>
  <c r="F26" i="6"/>
  <c r="H26" i="6"/>
  <c r="J26" i="6"/>
  <c r="L26" i="6"/>
  <c r="G24" i="6"/>
  <c r="I24" i="6"/>
  <c r="K24" i="6"/>
  <c r="F24" i="6"/>
  <c r="H24" i="6"/>
  <c r="J24" i="6"/>
  <c r="L24" i="6"/>
  <c r="G22" i="6"/>
  <c r="I22" i="6"/>
  <c r="K22" i="6"/>
  <c r="F22" i="6"/>
  <c r="H22" i="6"/>
  <c r="J22" i="6"/>
  <c r="L22" i="6"/>
  <c r="G20" i="6"/>
  <c r="I20" i="6"/>
  <c r="K20" i="6"/>
  <c r="F20" i="6"/>
  <c r="H20" i="6"/>
  <c r="J20" i="6"/>
  <c r="L20" i="6"/>
  <c r="G18" i="6"/>
  <c r="I18" i="6"/>
  <c r="K18" i="6"/>
  <c r="F18" i="6"/>
  <c r="H18" i="6"/>
  <c r="J18" i="6"/>
  <c r="L18" i="6"/>
  <c r="G16" i="6"/>
  <c r="I16" i="6"/>
  <c r="K16" i="6"/>
  <c r="F16" i="6"/>
  <c r="H16" i="6"/>
  <c r="J16" i="6"/>
  <c r="L16" i="6"/>
  <c r="G14" i="6"/>
  <c r="I14" i="6"/>
  <c r="K14" i="6"/>
  <c r="F14" i="6"/>
  <c r="H14" i="6"/>
  <c r="J14" i="6"/>
  <c r="L14" i="6"/>
  <c r="G12" i="6"/>
  <c r="I12" i="6"/>
  <c r="K12" i="6"/>
  <c r="F12" i="6"/>
  <c r="H12" i="6"/>
  <c r="J12" i="6"/>
  <c r="L12" i="6"/>
  <c r="G10" i="6"/>
  <c r="I10" i="6"/>
  <c r="K10" i="6"/>
  <c r="F10" i="6"/>
  <c r="H10" i="6"/>
  <c r="J10" i="6"/>
  <c r="L10" i="6"/>
  <c r="G8" i="6"/>
  <c r="F8" i="6"/>
  <c r="I8" i="6"/>
  <c r="K8" i="6"/>
  <c r="H8" i="6"/>
  <c r="J8" i="6"/>
  <c r="L8" i="6"/>
  <c r="G6" i="6"/>
  <c r="I6" i="6"/>
  <c r="K6" i="6"/>
  <c r="H6" i="6"/>
  <c r="L6" i="6"/>
  <c r="F6" i="6"/>
  <c r="J6" i="6"/>
  <c r="G4" i="6"/>
  <c r="I4" i="6"/>
  <c r="K4" i="6"/>
  <c r="F4" i="6"/>
  <c r="J4" i="6"/>
  <c r="H4" i="6"/>
  <c r="L4" i="6"/>
  <c r="F136" i="6"/>
  <c r="H136" i="6"/>
  <c r="J136" i="6"/>
  <c r="L136" i="6"/>
  <c r="G136" i="6"/>
  <c r="K136" i="6"/>
  <c r="I136" i="6"/>
  <c r="F134" i="6"/>
  <c r="H134" i="6"/>
  <c r="J134" i="6"/>
  <c r="L134" i="6"/>
  <c r="I134" i="6"/>
  <c r="G134" i="6"/>
  <c r="K134" i="6"/>
  <c r="F132" i="6"/>
  <c r="H132" i="6"/>
  <c r="J132" i="6"/>
  <c r="L132" i="6"/>
  <c r="G132" i="6"/>
  <c r="K132" i="6"/>
  <c r="I132" i="6"/>
  <c r="F130" i="6"/>
  <c r="H130" i="6"/>
  <c r="J130" i="6"/>
  <c r="L130" i="6"/>
  <c r="I130" i="6"/>
  <c r="G130" i="6"/>
  <c r="K130" i="6"/>
  <c r="F128" i="6"/>
  <c r="H128" i="6"/>
  <c r="J128" i="6"/>
  <c r="L128" i="6"/>
  <c r="G128" i="6"/>
  <c r="K128" i="6"/>
  <c r="I128" i="6"/>
  <c r="F126" i="6"/>
  <c r="H126" i="6"/>
  <c r="J126" i="6"/>
  <c r="L126" i="6"/>
  <c r="I126" i="6"/>
  <c r="G126" i="6"/>
  <c r="K126" i="6"/>
  <c r="F124" i="6"/>
  <c r="H124" i="6"/>
  <c r="J124" i="6"/>
  <c r="L124" i="6"/>
  <c r="G124" i="6"/>
  <c r="K124" i="6"/>
  <c r="I124" i="6"/>
  <c r="F198" i="6"/>
  <c r="L198" i="6"/>
  <c r="G198" i="6"/>
  <c r="I198" i="6"/>
  <c r="K198" i="6"/>
  <c r="H198" i="6"/>
  <c r="J198" i="6"/>
  <c r="F196" i="6"/>
  <c r="L196" i="6"/>
  <c r="G196" i="6"/>
  <c r="I196" i="6"/>
  <c r="K196" i="6"/>
  <c r="H196" i="6"/>
  <c r="J196" i="6"/>
  <c r="F194" i="6"/>
  <c r="L194" i="6"/>
  <c r="G194" i="6"/>
  <c r="I194" i="6"/>
  <c r="K194" i="6"/>
  <c r="H194" i="6"/>
  <c r="J194" i="6"/>
  <c r="F192" i="6"/>
  <c r="J192" i="6"/>
  <c r="G192" i="6"/>
  <c r="I192" i="6"/>
  <c r="K192" i="6"/>
  <c r="H192" i="6"/>
  <c r="L192" i="6"/>
  <c r="H190" i="6"/>
  <c r="G190" i="6"/>
  <c r="I190" i="6"/>
  <c r="K190" i="6"/>
  <c r="F190" i="6"/>
  <c r="J190" i="6"/>
  <c r="L190" i="6"/>
  <c r="H188" i="6"/>
  <c r="L188" i="6"/>
  <c r="G188" i="6"/>
  <c r="I188" i="6"/>
  <c r="K188" i="6"/>
  <c r="F188" i="6"/>
  <c r="J188" i="6"/>
  <c r="H186" i="6"/>
  <c r="L186" i="6"/>
  <c r="G186" i="6"/>
  <c r="I186" i="6"/>
  <c r="K186" i="6"/>
  <c r="F186" i="6"/>
  <c r="J186" i="6"/>
  <c r="H184" i="6"/>
  <c r="L184" i="6"/>
  <c r="G184" i="6"/>
  <c r="I184" i="6"/>
  <c r="K184" i="6"/>
  <c r="F184" i="6"/>
  <c r="J184" i="6"/>
  <c r="F182" i="6"/>
  <c r="J182" i="6"/>
  <c r="G182" i="6"/>
  <c r="I182" i="6"/>
  <c r="K182" i="6"/>
  <c r="H182" i="6"/>
  <c r="L182" i="6"/>
  <c r="J180" i="6"/>
  <c r="G180" i="6"/>
  <c r="I180" i="6"/>
  <c r="K180" i="6"/>
  <c r="F180" i="6"/>
  <c r="H180" i="6"/>
  <c r="L180" i="6"/>
  <c r="H178" i="6"/>
  <c r="L178" i="6"/>
  <c r="G178" i="6"/>
  <c r="I178" i="6"/>
  <c r="K178" i="6"/>
  <c r="F178" i="6"/>
  <c r="J178" i="6"/>
  <c r="H176" i="6"/>
  <c r="L176" i="6"/>
  <c r="G176" i="6"/>
  <c r="I176" i="6"/>
  <c r="K176" i="6"/>
  <c r="F176" i="6"/>
  <c r="J176" i="6"/>
  <c r="F174" i="6"/>
  <c r="H174" i="6"/>
  <c r="L174" i="6"/>
  <c r="I174" i="6"/>
  <c r="K174" i="6"/>
  <c r="G174" i="6"/>
  <c r="J174" i="6"/>
  <c r="F172" i="6"/>
  <c r="H172" i="6"/>
  <c r="J172" i="6"/>
  <c r="L172" i="6"/>
  <c r="I172" i="6"/>
  <c r="G172" i="6"/>
  <c r="K172" i="6"/>
  <c r="F170" i="6"/>
  <c r="H170" i="6"/>
  <c r="J170" i="6"/>
  <c r="L170" i="6"/>
  <c r="I170" i="6"/>
  <c r="G170" i="6"/>
  <c r="K170" i="6"/>
  <c r="F168" i="6"/>
  <c r="H168" i="6"/>
  <c r="J168" i="6"/>
  <c r="L168" i="6"/>
  <c r="G168" i="6"/>
  <c r="K168" i="6"/>
  <c r="I168" i="6"/>
  <c r="F166" i="6"/>
  <c r="H166" i="6"/>
  <c r="J166" i="6"/>
  <c r="L166" i="6"/>
  <c r="I166" i="6"/>
  <c r="G166" i="6"/>
  <c r="K166" i="6"/>
  <c r="F164" i="6"/>
  <c r="H164" i="6"/>
  <c r="J164" i="6"/>
  <c r="L164" i="6"/>
  <c r="G164" i="6"/>
  <c r="K164" i="6"/>
  <c r="I164" i="6"/>
  <c r="F162" i="6"/>
  <c r="H162" i="6"/>
  <c r="J162" i="6"/>
  <c r="L162" i="6"/>
  <c r="I162" i="6"/>
  <c r="G162" i="6"/>
  <c r="K162" i="6"/>
  <c r="F160" i="6"/>
  <c r="H160" i="6"/>
  <c r="J160" i="6"/>
  <c r="L160" i="6"/>
  <c r="G160" i="6"/>
  <c r="K160" i="6"/>
  <c r="I160" i="6"/>
  <c r="F158" i="6"/>
  <c r="H158" i="6"/>
  <c r="J158" i="6"/>
  <c r="L158" i="6"/>
  <c r="I158" i="6"/>
  <c r="G158" i="6"/>
  <c r="K158" i="6"/>
  <c r="F156" i="6"/>
  <c r="H156" i="6"/>
  <c r="J156" i="6"/>
  <c r="L156" i="6"/>
  <c r="G156" i="6"/>
  <c r="K156" i="6"/>
  <c r="I156" i="6"/>
  <c r="F154" i="6"/>
  <c r="H154" i="6"/>
  <c r="J154" i="6"/>
  <c r="L154" i="6"/>
  <c r="I154" i="6"/>
  <c r="G154" i="6"/>
  <c r="K154" i="6"/>
  <c r="F152" i="6"/>
  <c r="H152" i="6"/>
  <c r="J152" i="6"/>
  <c r="L152" i="6"/>
  <c r="G152" i="6"/>
  <c r="K152" i="6"/>
  <c r="I152" i="6"/>
  <c r="F150" i="6"/>
  <c r="H150" i="6"/>
  <c r="J150" i="6"/>
  <c r="L150" i="6"/>
  <c r="I150" i="6"/>
  <c r="G150" i="6"/>
  <c r="K150" i="6"/>
  <c r="F148" i="6"/>
  <c r="H148" i="6"/>
  <c r="J148" i="6"/>
  <c r="L148" i="6"/>
  <c r="G148" i="6"/>
  <c r="K148" i="6"/>
  <c r="I148" i="6"/>
  <c r="F146" i="6"/>
  <c r="H146" i="6"/>
  <c r="J146" i="6"/>
  <c r="L146" i="6"/>
  <c r="I146" i="6"/>
  <c r="G146" i="6"/>
  <c r="K146" i="6"/>
  <c r="F144" i="6"/>
  <c r="H144" i="6"/>
  <c r="J144" i="6"/>
  <c r="L144" i="6"/>
  <c r="G144" i="6"/>
  <c r="K144" i="6"/>
  <c r="I144" i="6"/>
  <c r="F142" i="6"/>
  <c r="H142" i="6"/>
  <c r="J142" i="6"/>
  <c r="L142" i="6"/>
  <c r="I142" i="6"/>
  <c r="G142" i="6"/>
  <c r="K142" i="6"/>
  <c r="F140" i="6"/>
  <c r="H140" i="6"/>
  <c r="J140" i="6"/>
  <c r="L140" i="6"/>
  <c r="G140" i="6"/>
  <c r="K140" i="6"/>
  <c r="I140" i="6"/>
  <c r="F138" i="6"/>
  <c r="H138" i="6"/>
  <c r="J138" i="6"/>
  <c r="L138" i="6"/>
  <c r="I138" i="6"/>
  <c r="G138" i="6"/>
  <c r="K138" i="6"/>
  <c r="G123" i="6"/>
  <c r="I123" i="6"/>
  <c r="K123" i="6"/>
  <c r="F123" i="6"/>
  <c r="J123" i="6"/>
  <c r="H123" i="6"/>
  <c r="L123" i="6"/>
  <c r="G121" i="6"/>
  <c r="I121" i="6"/>
  <c r="K121" i="6"/>
  <c r="H121" i="6"/>
  <c r="L121" i="6"/>
  <c r="F121" i="6"/>
  <c r="J121" i="6"/>
  <c r="G119" i="6"/>
  <c r="I119" i="6"/>
  <c r="K119" i="6"/>
  <c r="F119" i="6"/>
  <c r="J119" i="6"/>
  <c r="H119" i="6"/>
  <c r="L119" i="6"/>
  <c r="G117" i="6"/>
  <c r="I117" i="6"/>
  <c r="K117" i="6"/>
  <c r="H117" i="6"/>
  <c r="L117" i="6"/>
  <c r="F117" i="6"/>
  <c r="J117" i="6"/>
  <c r="G115" i="6"/>
  <c r="I115" i="6"/>
  <c r="K115" i="6"/>
  <c r="F115" i="6"/>
  <c r="J115" i="6"/>
  <c r="H115" i="6"/>
  <c r="L115" i="6"/>
  <c r="G113" i="6"/>
  <c r="I113" i="6"/>
  <c r="K113" i="6"/>
  <c r="H113" i="6"/>
  <c r="L113" i="6"/>
  <c r="F113" i="6"/>
  <c r="J113" i="6"/>
  <c r="G111" i="6"/>
  <c r="I111" i="6"/>
  <c r="K111" i="6"/>
  <c r="F111" i="6"/>
  <c r="J111" i="6"/>
  <c r="H111" i="6"/>
  <c r="L111" i="6"/>
  <c r="G109" i="6"/>
  <c r="I109" i="6"/>
  <c r="K109" i="6"/>
  <c r="H109" i="6"/>
  <c r="L109" i="6"/>
  <c r="F109" i="6"/>
  <c r="J109" i="6"/>
  <c r="G107" i="6"/>
  <c r="I107" i="6"/>
  <c r="K107" i="6"/>
  <c r="F107" i="6"/>
  <c r="J107" i="6"/>
  <c r="H107" i="6"/>
  <c r="L107" i="6"/>
  <c r="G105" i="6"/>
  <c r="I105" i="6"/>
  <c r="K105" i="6"/>
  <c r="H105" i="6"/>
  <c r="L105" i="6"/>
  <c r="F105" i="6"/>
  <c r="J105" i="6"/>
  <c r="G103" i="6"/>
  <c r="I103" i="6"/>
  <c r="K103" i="6"/>
  <c r="F103" i="6"/>
  <c r="J103" i="6"/>
  <c r="H103" i="6"/>
  <c r="L103" i="6"/>
  <c r="G101" i="6"/>
  <c r="I101" i="6"/>
  <c r="K101" i="6"/>
  <c r="H101" i="6"/>
  <c r="L101" i="6"/>
  <c r="F101" i="6"/>
  <c r="J101" i="6"/>
  <c r="G99" i="6"/>
  <c r="I99" i="6"/>
  <c r="K99" i="6"/>
  <c r="F99" i="6"/>
  <c r="J99" i="6"/>
  <c r="H99" i="6"/>
  <c r="L99" i="6"/>
  <c r="G97" i="6"/>
  <c r="I97" i="6"/>
  <c r="K97" i="6"/>
  <c r="H97" i="6"/>
  <c r="L97" i="6"/>
  <c r="F97" i="6"/>
  <c r="J97" i="6"/>
  <c r="G95" i="6"/>
  <c r="I95" i="6"/>
  <c r="K95" i="6"/>
  <c r="F95" i="6"/>
  <c r="J95" i="6"/>
  <c r="H95" i="6"/>
  <c r="L95" i="6"/>
  <c r="G93" i="6"/>
  <c r="I93" i="6"/>
  <c r="K93" i="6"/>
  <c r="H93" i="6"/>
  <c r="L93" i="6"/>
  <c r="F93" i="6"/>
  <c r="J93" i="6"/>
  <c r="G91" i="6"/>
  <c r="I91" i="6"/>
  <c r="K91" i="6"/>
  <c r="F91" i="6"/>
  <c r="J91" i="6"/>
  <c r="H91" i="6"/>
  <c r="L91" i="6"/>
  <c r="G89" i="6"/>
  <c r="I89" i="6"/>
  <c r="K89" i="6"/>
  <c r="H89" i="6"/>
  <c r="L89" i="6"/>
  <c r="F89" i="6"/>
  <c r="J89" i="6"/>
  <c r="G87" i="6"/>
  <c r="I87" i="6"/>
  <c r="K87" i="6"/>
  <c r="F87" i="6"/>
  <c r="J87" i="6"/>
  <c r="H87" i="6"/>
  <c r="L87" i="6"/>
  <c r="G85" i="6"/>
  <c r="I85" i="6"/>
  <c r="K85" i="6"/>
  <c r="H85" i="6"/>
  <c r="L85" i="6"/>
  <c r="F85" i="6"/>
  <c r="J85" i="6"/>
  <c r="G83" i="6"/>
  <c r="I83" i="6"/>
  <c r="K83" i="6"/>
  <c r="H83" i="6"/>
  <c r="L83" i="6"/>
  <c r="F83" i="6"/>
  <c r="J83" i="6"/>
  <c r="G81" i="6"/>
  <c r="I81" i="6"/>
  <c r="K81" i="6"/>
  <c r="F81" i="6"/>
  <c r="J81" i="6"/>
  <c r="L81" i="6"/>
  <c r="H81" i="6"/>
  <c r="G79" i="6"/>
  <c r="I79" i="6"/>
  <c r="K79" i="6"/>
  <c r="H79" i="6"/>
  <c r="L79" i="6"/>
  <c r="J79" i="6"/>
  <c r="F79" i="6"/>
  <c r="G77" i="6"/>
  <c r="I77" i="6"/>
  <c r="K77" i="6"/>
  <c r="F77" i="6"/>
  <c r="J77" i="6"/>
  <c r="H77" i="6"/>
  <c r="L77" i="6"/>
  <c r="G75" i="6"/>
  <c r="I75" i="6"/>
  <c r="K75" i="6"/>
  <c r="H75" i="6"/>
  <c r="L75" i="6"/>
  <c r="F75" i="6"/>
  <c r="J75" i="6"/>
  <c r="G73" i="6"/>
  <c r="I73" i="6"/>
  <c r="K73" i="6"/>
  <c r="F73" i="6"/>
  <c r="J73" i="6"/>
  <c r="L73" i="6"/>
  <c r="H73" i="6"/>
  <c r="G71" i="6"/>
  <c r="I71" i="6"/>
  <c r="K71" i="6"/>
  <c r="H71" i="6"/>
  <c r="L71" i="6"/>
  <c r="J71" i="6"/>
  <c r="F71" i="6"/>
  <c r="F69" i="6"/>
  <c r="H69" i="6"/>
  <c r="J69" i="6"/>
  <c r="G69" i="6"/>
  <c r="I69" i="6"/>
  <c r="K69" i="6"/>
  <c r="L69" i="6"/>
  <c r="F67" i="6"/>
  <c r="H67" i="6"/>
  <c r="J67" i="6"/>
  <c r="L67" i="6"/>
  <c r="G67" i="6"/>
  <c r="I67" i="6"/>
  <c r="K67" i="6"/>
  <c r="F65" i="6"/>
  <c r="H65" i="6"/>
  <c r="J65" i="6"/>
  <c r="L65" i="6"/>
  <c r="G65" i="6"/>
  <c r="I65" i="6"/>
  <c r="K65" i="6"/>
  <c r="F63" i="6"/>
  <c r="H63" i="6"/>
  <c r="J63" i="6"/>
  <c r="L63" i="6"/>
  <c r="G63" i="6"/>
  <c r="I63" i="6"/>
  <c r="K63" i="6"/>
  <c r="F61" i="6"/>
  <c r="H61" i="6"/>
  <c r="J61" i="6"/>
  <c r="L61" i="6"/>
  <c r="G61" i="6"/>
  <c r="I61" i="6"/>
  <c r="K61" i="6"/>
  <c r="F59" i="6"/>
  <c r="H59" i="6"/>
  <c r="J59" i="6"/>
  <c r="L59" i="6"/>
  <c r="G59" i="6"/>
  <c r="I59" i="6"/>
  <c r="K59" i="6"/>
  <c r="F57" i="6"/>
  <c r="H57" i="6"/>
  <c r="J57" i="6"/>
  <c r="L57" i="6"/>
  <c r="G57" i="6"/>
  <c r="I57" i="6"/>
  <c r="K57" i="6"/>
  <c r="F55" i="6"/>
  <c r="H55" i="6"/>
  <c r="J55" i="6"/>
  <c r="L55" i="6"/>
  <c r="G55" i="6"/>
  <c r="I55" i="6"/>
  <c r="K55" i="6"/>
  <c r="F53" i="6"/>
  <c r="H53" i="6"/>
  <c r="J53" i="6"/>
  <c r="L53" i="6"/>
  <c r="G53" i="6"/>
  <c r="I53" i="6"/>
  <c r="K53" i="6"/>
  <c r="F51" i="6"/>
  <c r="H51" i="6"/>
  <c r="J51" i="6"/>
  <c r="L51" i="6"/>
  <c r="G51" i="6"/>
  <c r="I51" i="6"/>
  <c r="K51" i="6"/>
  <c r="F49" i="6"/>
  <c r="H49" i="6"/>
  <c r="J49" i="6"/>
  <c r="L49" i="6"/>
  <c r="G49" i="6"/>
  <c r="I49" i="6"/>
  <c r="K49" i="6"/>
  <c r="F47" i="6"/>
  <c r="H47" i="6"/>
  <c r="J47" i="6"/>
  <c r="L47" i="6"/>
  <c r="G47" i="6"/>
  <c r="I47" i="6"/>
  <c r="K47" i="6"/>
  <c r="F45" i="6"/>
  <c r="H45" i="6"/>
  <c r="J45" i="6"/>
  <c r="L45" i="6"/>
  <c r="G45" i="6"/>
  <c r="I45" i="6"/>
  <c r="K45" i="6"/>
  <c r="F43" i="6"/>
  <c r="H43" i="6"/>
  <c r="J43" i="6"/>
  <c r="L43" i="6"/>
  <c r="G43" i="6"/>
  <c r="I43" i="6"/>
  <c r="K43" i="6"/>
  <c r="G41" i="6"/>
  <c r="I41" i="6"/>
  <c r="K41" i="6"/>
  <c r="F41" i="6"/>
  <c r="J41" i="6"/>
  <c r="H41" i="6"/>
  <c r="L41" i="6"/>
  <c r="G39" i="6"/>
  <c r="I39" i="6"/>
  <c r="K39" i="6"/>
  <c r="H39" i="6"/>
  <c r="L39" i="6"/>
  <c r="F39" i="6"/>
  <c r="J39" i="6"/>
  <c r="G37" i="6"/>
  <c r="I37" i="6"/>
  <c r="K37" i="6"/>
  <c r="F37" i="6"/>
  <c r="J37" i="6"/>
  <c r="H37" i="6"/>
  <c r="L37" i="6"/>
  <c r="G35" i="6"/>
  <c r="I35" i="6"/>
  <c r="K35" i="6"/>
  <c r="H35" i="6"/>
  <c r="L35" i="6"/>
  <c r="F35" i="6"/>
  <c r="J35" i="6"/>
  <c r="G33" i="6"/>
  <c r="I33" i="6"/>
  <c r="K33" i="6"/>
  <c r="F33" i="6"/>
  <c r="J33" i="6"/>
  <c r="H33" i="6"/>
  <c r="L33" i="6"/>
  <c r="G31" i="6"/>
  <c r="I31" i="6"/>
  <c r="K31" i="6"/>
  <c r="H31" i="6"/>
  <c r="L31" i="6"/>
  <c r="F31" i="6"/>
  <c r="J31" i="6"/>
  <c r="G29" i="6"/>
  <c r="I29" i="6"/>
  <c r="K29" i="6"/>
  <c r="F29" i="6"/>
  <c r="J29" i="6"/>
  <c r="H29" i="6"/>
  <c r="L29" i="6"/>
  <c r="F27" i="6"/>
  <c r="H27" i="6"/>
  <c r="J27" i="6"/>
  <c r="L27" i="6"/>
  <c r="G27" i="6"/>
  <c r="I27" i="6"/>
  <c r="K27" i="6"/>
  <c r="F25" i="6"/>
  <c r="H25" i="6"/>
  <c r="J25" i="6"/>
  <c r="L25" i="6"/>
  <c r="G25" i="6"/>
  <c r="I25" i="6"/>
  <c r="K25" i="6"/>
  <c r="F23" i="6"/>
  <c r="H23" i="6"/>
  <c r="J23" i="6"/>
  <c r="L23" i="6"/>
  <c r="G23" i="6"/>
  <c r="I23" i="6"/>
  <c r="K23" i="6"/>
  <c r="F21" i="6"/>
  <c r="H21" i="6"/>
  <c r="J21" i="6"/>
  <c r="L21" i="6"/>
  <c r="G21" i="6"/>
  <c r="I21" i="6"/>
  <c r="K21" i="6"/>
  <c r="F19" i="6"/>
  <c r="H19" i="6"/>
  <c r="J19" i="6"/>
  <c r="L19" i="6"/>
  <c r="G19" i="6"/>
  <c r="I19" i="6"/>
  <c r="K19" i="6"/>
  <c r="F17" i="6"/>
  <c r="H17" i="6"/>
  <c r="J17" i="6"/>
  <c r="L17" i="6"/>
  <c r="G17" i="6"/>
  <c r="I17" i="6"/>
  <c r="K17" i="6"/>
  <c r="F15" i="6"/>
  <c r="H15" i="6"/>
  <c r="J15" i="6"/>
  <c r="L15" i="6"/>
  <c r="G15" i="6"/>
  <c r="I15" i="6"/>
  <c r="K15" i="6"/>
  <c r="F13" i="6"/>
  <c r="H13" i="6"/>
  <c r="J13" i="6"/>
  <c r="L13" i="6"/>
  <c r="G13" i="6"/>
  <c r="I13" i="6"/>
  <c r="K13" i="6"/>
  <c r="F11" i="6"/>
  <c r="H11" i="6"/>
  <c r="J11" i="6"/>
  <c r="L11" i="6"/>
  <c r="G11" i="6"/>
  <c r="I11" i="6"/>
  <c r="K11" i="6"/>
  <c r="F9" i="6"/>
  <c r="H9" i="6"/>
  <c r="J9" i="6"/>
  <c r="L9" i="6"/>
  <c r="G9" i="6"/>
  <c r="I9" i="6"/>
  <c r="K9" i="6"/>
  <c r="F7" i="6"/>
  <c r="H7" i="6"/>
  <c r="J7" i="6"/>
  <c r="L7" i="6"/>
  <c r="I7" i="6"/>
  <c r="G7" i="6"/>
  <c r="K7" i="6"/>
  <c r="F5" i="6"/>
  <c r="H5" i="6"/>
  <c r="J5" i="6"/>
  <c r="L5" i="6"/>
  <c r="G5" i="6"/>
  <c r="K5" i="6"/>
  <c r="I5" i="6"/>
  <c r="F3" i="6"/>
  <c r="H3" i="6"/>
  <c r="J3" i="6"/>
  <c r="L3" i="6"/>
  <c r="I3" i="6"/>
  <c r="G3" i="6"/>
  <c r="K3" i="6"/>
</calcChain>
</file>

<file path=xl/sharedStrings.xml><?xml version="1.0" encoding="utf-8"?>
<sst xmlns="http://schemas.openxmlformats.org/spreadsheetml/2006/main" count="1170" uniqueCount="564">
  <si>
    <t>FECHA</t>
  </si>
  <si>
    <t>No DOCUMENTO</t>
  </si>
  <si>
    <t>NIT</t>
  </si>
  <si>
    <t>VALOR</t>
  </si>
  <si>
    <t>NO TIENE</t>
  </si>
  <si>
    <t>COSTO</t>
  </si>
  <si>
    <t>RAZON SOCIAL</t>
  </si>
  <si>
    <t>DIRECCION</t>
  </si>
  <si>
    <t>TELEFONO</t>
  </si>
  <si>
    <t>GASTO</t>
  </si>
  <si>
    <t>QUESERA Y SALSAMENTARIA LA MAXIMA</t>
  </si>
  <si>
    <t>LA BONANZA MERKAFRUVER</t>
  </si>
  <si>
    <t>CL 7 7 33</t>
  </si>
  <si>
    <t>CONSECUTIVO</t>
  </si>
  <si>
    <t>BIMBO DE COLOMBIA SA</t>
  </si>
  <si>
    <t>KM 12 AUTOPISTA MEDELLIN</t>
  </si>
  <si>
    <t>CL 7 9 60</t>
  </si>
  <si>
    <t>FAMA LA SUPER 2000</t>
  </si>
  <si>
    <t>famalasuper2000@gmail.com</t>
  </si>
  <si>
    <t>GERMAN</t>
  </si>
  <si>
    <t>TOVAR</t>
  </si>
  <si>
    <t>CL 6 15 03</t>
  </si>
  <si>
    <t>CR 12 6 33</t>
  </si>
  <si>
    <t>gastos varios caja/ descuadres</t>
  </si>
  <si>
    <t>MERCAPAVA SA</t>
  </si>
  <si>
    <t>CL 7 12 03</t>
  </si>
  <si>
    <t xml:space="preserve"> </t>
  </si>
  <si>
    <t>JERONIMO MARTINS COLOMBIA SAS</t>
  </si>
  <si>
    <t>CL 7 11 21</t>
  </si>
  <si>
    <t xml:space="preserve">LEIDY </t>
  </si>
  <si>
    <t>KARINA</t>
  </si>
  <si>
    <t>HURTADO</t>
  </si>
  <si>
    <t>EMPLEADO</t>
  </si>
  <si>
    <t>PESQUERA PRADEMAR</t>
  </si>
  <si>
    <t>CR 12 8 19</t>
  </si>
  <si>
    <t xml:space="preserve">JUAN </t>
  </si>
  <si>
    <t>JOSE</t>
  </si>
  <si>
    <t>GALLEGO</t>
  </si>
  <si>
    <t>BENITEZ</t>
  </si>
  <si>
    <t>CL 4 11 64</t>
  </si>
  <si>
    <t>COMCEL SA</t>
  </si>
  <si>
    <t>PAPELERIA JUVENIL</t>
  </si>
  <si>
    <t>CL 6 9 52</t>
  </si>
  <si>
    <t>PAPELERIA</t>
  </si>
  <si>
    <t>DISTRICERVEZAS JG</t>
  </si>
  <si>
    <t>CR 12 5 57</t>
  </si>
  <si>
    <t>SERVICIOS</t>
  </si>
  <si>
    <t>VICTORIA</t>
  </si>
  <si>
    <t>MONTENEGRO</t>
  </si>
  <si>
    <t>MONTAÑO</t>
  </si>
  <si>
    <t>CR 4 8 45</t>
  </si>
  <si>
    <t>vemontenegro1@gmail.com</t>
  </si>
  <si>
    <t>SURTIDOR MAYORISTA PRADERA SAS</t>
  </si>
  <si>
    <t>CL 4 11 60</t>
  </si>
  <si>
    <t>CL 7 9 58</t>
  </si>
  <si>
    <t>CL 7 9 59</t>
  </si>
  <si>
    <t>DISTRIVENTAS SAS</t>
  </si>
  <si>
    <t>CL 47 34C 45 B</t>
  </si>
  <si>
    <t>NORTESANTANDEREANA DE GAS SA ESP</t>
  </si>
  <si>
    <t>SOCIEDAD DE ACUEDUCTOS Y ALCANTARILLADOS DEL VALLE DEL CAUCA</t>
  </si>
  <si>
    <t>COLANTA</t>
  </si>
  <si>
    <t>GUSTAVO</t>
  </si>
  <si>
    <t>ADOLFO</t>
  </si>
  <si>
    <t>CAMPO</t>
  </si>
  <si>
    <t>TORRES</t>
  </si>
  <si>
    <t>CL 6 13 04</t>
  </si>
  <si>
    <t>CR 10 1A 57</t>
  </si>
  <si>
    <t xml:space="preserve">MARIA </t>
  </si>
  <si>
    <t>ISABEL</t>
  </si>
  <si>
    <t>GIRON</t>
  </si>
  <si>
    <t>CERON</t>
  </si>
  <si>
    <t>papeleriajuvenil@gmail.com</t>
  </si>
  <si>
    <t>BOLSAS PLASTICAS</t>
  </si>
  <si>
    <t>CELSIA COLOMBIA SA ESP</t>
  </si>
  <si>
    <t>CL 15 29 30</t>
  </si>
  <si>
    <t>servicioalcliente@celsia.com</t>
  </si>
  <si>
    <t>COLOMBIA TELECOMUNICACIONES SA</t>
  </si>
  <si>
    <t>HUEVOS Y GRANOS LA GALERIA</t>
  </si>
  <si>
    <t>CR 12 8 15</t>
  </si>
  <si>
    <t>CAJAS</t>
  </si>
  <si>
    <t>D1 SAS</t>
  </si>
  <si>
    <t>CRISTIAN</t>
  </si>
  <si>
    <t xml:space="preserve">CL 10 14 48 </t>
  </si>
  <si>
    <t>salsamentaria</t>
  </si>
  <si>
    <t>EDELMIRA</t>
  </si>
  <si>
    <t>MORALES</t>
  </si>
  <si>
    <t>ACOSTA</t>
  </si>
  <si>
    <t>DISTRIBUCIONES JACOTA ZOMAC SAS</t>
  </si>
  <si>
    <t>CR 10 5 32</t>
  </si>
  <si>
    <t>jacota.distribuciones@outlook.com</t>
  </si>
  <si>
    <t>TERESA</t>
  </si>
  <si>
    <t>MONTOYA</t>
  </si>
  <si>
    <t>APORTES EN LINEA</t>
  </si>
  <si>
    <t>CR 14ª No. 101-47</t>
  </si>
  <si>
    <t>SEG SOCIAL</t>
  </si>
  <si>
    <t>CL 7 7 34</t>
  </si>
  <si>
    <t>OLEO VALLE</t>
  </si>
  <si>
    <t>CL 21 31 37</t>
  </si>
  <si>
    <t>CL 10 14 29</t>
  </si>
  <si>
    <t>LEANDRO</t>
  </si>
  <si>
    <t>ANTONIO</t>
  </si>
  <si>
    <t>POPAYAN</t>
  </si>
  <si>
    <t>MELO</t>
  </si>
  <si>
    <t xml:space="preserve">MZ B CASA 9 </t>
  </si>
  <si>
    <t>GASTO LOCAL</t>
  </si>
  <si>
    <t>ESPECIAS Y DELICIAS BLANQUITA SAS</t>
  </si>
  <si>
    <t>CR 26 27 46</t>
  </si>
  <si>
    <t xml:space="preserve">LUIS </t>
  </si>
  <si>
    <t>A</t>
  </si>
  <si>
    <t>CACERES</t>
  </si>
  <si>
    <t>MEZA</t>
  </si>
  <si>
    <t>CL 29 22 04</t>
  </si>
  <si>
    <t>INVERSIONES PAEZ &amp;SANCHEZ SAS</t>
  </si>
  <si>
    <t>CR 12 6 23</t>
  </si>
  <si>
    <t>MAYFENIX</t>
  </si>
  <si>
    <t>MAYER</t>
  </si>
  <si>
    <t>ARLEY</t>
  </si>
  <si>
    <t>PALMA</t>
  </si>
  <si>
    <t>CR 15 11 111</t>
  </si>
  <si>
    <t>HARRY PLOTTER</t>
  </si>
  <si>
    <t>CR 30 28 66</t>
  </si>
  <si>
    <t>PUBLICIDAD</t>
  </si>
  <si>
    <t>JESSICA</t>
  </si>
  <si>
    <t>MERA</t>
  </si>
  <si>
    <t>CR 15 6 68</t>
  </si>
  <si>
    <t>DANEISY</t>
  </si>
  <si>
    <t>GARCIA</t>
  </si>
  <si>
    <t>HERNAN</t>
  </si>
  <si>
    <t>DARIO</t>
  </si>
  <si>
    <t>VARGAS</t>
  </si>
  <si>
    <t>NUÑEZ</t>
  </si>
  <si>
    <t>CL 8 2 85</t>
  </si>
  <si>
    <t>GLADYS</t>
  </si>
  <si>
    <t>BENITES</t>
  </si>
  <si>
    <t>MAKRO GASEOSAS SAS</t>
  </si>
  <si>
    <t>CR 25 CL 26 ESQ</t>
  </si>
  <si>
    <t>MUTIREMATES</t>
  </si>
  <si>
    <t>CR 11 6 620</t>
  </si>
  <si>
    <t>AGENCIA LUPA SAS</t>
  </si>
  <si>
    <t>CR 31 9C70</t>
  </si>
  <si>
    <t>CENTRO DIAGNOSTICO AUTOMOTOR PARAISO SAS</t>
  </si>
  <si>
    <t>TV 30 1 271</t>
  </si>
  <si>
    <t>cdaparaisocsa@gmail.com</t>
  </si>
  <si>
    <t>MUNDIAL DE SEGUROS</t>
  </si>
  <si>
    <t>SOAT</t>
  </si>
  <si>
    <t>LOS PAISAS MEGAFRUVER</t>
  </si>
  <si>
    <t>CL 7 9 34</t>
  </si>
  <si>
    <t>LUIS</t>
  </si>
  <si>
    <t>ALBERTO</t>
  </si>
  <si>
    <t>MUÑOZ</t>
  </si>
  <si>
    <t>JARAMILLO</t>
  </si>
  <si>
    <t>CL 3C 9 16 CABUYAL</t>
  </si>
  <si>
    <t>DROGUERIA SAN PABLO</t>
  </si>
  <si>
    <t>CL 7 12 55</t>
  </si>
  <si>
    <t>DISTRIBUIDORA POLLO ARIAS</t>
  </si>
  <si>
    <t>NATALIA</t>
  </si>
  <si>
    <t>ARIAS</t>
  </si>
  <si>
    <t>VARON</t>
  </si>
  <si>
    <t>CL 8 CR 12 ESQ</t>
  </si>
  <si>
    <t>FERRETERIA PAVA</t>
  </si>
  <si>
    <t>CL 5 10 39</t>
  </si>
  <si>
    <t>PAÑALERA LA CASITA DEL BEBE</t>
  </si>
  <si>
    <t>CL 6 8 71</t>
  </si>
  <si>
    <t>SALSAMENTARIA FYS SAS</t>
  </si>
  <si>
    <t>CR 32 30 30</t>
  </si>
  <si>
    <t>MEGA FRUVER LA FINCA 2</t>
  </si>
  <si>
    <t>CR 4 CL 7 ESQ</t>
  </si>
  <si>
    <t>DISOIL</t>
  </si>
  <si>
    <t>SUPER REMATE LOS PAISAS LA SEPTIMA</t>
  </si>
  <si>
    <t>CL 12 48</t>
  </si>
  <si>
    <t>COCO LOKO PIÑATERIA Y JUGUETERIA</t>
  </si>
  <si>
    <t>CRISTALERIA EL REMATE DE LA 11</t>
  </si>
  <si>
    <t>CR 11 7 08</t>
  </si>
  <si>
    <t>ALBA</t>
  </si>
  <si>
    <t>NELLY</t>
  </si>
  <si>
    <t>VALDES</t>
  </si>
  <si>
    <t>CUERO</t>
  </si>
  <si>
    <t>CL 10 17 25</t>
  </si>
  <si>
    <t>GRUPO HOTELERO LA 70 ESTADIO</t>
  </si>
  <si>
    <t>CR 69 A 42 30</t>
  </si>
  <si>
    <t>DG 29A T7A 155</t>
  </si>
  <si>
    <t>NAYATEL TECNOLOGIA</t>
  </si>
  <si>
    <t>CL 30 CR 27 ESQ</t>
  </si>
  <si>
    <t>CAJAS MORSA</t>
  </si>
  <si>
    <t>TIENDA JUANK PRADERA SAS</t>
  </si>
  <si>
    <t>CL 10 9 41</t>
  </si>
  <si>
    <t>LA MAYORISTA FRUVER</t>
  </si>
  <si>
    <t>SC 1 MZ 19 VILLAMARINA</t>
  </si>
  <si>
    <t>MULTIREMATES</t>
  </si>
  <si>
    <t>CR 11 6 62</t>
  </si>
  <si>
    <t>SUPERTIENDAS Y DROGUERIAS OLIMPICA</t>
  </si>
  <si>
    <t>CR 32 ESQ CC EL BOSQUE</t>
  </si>
  <si>
    <t>TRANSPORTADORA LA PRENSA DEL VALLE SAS</t>
  </si>
  <si>
    <t>CR 32 10 151</t>
  </si>
  <si>
    <t>COMERCIALIZADORA SASTOQUE</t>
  </si>
  <si>
    <t>EL MACHETAZO DE PALMIRA SAS</t>
  </si>
  <si>
    <t>CL 29 25 28</t>
  </si>
  <si>
    <t>INVERSIONES PAEZ &amp; MOLINA SAS</t>
  </si>
  <si>
    <t>CUATRO ESQUINAS DON HERNAN</t>
  </si>
  <si>
    <t>FREDY</t>
  </si>
  <si>
    <t>CABEZAS</t>
  </si>
  <si>
    <t xml:space="preserve">CR 15 CL 9 CASA 28 </t>
  </si>
  <si>
    <t>PATROCINIO</t>
  </si>
  <si>
    <t>COMERCIALIZADORA H&amp;F</t>
  </si>
  <si>
    <t>CR 11 7 52</t>
  </si>
  <si>
    <t>EL REGALON</t>
  </si>
  <si>
    <t>CL 5 8 56</t>
  </si>
  <si>
    <t xml:space="preserve">CAMILA </t>
  </si>
  <si>
    <t>GOMEZ</t>
  </si>
  <si>
    <t>CL 4 3 27</t>
  </si>
  <si>
    <t>RICHARD</t>
  </si>
  <si>
    <t>LYMICH</t>
  </si>
  <si>
    <t>MARTINEZ</t>
  </si>
  <si>
    <t xml:space="preserve">MZ B C 8 </t>
  </si>
  <si>
    <t>CRISTINA</t>
  </si>
  <si>
    <t>ALEJANDRA</t>
  </si>
  <si>
    <t>SINISTERRA</t>
  </si>
  <si>
    <t>PALOMINO</t>
  </si>
  <si>
    <t>CR 13 1B 38</t>
  </si>
  <si>
    <t>DARLING</t>
  </si>
  <si>
    <t>MARIANA</t>
  </si>
  <si>
    <t>ROJAS</t>
  </si>
  <si>
    <t>GONZALES</t>
  </si>
  <si>
    <t>MZ C CASA 21 LA LORENA</t>
  </si>
  <si>
    <t>MERCAFRUVER EL MAYORISTA</t>
  </si>
  <si>
    <t>ST 1 MZ 19 VILLAMARINA</t>
  </si>
  <si>
    <t>CES RED LOGISTICA SAS</t>
  </si>
  <si>
    <t>CL 77 16A 15</t>
  </si>
  <si>
    <t>notificaciones@cesred.com</t>
  </si>
  <si>
    <t>aguacates</t>
  </si>
  <si>
    <t>enterate pradera</t>
  </si>
  <si>
    <t>KEVIN</t>
  </si>
  <si>
    <t>PADILLA</t>
  </si>
  <si>
    <t>CR 10 9 57</t>
  </si>
  <si>
    <t>VALENTINA</t>
  </si>
  <si>
    <t>ECHEVERRY</t>
  </si>
  <si>
    <t>FAJARDO</t>
  </si>
  <si>
    <t>MZ A CASA 5</t>
  </si>
  <si>
    <t>ANDRES</t>
  </si>
  <si>
    <t>MOSQUERA</t>
  </si>
  <si>
    <t>CIRO</t>
  </si>
  <si>
    <t>CL 2B TV 13 33</t>
  </si>
  <si>
    <t>KATHALINA</t>
  </si>
  <si>
    <t>RANGEL</t>
  </si>
  <si>
    <t>VALERIA</t>
  </si>
  <si>
    <t>DIAZ</t>
  </si>
  <si>
    <t>DISTRIMOTOS PALMIRA SAS</t>
  </si>
  <si>
    <t>CR 33 A 31 24</t>
  </si>
  <si>
    <t xml:space="preserve">KINGMAN CELULARES </t>
  </si>
  <si>
    <t>CL 31 25 45</t>
  </si>
  <si>
    <t>LM AUTOPARTS MOTORS SAS</t>
  </si>
  <si>
    <t>CL 6 CR 8</t>
  </si>
  <si>
    <t>SALSAMENTARIA LA MEJOR</t>
  </si>
  <si>
    <t>ASDRUVAL</t>
  </si>
  <si>
    <t>VELEZ</t>
  </si>
  <si>
    <t>CR 32 30 43</t>
  </si>
  <si>
    <t>SERVICIO GAS</t>
  </si>
  <si>
    <t>QUESOS Y QUESOS LA CALIDAD SAS</t>
  </si>
  <si>
    <t>CR 17 33 D 36</t>
  </si>
  <si>
    <t>DANNA</t>
  </si>
  <si>
    <t>SOALRTE</t>
  </si>
  <si>
    <t>CR 3 5 38</t>
  </si>
  <si>
    <t>BREINER</t>
  </si>
  <si>
    <t>RESTREPO</t>
  </si>
  <si>
    <t>DARSALUD DROGUERIA</t>
  </si>
  <si>
    <t>CR 8 10 08</t>
  </si>
  <si>
    <t>PANADERIA Y PASTELERIA STAR PAN</t>
  </si>
  <si>
    <t>NIBIA</t>
  </si>
  <si>
    <t>CASTAÑO</t>
  </si>
  <si>
    <t>CL 42 18 75</t>
  </si>
  <si>
    <t xml:space="preserve">SAMUEL </t>
  </si>
  <si>
    <t>RENDON</t>
  </si>
  <si>
    <t>RODRIGUEZ</t>
  </si>
  <si>
    <t>CL 8 13 53</t>
  </si>
  <si>
    <t>SEGUROS GENERALES SURAMERICANA SA</t>
  </si>
  <si>
    <t>CR 63 49 A 31 P 1 ED CAMACOL</t>
  </si>
  <si>
    <t>SEGURO</t>
  </si>
  <si>
    <t>PAPELERIA Y LIBRERÍA ESCOLAR</t>
  </si>
  <si>
    <t>CR 10 8 74</t>
  </si>
  <si>
    <t>DROGUERIA LAS FLORES PRADERA</t>
  </si>
  <si>
    <t>EDUARDO</t>
  </si>
  <si>
    <t>PERILLA</t>
  </si>
  <si>
    <t>CR 10 5 42</t>
  </si>
  <si>
    <t>POLLOS EL SABOR</t>
  </si>
  <si>
    <t>VERDURAS</t>
  </si>
  <si>
    <t>ELECTROFERREMOS</t>
  </si>
  <si>
    <t>ORLANDO</t>
  </si>
  <si>
    <t>CR 11 8 08</t>
  </si>
  <si>
    <t xml:space="preserve">MICHELLE </t>
  </si>
  <si>
    <t>SALCEDO</t>
  </si>
  <si>
    <t>CL 11 6 82</t>
  </si>
  <si>
    <t>MUNDO LED ILUMINACION SAS</t>
  </si>
  <si>
    <t>CR 25 30 56</t>
  </si>
  <si>
    <t>LA REGALIA DE PRADERA</t>
  </si>
  <si>
    <t>CL 8 12 10</t>
  </si>
  <si>
    <t>COMERCIALIZADORA GARCIA Y ASOCIADOS</t>
  </si>
  <si>
    <t>CL 27 25 26</t>
  </si>
  <si>
    <t>DEPOSITO PRINCIPAL DE DROGAS LTDA</t>
  </si>
  <si>
    <t>YAHIR</t>
  </si>
  <si>
    <t>GUERRERO</t>
  </si>
  <si>
    <t>CL 10 14 63</t>
  </si>
  <si>
    <t>METAL ACRILATO SA</t>
  </si>
  <si>
    <t xml:space="preserve">KM 27 </t>
  </si>
  <si>
    <t>LA CASA DEL PANDEBONO</t>
  </si>
  <si>
    <t>LA ROCA IMPRESIÓN Y DISEÑO</t>
  </si>
  <si>
    <t>CL 21 5 79</t>
  </si>
  <si>
    <t>larocapublicidad.cali@gmail.com</t>
  </si>
  <si>
    <t>FIDEICOMISO PA</t>
  </si>
  <si>
    <t>JULIAN</t>
  </si>
  <si>
    <t>DG 6T2 A48</t>
  </si>
  <si>
    <t>DROGUERIA PANAMERICANA</t>
  </si>
  <si>
    <t>CR 19 34 02</t>
  </si>
  <si>
    <t>PASTELERIA ERAZOS</t>
  </si>
  <si>
    <t>BARRA ESTANCO EL BARRIL DE LA SEXTA</t>
  </si>
  <si>
    <t>DIANA</t>
  </si>
  <si>
    <t>MARIA</t>
  </si>
  <si>
    <t>ECHAVARRIA</t>
  </si>
  <si>
    <t>CL 6 11 03</t>
  </si>
  <si>
    <t>PANADERIA LAS CASTAÑUELAS</t>
  </si>
  <si>
    <t>MZ D C 11</t>
  </si>
  <si>
    <t>SODIMAC COLOMBIA SA</t>
  </si>
  <si>
    <t>INVERSIONES DJC SAS</t>
  </si>
  <si>
    <t>PAKTO</t>
  </si>
  <si>
    <t>CL 45 E 71 04 IN 301</t>
  </si>
  <si>
    <t>COMERCIALIZADORA MARDEN LTDA</t>
  </si>
  <si>
    <t>MARDEN BOSQUE</t>
  </si>
  <si>
    <t>mys inventarios</t>
  </si>
  <si>
    <t>BRENDA</t>
  </si>
  <si>
    <t>CR 10 CASA 24</t>
  </si>
  <si>
    <t>CINDY</t>
  </si>
  <si>
    <t>JOHANA</t>
  </si>
  <si>
    <t>AGUILAR</t>
  </si>
  <si>
    <t>MZ 33 CASA 15</t>
  </si>
  <si>
    <t>CESAR</t>
  </si>
  <si>
    <t>AUGUSTO</t>
  </si>
  <si>
    <t>SASTOQUE</t>
  </si>
  <si>
    <t>CL 6 12 84</t>
  </si>
  <si>
    <t>Correo</t>
  </si>
  <si>
    <t>TIPO DE GASTO</t>
  </si>
  <si>
    <t>LEIDY KARINA HURTADO</t>
  </si>
  <si>
    <t>DARLING MARIANA ROJAS GONZALES</t>
  </si>
  <si>
    <t>CRISTIAN YAHIR GUERRERO GIRON</t>
  </si>
  <si>
    <t xml:space="preserve">JULIAN ANDRES MUÑOZ </t>
  </si>
  <si>
    <t xml:space="preserve">CESAR AUGUSTO SASTOQUE </t>
  </si>
  <si>
    <t xml:space="preserve">CINDY JOHANA AGUILAR </t>
  </si>
  <si>
    <t xml:space="preserve">BRENDA  GOMEZ </t>
  </si>
  <si>
    <t>LEANDRO ANTONIO POPAYAN MELO</t>
  </si>
  <si>
    <t>CRISTIAN ANDRES MOSQUERA CIRO</t>
  </si>
  <si>
    <t>HERNAN DARIO VARGAS NUÑEZ</t>
  </si>
  <si>
    <t>CRISTINA ALEJANDRA SINISTERRA PALOMINO</t>
  </si>
  <si>
    <t>DANNA  SOALRTE ROJAS</t>
  </si>
  <si>
    <t xml:space="preserve">JESSICA  MERA </t>
  </si>
  <si>
    <t>VICTORIA   MONTENEGRO MONTAÑO</t>
  </si>
  <si>
    <t xml:space="preserve">GERMAN  TOVAR </t>
  </si>
  <si>
    <t xml:space="preserve">GLADYS  BENITES </t>
  </si>
  <si>
    <t>CORREO</t>
  </si>
  <si>
    <t>PRIMER NOMBRE</t>
  </si>
  <si>
    <t>SEGUNDO NOMBRE</t>
  </si>
  <si>
    <t>PRIMER APELLIDO</t>
  </si>
  <si>
    <t>SEGUNDO APELLIDO</t>
  </si>
  <si>
    <t>TIPO</t>
  </si>
  <si>
    <t>CAJA</t>
  </si>
  <si>
    <t>BANCOS</t>
  </si>
  <si>
    <t>TARJETA CR</t>
  </si>
  <si>
    <t>TOTAL</t>
  </si>
  <si>
    <t>IVON RODRIGUEZ</t>
  </si>
  <si>
    <t>IVON</t>
  </si>
  <si>
    <t>CORREA</t>
  </si>
  <si>
    <t>VEREDA LOMITAS</t>
  </si>
  <si>
    <t>DAYANNA SALAZAR</t>
  </si>
  <si>
    <t>KELLY VANESSA RODRIGUEZ TASCON</t>
  </si>
  <si>
    <t>KELLY</t>
  </si>
  <si>
    <t>VANESSA</t>
  </si>
  <si>
    <t>TASCON</t>
  </si>
  <si>
    <t>LA FLORESTA</t>
  </si>
  <si>
    <t xml:space="preserve">ROLMAK </t>
  </si>
  <si>
    <t>DISTRIBUIDORA 7289</t>
  </si>
  <si>
    <t>AJOVER DARNEL S.A.S</t>
  </si>
  <si>
    <t>CALLE 65 BIS 91 82</t>
  </si>
  <si>
    <t xml:space="preserve">GASTO </t>
  </si>
  <si>
    <t>SEGUNDOAPELLIDO</t>
  </si>
  <si>
    <t>ALKOSTO S.A</t>
  </si>
  <si>
    <t xml:space="preserve">CARRERA 3 NORTE </t>
  </si>
  <si>
    <t>vozcliente@alkosto.com.co</t>
  </si>
  <si>
    <t>VINAGRE</t>
  </si>
  <si>
    <t>DISTRIBUIDORA ZADAY SAS</t>
  </si>
  <si>
    <t>JORGE</t>
  </si>
  <si>
    <t>MANZANA T CASA 17 MARIA 2</t>
  </si>
  <si>
    <t>reporte@seitem.com</t>
  </si>
  <si>
    <t>CARNE ANGUS CILINDRO</t>
  </si>
  <si>
    <t>DISTRIBUIDORA TIENDAS Y MARCAS</t>
  </si>
  <si>
    <t>ELIANA</t>
  </si>
  <si>
    <t>CRA 34 31 35 BOD 2 PALMIRA</t>
  </si>
  <si>
    <t xml:space="preserve">ACUAVALLE S.A E.S.P </t>
  </si>
  <si>
    <t xml:space="preserve">FERRETERIA LA MARIA </t>
  </si>
  <si>
    <t>MORA</t>
  </si>
  <si>
    <t>MANZANA G CASA 8 MARIA 1</t>
  </si>
  <si>
    <t xml:space="preserve">AUTOSERVICIO PLAZA ALKOSTO </t>
  </si>
  <si>
    <t>JEISON</t>
  </si>
  <si>
    <t>CRISTIAN CAMILO PORTILLO LOAIZA</t>
  </si>
  <si>
    <t xml:space="preserve">CRISTIAN </t>
  </si>
  <si>
    <t>CAMILO</t>
  </si>
  <si>
    <t>PORTILLO</t>
  </si>
  <si>
    <t>LOAIZA</t>
  </si>
  <si>
    <t>CR 17# 10-27 B- COMUNEROS</t>
  </si>
  <si>
    <t>LEYDI</t>
  </si>
  <si>
    <t>JOHANNA</t>
  </si>
  <si>
    <t>COLLAZOS</t>
  </si>
  <si>
    <t>ARCE</t>
  </si>
  <si>
    <t>CALLE 4 12-83 PUERTO NUEVO</t>
  </si>
  <si>
    <t xml:space="preserve">YANCARLYS </t>
  </si>
  <si>
    <t>JOSELIN</t>
  </si>
  <si>
    <t>GUEVARA</t>
  </si>
  <si>
    <t>PRADOS DE LA COLINA MN H CASA 1</t>
  </si>
  <si>
    <t>ELECTRONICAS JYP</t>
  </si>
  <si>
    <t>16728479-8</t>
  </si>
  <si>
    <t>CHAPARRO</t>
  </si>
  <si>
    <t>NINCO</t>
  </si>
  <si>
    <t>electronicajyp@hotmail.com</t>
  </si>
  <si>
    <t>cra 24 no 30-85</t>
  </si>
  <si>
    <t>gasto</t>
  </si>
  <si>
    <t xml:space="preserve">GRUPO MAYORISTA S.A </t>
  </si>
  <si>
    <t>900091175-4</t>
  </si>
  <si>
    <t>CARRERA 9 4-13</t>
  </si>
  <si>
    <t>SANDRA</t>
  </si>
  <si>
    <t>MILENA</t>
  </si>
  <si>
    <t>TREJOS</t>
  </si>
  <si>
    <t>TENORIO</t>
  </si>
  <si>
    <t>FERREVALENCIA</t>
  </si>
  <si>
    <t>MANZANA B CASA 8 LA COLINA</t>
  </si>
  <si>
    <t xml:space="preserve">DOLLARCITY </t>
  </si>
  <si>
    <t>AV 3 57 N 30</t>
  </si>
  <si>
    <t>FERRETERIA LA 8</t>
  </si>
  <si>
    <t>JAIRO</t>
  </si>
  <si>
    <t>ZAPATA</t>
  </si>
  <si>
    <t>SUPERTIENDAS CAÑAVERAL S.A.S</t>
  </si>
  <si>
    <t>PAEZ</t>
  </si>
  <si>
    <t>OREJUELA</t>
  </si>
  <si>
    <t>CL 28 N0 24-76</t>
  </si>
  <si>
    <t>INVERSIONES PIÑATERIA CHISPUM</t>
  </si>
  <si>
    <t>AG TEX GROUP S.A.S</t>
  </si>
  <si>
    <t>805021170-4</t>
  </si>
  <si>
    <t>CR 6 14 45</t>
  </si>
  <si>
    <t xml:space="preserve">GASTOS </t>
  </si>
  <si>
    <t xml:space="preserve">PREMIOS Y PROMOCIONES EU </t>
  </si>
  <si>
    <t>900163982-1</t>
  </si>
  <si>
    <t>CALLE 14 8-36</t>
  </si>
  <si>
    <t xml:space="preserve">KELLY </t>
  </si>
  <si>
    <t xml:space="preserve">GERALDINE QUIROZ </t>
  </si>
  <si>
    <t>GERALDINE</t>
  </si>
  <si>
    <t>QUIROZ</t>
  </si>
  <si>
    <t>CR 9 4-27</t>
  </si>
  <si>
    <t>SANDRA PATRICIA SINISTERRA PALOMINO</t>
  </si>
  <si>
    <t xml:space="preserve">PATRICIA </t>
  </si>
  <si>
    <t>ELECTRICOS Y ACEITES DEL VALLE SAS</t>
  </si>
  <si>
    <t>900725319-0</t>
  </si>
  <si>
    <t xml:space="preserve">MERCEDES </t>
  </si>
  <si>
    <t>CR 10 5-49</t>
  </si>
  <si>
    <t>NIKOLL YANTEN</t>
  </si>
  <si>
    <t>NIKOLL</t>
  </si>
  <si>
    <t xml:space="preserve">YANTEN </t>
  </si>
  <si>
    <t>CARDONA</t>
  </si>
  <si>
    <t>MNZ G CASA 16 P/MAYO</t>
  </si>
  <si>
    <t>HEIDY LIZETH SANCHEZ MONTEZUMA</t>
  </si>
  <si>
    <t>HEIDY</t>
  </si>
  <si>
    <t>LIZETH</t>
  </si>
  <si>
    <t>SANCHEZ</t>
  </si>
  <si>
    <t>MONTEZUMA</t>
  </si>
  <si>
    <t>VIA LOMITAS</t>
  </si>
  <si>
    <t>JOSE MANUEL OCAMPO VILLADA</t>
  </si>
  <si>
    <t>MANUEL</t>
  </si>
  <si>
    <t>OCAMPO</t>
  </si>
  <si>
    <t>VILLADA</t>
  </si>
  <si>
    <t>MZN H CASA 7 P/MAYO</t>
  </si>
  <si>
    <t>JUAN MANUEL CORREA ORTIZ</t>
  </si>
  <si>
    <t>ORTIZ</t>
  </si>
  <si>
    <t>CALLE 8 7-57</t>
  </si>
  <si>
    <t xml:space="preserve">DANNA VALDEZ PEREA </t>
  </si>
  <si>
    <t>VALDEZ</t>
  </si>
  <si>
    <t>PEREA</t>
  </si>
  <si>
    <t>CALLE 1 16-45</t>
  </si>
  <si>
    <t xml:space="preserve">MISTER DONAS </t>
  </si>
  <si>
    <t>1.113.525.137-5</t>
  </si>
  <si>
    <t>CL 6 13 07</t>
  </si>
  <si>
    <t>INDAGRO SANEAMIENTO INTEGRO</t>
  </si>
  <si>
    <t>94.306.449-1</t>
  </si>
  <si>
    <t>MAURICIO</t>
  </si>
  <si>
    <t>VALENCIA</t>
  </si>
  <si>
    <t>SANTACRUZ</t>
  </si>
  <si>
    <t>CL 32 30-25</t>
  </si>
  <si>
    <t>284 7470</t>
  </si>
  <si>
    <t>PALMALIÑOS</t>
  </si>
  <si>
    <t xml:space="preserve">LUZ </t>
  </si>
  <si>
    <t xml:space="preserve">EDNA </t>
  </si>
  <si>
    <t xml:space="preserve">PALMA </t>
  </si>
  <si>
    <t>CARR 5 2-47</t>
  </si>
  <si>
    <t>267 4032</t>
  </si>
  <si>
    <t>MARTHA</t>
  </si>
  <si>
    <t>GRUPO BONANZA SAS</t>
  </si>
  <si>
    <t>901.168.001-8</t>
  </si>
  <si>
    <t>CRA 27 27-13</t>
  </si>
  <si>
    <t xml:space="preserve">COSTO </t>
  </si>
  <si>
    <t>LEYDI JHOANNA COLLAZOS ARCE</t>
  </si>
  <si>
    <t>istr</t>
  </si>
  <si>
    <t>ABISE S.A.S</t>
  </si>
  <si>
    <t>815004506-1</t>
  </si>
  <si>
    <t xml:space="preserve">ESTACION </t>
  </si>
  <si>
    <t>TERPEL</t>
  </si>
  <si>
    <t>PARAISO</t>
  </si>
  <si>
    <t>TRANSV 30 1-229</t>
  </si>
  <si>
    <t>EMPLEADO GOTA</t>
  </si>
  <si>
    <t>YUGLAXI YOXIELI RENGIFO BARBOZA</t>
  </si>
  <si>
    <t>YUGLAXI</t>
  </si>
  <si>
    <t>YOXIELI</t>
  </si>
  <si>
    <t>RENGIFO</t>
  </si>
  <si>
    <t>BARBOZA</t>
  </si>
  <si>
    <t xml:space="preserve">CARR 15 MAZ C CASA 28 LAS MARGARITAS </t>
  </si>
  <si>
    <t>LECHUGA</t>
  </si>
  <si>
    <t xml:space="preserve">MERCAFRUVER LA ECONOMIA demi pradera </t>
  </si>
  <si>
    <t xml:space="preserve">YANCARLYS RODRIGUEZ </t>
  </si>
  <si>
    <t>TIENDA KAIRO 2</t>
  </si>
  <si>
    <t>CARRERA 6 CALLE 10 CAIRO</t>
  </si>
  <si>
    <t>REIMON DAVID PIMIENTO CARDENAS</t>
  </si>
  <si>
    <t>REIMON</t>
  </si>
  <si>
    <t>DAVID</t>
  </si>
  <si>
    <t>PIMIENTO</t>
  </si>
  <si>
    <t>CARDENAS</t>
  </si>
  <si>
    <t xml:space="preserve">EMPLEADO </t>
  </si>
  <si>
    <t>ISABELA TANGARIFE MARULANDA</t>
  </si>
  <si>
    <t>ISABELA</t>
  </si>
  <si>
    <t>TANGARIFE</t>
  </si>
  <si>
    <t>MARULANDA</t>
  </si>
  <si>
    <t xml:space="preserve">CALLE 8 9-49 JORGE ELIECER </t>
  </si>
  <si>
    <t>RONAL DEISON ROJAS CEBALLOS</t>
  </si>
  <si>
    <t>RONAL</t>
  </si>
  <si>
    <t>DEISON</t>
  </si>
  <si>
    <t>CEBALLOS</t>
  </si>
  <si>
    <t>CALLE8 9-49 JORGE ELIECER</t>
  </si>
  <si>
    <t>TIENDAS EL PAPA PRADERA</t>
  </si>
  <si>
    <t>70787168-0</t>
  </si>
  <si>
    <t xml:space="preserve">FERNANDO </t>
  </si>
  <si>
    <t>CR 11 6-70 B/ CENTRO</t>
  </si>
  <si>
    <t>MARZO 2025</t>
  </si>
  <si>
    <t>INGRESOS MARZO 2025</t>
  </si>
  <si>
    <t>15/0/2025</t>
  </si>
  <si>
    <t>25/03/20255</t>
  </si>
  <si>
    <t xml:space="preserve">NATHALIA PALOMINO GAVIRIA </t>
  </si>
  <si>
    <t>NATHALIA</t>
  </si>
  <si>
    <t>GAVIRIA</t>
  </si>
  <si>
    <t xml:space="preserve">CALLE 10 # 15A-04 LIBERTAD </t>
  </si>
  <si>
    <t>DISTRIBUIDORA LA CABAÑA</t>
  </si>
  <si>
    <t>11136655074-1</t>
  </si>
  <si>
    <t>MZNA D CASA 7 LA MARIA 1</t>
  </si>
  <si>
    <t>FUTURAMA PUBLICIDAD</t>
  </si>
  <si>
    <t>1143988610-3</t>
  </si>
  <si>
    <t>CALLE 20 6-39 SAN NICOLAS</t>
  </si>
  <si>
    <t>FUTURAMAPUBLICICDAD23@GMAIL.COM</t>
  </si>
  <si>
    <t>DISTRIBUIDORA DE CARNES ET LOS MONOS SAS</t>
  </si>
  <si>
    <t>900615557-5</t>
  </si>
  <si>
    <t>LOPEZ</t>
  </si>
  <si>
    <t xml:space="preserve">CR 38 57 113 CAIMITOS PALMIRA </t>
  </si>
  <si>
    <t>FRUTAS Y VERDURAS LA FINCA</t>
  </si>
  <si>
    <t>ALMACENES ÉXITO S.A</t>
  </si>
  <si>
    <t>30/0/2025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</si>
</sst>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\ #,##0_);[Red]\(&quot;$&quot;\ #,##0\)"/>
    <numFmt numFmtId="42" formatCode="_(&quot;$&quot;\ * #,##0_);_(&quot;$&quot;\ * \(#,##0\);_(&quot;$&quot;\ * &quot;-&quot;_);_(@_)"/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&quot;$&quot;\ #,##0"/>
    <numFmt numFmtId="165" formatCode="_(* #,##0_);_(* \(#,##0\);_(* &quot;-&quot;??_);_(@_)"/>
    <numFmt numFmtId="166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sz val="11"/>
      <color rgb="FF353535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5E5E5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ill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1" fontId="0" fillId="0" borderId="0" xfId="0" applyNumberForma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ill="1"/>
    <xf numFmtId="0" fontId="0" fillId="0" borderId="3" xfId="0" applyFill="1" applyBorder="1" applyAlignment="1">
      <alignment horizontal="left"/>
    </xf>
    <xf numFmtId="165" fontId="0" fillId="0" borderId="0" xfId="1" applyNumberFormat="1" applyFont="1" applyFill="1" applyBorder="1" applyAlignment="1"/>
    <xf numFmtId="164" fontId="0" fillId="0" borderId="0" xfId="0" applyNumberFormat="1" applyFill="1" applyAlignment="1">
      <alignment horizontal="left"/>
    </xf>
    <xf numFmtId="0" fontId="0" fillId="2" borderId="1" xfId="0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65" fontId="0" fillId="2" borderId="1" xfId="1" applyNumberFormat="1" applyFont="1" applyFill="1" applyBorder="1" applyAlignment="1"/>
    <xf numFmtId="164" fontId="0" fillId="2" borderId="1" xfId="0" applyNumberForma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1" fontId="5" fillId="0" borderId="0" xfId="0" applyNumberFormat="1" applyFont="1" applyFill="1" applyAlignment="1">
      <alignment horizontal="left"/>
    </xf>
    <xf numFmtId="165" fontId="5" fillId="0" borderId="0" xfId="1" applyNumberFormat="1" applyFont="1" applyFill="1" applyAlignment="1">
      <alignment horizontal="left"/>
    </xf>
    <xf numFmtId="1" fontId="0" fillId="3" borderId="0" xfId="0" applyNumberForma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165" fontId="0" fillId="3" borderId="0" xfId="1" applyNumberFormat="1" applyFont="1" applyFill="1" applyBorder="1" applyAlignment="1"/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/>
    </xf>
    <xf numFmtId="1" fontId="5" fillId="3" borderId="0" xfId="0" applyNumberFormat="1" applyFont="1" applyFill="1" applyAlignment="1">
      <alignment horizontal="left"/>
    </xf>
    <xf numFmtId="165" fontId="0" fillId="3" borderId="0" xfId="1" applyNumberFormat="1" applyFont="1" applyFill="1" applyAlignment="1"/>
    <xf numFmtId="165" fontId="0" fillId="3" borderId="0" xfId="1" applyNumberFormat="1" applyFont="1" applyFill="1" applyAlignment="1">
      <alignment horizontal="left"/>
    </xf>
    <xf numFmtId="1" fontId="0" fillId="3" borderId="0" xfId="1" applyNumberFormat="1" applyFont="1" applyFill="1" applyAlignment="1">
      <alignment horizontal="left"/>
    </xf>
    <xf numFmtId="1" fontId="0" fillId="3" borderId="0" xfId="0" applyNumberForma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/>
    <xf numFmtId="165" fontId="5" fillId="3" borderId="0" xfId="1" applyNumberFormat="1" applyFont="1" applyFill="1" applyAlignment="1">
      <alignment horizontal="left"/>
    </xf>
    <xf numFmtId="0" fontId="5" fillId="3" borderId="0" xfId="0" applyFont="1" applyFill="1" applyBorder="1" applyAlignment="1">
      <alignment horizontal="left"/>
    </xf>
    <xf numFmtId="1" fontId="5" fillId="3" borderId="0" xfId="0" applyNumberFormat="1" applyFont="1" applyFill="1" applyBorder="1" applyAlignment="1">
      <alignment horizontal="left"/>
    </xf>
    <xf numFmtId="165" fontId="5" fillId="3" borderId="0" xfId="1" applyNumberFormat="1" applyFont="1" applyFill="1" applyAlignment="1"/>
    <xf numFmtId="1" fontId="5" fillId="3" borderId="0" xfId="1" applyNumberFormat="1" applyFont="1" applyFill="1" applyAlignment="1">
      <alignment horizontal="left"/>
    </xf>
    <xf numFmtId="1" fontId="0" fillId="0" borderId="0" xfId="0" applyNumberFormat="1" applyFill="1" applyAlignment="1">
      <alignment horizontal="left"/>
    </xf>
    <xf numFmtId="165" fontId="0" fillId="0" borderId="0" xfId="1" applyNumberFormat="1" applyFont="1" applyFill="1" applyAlignment="1"/>
    <xf numFmtId="0" fontId="2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65" fontId="0" fillId="0" borderId="0" xfId="1" applyNumberFormat="1" applyFont="1" applyFill="1" applyAlignment="1">
      <alignment horizontal="left"/>
    </xf>
    <xf numFmtId="1" fontId="0" fillId="0" borderId="0" xfId="1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0" xfId="1" applyNumberFormat="1" applyFont="1" applyFill="1" applyAlignment="1">
      <alignment horizontal="left"/>
    </xf>
    <xf numFmtId="165" fontId="5" fillId="0" borderId="0" xfId="1" applyNumberFormat="1" applyFont="1" applyFill="1" applyBorder="1" applyAlignment="1"/>
    <xf numFmtId="0" fontId="5" fillId="0" borderId="0" xfId="0" applyFont="1" applyFill="1" applyBorder="1" applyAlignment="1"/>
    <xf numFmtId="0" fontId="0" fillId="0" borderId="0" xfId="0" applyFill="1" applyBorder="1"/>
    <xf numFmtId="165" fontId="0" fillId="4" borderId="0" xfId="1" applyNumberFormat="1" applyFont="1" applyFill="1" applyAlignment="1"/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left"/>
    </xf>
    <xf numFmtId="165" fontId="0" fillId="4" borderId="0" xfId="1" applyNumberFormat="1" applyFont="1" applyFill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16" fontId="0" fillId="0" borderId="7" xfId="0" applyNumberFormat="1" applyBorder="1"/>
    <xf numFmtId="42" fontId="0" fillId="0" borderId="0" xfId="0" applyNumberFormat="1" applyBorder="1"/>
    <xf numFmtId="42" fontId="0" fillId="0" borderId="8" xfId="0" applyNumberFormat="1" applyBorder="1"/>
    <xf numFmtId="0" fontId="0" fillId="5" borderId="7" xfId="0" applyFill="1" applyBorder="1"/>
    <xf numFmtId="0" fontId="0" fillId="5" borderId="0" xfId="0" applyFill="1" applyBorder="1"/>
    <xf numFmtId="0" fontId="0" fillId="5" borderId="8" xfId="0" applyFill="1" applyBorder="1"/>
    <xf numFmtId="0" fontId="7" fillId="0" borderId="9" xfId="0" applyFont="1" applyBorder="1"/>
    <xf numFmtId="6" fontId="7" fillId="0" borderId="10" xfId="0" applyNumberFormat="1" applyFont="1" applyBorder="1"/>
    <xf numFmtId="6" fontId="7" fillId="0" borderId="11" xfId="0" applyNumberFormat="1" applyFont="1" applyBorder="1"/>
    <xf numFmtId="6" fontId="0" fillId="0" borderId="0" xfId="0" applyNumberFormat="1"/>
    <xf numFmtId="6" fontId="6" fillId="6" borderId="0" xfId="0" applyNumberFormat="1" applyFont="1" applyFill="1"/>
    <xf numFmtId="0" fontId="0" fillId="7" borderId="1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8" fillId="0" borderId="0" xfId="3"/>
    <xf numFmtId="0" fontId="9" fillId="0" borderId="0" xfId="0" applyFont="1"/>
    <xf numFmtId="3" fontId="0" fillId="0" borderId="0" xfId="0" applyNumberFormat="1"/>
    <xf numFmtId="44" fontId="0" fillId="0" borderId="0" xfId="4" applyFont="1" applyFill="1" applyAlignment="1">
      <alignment horizontal="left"/>
    </xf>
    <xf numFmtId="14" fontId="0" fillId="0" borderId="0" xfId="0" applyNumberFormat="1" applyFill="1" applyAlignment="1">
      <alignment horizontal="left"/>
    </xf>
    <xf numFmtId="49" fontId="4" fillId="0" borderId="2" xfId="0" applyNumberFormat="1" applyFont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illares 2" xfId="2"/>
    <cellStyle name="Moneda" xfId="4" builtinId="4"/>
    <cellStyle name="Normal" xfId="0" builtinId="0"/>
  </cellStyles>
  <dxfs count="0"/>
  <tableStyles count="0" defaultTableStyle="TableStyleMedium2" defaultPivotStyle="PivotStyleLight16"/>
  <colors>
    <mruColors>
      <color rgb="FF9DEB35"/>
      <color rgb="FF99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EBRERO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/NOVIEMBR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ERO"/>
      <sheetName val="INGRESOS"/>
      <sheetName val="BASE DE DATOS"/>
    </sheetNames>
    <sheetDataSet>
      <sheetData sheetId="0">
        <row r="75">
          <cell r="E75" t="str">
            <v>YUGLAXI YOXIELI RENGIFO BARBOZA</v>
          </cell>
        </row>
        <row r="76">
          <cell r="E76" t="str">
            <v>CRISTIAN CAMILO PORTILLO LOAIZA</v>
          </cell>
        </row>
        <row r="77">
          <cell r="E77" t="str">
            <v>JUAN MANUEL CORREA ORTIZ</v>
          </cell>
        </row>
        <row r="78">
          <cell r="E78" t="str">
            <v xml:space="preserve">YANCARLYS RODRIGUEZ </v>
          </cell>
        </row>
        <row r="79">
          <cell r="E79" t="str">
            <v>LEIDY KARINA HURTADO</v>
          </cell>
        </row>
        <row r="80">
          <cell r="E80" t="str">
            <v>ISABELA TANGARIFE MARULANDA</v>
          </cell>
        </row>
        <row r="81">
          <cell r="E81" t="str">
            <v>REIMON DAVID PIMIENTO CARDENAS</v>
          </cell>
        </row>
        <row r="82">
          <cell r="E82" t="str">
            <v>DANNA  SOALRTE ROJAS</v>
          </cell>
        </row>
        <row r="83">
          <cell r="E83" t="str">
            <v>HERNAN DARIO VARGAS NUÑEZ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IEMBRE"/>
      <sheetName val="INGRESOS"/>
      <sheetName val="BASE DE DATOS"/>
    </sheetNames>
    <sheetDataSet>
      <sheetData sheetId="0"/>
      <sheetData sheetId="1"/>
      <sheetData sheetId="2">
        <row r="141">
          <cell r="A141" t="str">
            <v>DISTRIBUIDORA ZADAY SAS</v>
          </cell>
          <cell r="B141">
            <v>9017363446</v>
          </cell>
          <cell r="C141" t="str">
            <v>JORGE</v>
          </cell>
          <cell r="E141" t="str">
            <v>MOSQUERA</v>
          </cell>
          <cell r="G141" t="str">
            <v>MANZANA T CASA 17 MARIA 2</v>
          </cell>
          <cell r="H141">
            <v>3017939209</v>
          </cell>
          <cell r="I141" t="str">
            <v>reporte@seitem.com</v>
          </cell>
          <cell r="J141" t="str">
            <v>COSTO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UTURAMAPUBLICICDAD23@GMAIL.COM" TargetMode="External"/><Relationship Id="rId2" Type="http://schemas.openxmlformats.org/officeDocument/2006/relationships/hyperlink" Target="mailto:electronicajyp@hotmail.com" TargetMode="External"/><Relationship Id="rId1" Type="http://schemas.openxmlformats.org/officeDocument/2006/relationships/hyperlink" Target="mailto:vozcliente@alkosto.com.co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68"/>
  <sheetViews>
    <sheetView tabSelected="1" topLeftCell="A177" zoomScale="90" zoomScaleNormal="90" workbookViewId="0">
      <selection activeCell="A191" sqref="A191"/>
    </sheetView>
  </sheetViews>
  <sheetFormatPr baseColWidth="10" defaultRowHeight="15" x14ac:dyDescent="0.25"/>
  <cols>
    <col min="1" max="1" width="12.5703125" style="3" customWidth="1"/>
    <col min="2" max="2" width="16.42578125" style="34" customWidth="1"/>
    <col min="3" max="3" width="13.7109375" style="3" bestFit="1" customWidth="1"/>
    <col min="4" max="4" width="16" style="46" bestFit="1" customWidth="1"/>
    <col min="5" max="5" width="39.42578125" style="66" bestFit="1" customWidth="1"/>
    <col min="6" max="6" width="16.140625" style="49" bestFit="1" customWidth="1"/>
    <col min="7" max="7" width="18.140625" style="49" bestFit="1" customWidth="1"/>
    <col min="8" max="8" width="24.28515625" style="49" bestFit="1" customWidth="1"/>
    <col min="9" max="9" width="14.85546875" style="47" bestFit="1" customWidth="1"/>
    <col min="10" max="10" width="28.140625" style="47" bestFit="1" customWidth="1"/>
    <col min="11" max="11" width="20.140625" style="48" bestFit="1" customWidth="1"/>
    <col min="12" max="12" width="27.85546875" style="47" bestFit="1" customWidth="1"/>
    <col min="13" max="13" width="26.7109375" style="9" bestFit="1" customWidth="1"/>
    <col min="14" max="14" width="23.42578125" style="47" customWidth="1"/>
    <col min="15" max="16384" width="11.42578125" style="3"/>
  </cols>
  <sheetData>
    <row r="1" spans="1:34" s="2" customFormat="1" ht="33.75" x14ac:dyDescent="0.5">
      <c r="A1" s="72" t="s">
        <v>542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13.5" customHeight="1" thickBot="1" x14ac:dyDescent="0.3">
      <c r="A2" s="10" t="s">
        <v>0</v>
      </c>
      <c r="B2" s="11" t="s">
        <v>1</v>
      </c>
      <c r="C2" s="10" t="s">
        <v>13</v>
      </c>
      <c r="D2" s="12" t="s">
        <v>2</v>
      </c>
      <c r="E2" s="65" t="s">
        <v>6</v>
      </c>
      <c r="F2" s="10" t="s">
        <v>356</v>
      </c>
      <c r="G2" s="10" t="s">
        <v>357</v>
      </c>
      <c r="H2" s="10" t="s">
        <v>358</v>
      </c>
      <c r="I2" s="10" t="s">
        <v>359</v>
      </c>
      <c r="J2" s="10" t="s">
        <v>7</v>
      </c>
      <c r="K2" s="11" t="s">
        <v>8</v>
      </c>
      <c r="L2" s="10" t="s">
        <v>355</v>
      </c>
      <c r="M2" s="13" t="s">
        <v>3</v>
      </c>
      <c r="N2" s="10" t="s">
        <v>338</v>
      </c>
    </row>
    <row r="3" spans="1:34" x14ac:dyDescent="0.25">
      <c r="A3" s="71">
        <v>45718</v>
      </c>
      <c r="B3" s="34">
        <v>3963</v>
      </c>
      <c r="D3" s="46">
        <f>IFERROR(VLOOKUP($E3,'BASE DE DATOS'!$A:$I,2,0)," ")</f>
        <v>66929745</v>
      </c>
      <c r="E3" s="66" t="str">
        <f>'BASE DE DATOS'!$A$111</f>
        <v>POLLOS EL SABOR</v>
      </c>
      <c r="F3" s="46" t="str">
        <f>IFERROR(VLOOKUP($D3,'BASE DE DATOS'!$B:$I,2,0),0)</f>
        <v>MARTHA</v>
      </c>
      <c r="G3" s="46">
        <f>IFERROR(VLOOKUP($D3,'BASE DE DATOS'!$B:$I,3,0),0)</f>
        <v>0</v>
      </c>
      <c r="H3" s="46">
        <f>IFERROR(VLOOKUP($D3,'BASE DE DATOS'!$B:$I,4,0),0)</f>
        <v>0</v>
      </c>
      <c r="I3" s="46">
        <f>IFERROR(VLOOKUP($D3,'BASE DE DATOS'!$B:$I,5,0),0)</f>
        <v>0</v>
      </c>
      <c r="J3" s="46" t="str">
        <f>IFERROR(VLOOKUP($D3,'BASE DE DATOS'!$B:$I,6,0),0)</f>
        <v>CL 8 12 10</v>
      </c>
      <c r="K3">
        <f>IFERROR(VLOOKUP($D3,'BASE DE DATOS'!$B:$I,7,0),0)</f>
        <v>3017199935</v>
      </c>
      <c r="L3" s="46">
        <f>IFERROR(VLOOKUP($D3,'BASE DE DATOS'!$B:$I,8,0),0)</f>
        <v>0</v>
      </c>
      <c r="M3" s="70">
        <v>481900</v>
      </c>
      <c r="N3" s="46" t="s">
        <v>5</v>
      </c>
    </row>
    <row r="4" spans="1:34" ht="13.5" customHeight="1" x14ac:dyDescent="0.25">
      <c r="A4" s="71">
        <v>45720</v>
      </c>
      <c r="B4" s="34">
        <v>0</v>
      </c>
      <c r="D4" s="46">
        <f>IFERROR(VLOOKUP($E4,'BASE DE DATOS'!$A:$I,2,0)," ")</f>
        <v>94303413</v>
      </c>
      <c r="E4" s="66" t="str">
        <f>'BASE DE DATOS'!$A$19</f>
        <v>COLANTA</v>
      </c>
      <c r="F4" s="46" t="str">
        <f>IFERROR(VLOOKUP($D4,'BASE DE DATOS'!$B:$I,2,0),0)</f>
        <v>GUSTAVO</v>
      </c>
      <c r="G4" s="46" t="str">
        <f>IFERROR(VLOOKUP($D4,'BASE DE DATOS'!$B:$I,3,0),0)</f>
        <v>ADOLFO</v>
      </c>
      <c r="H4" s="46" t="str">
        <f>IFERROR(VLOOKUP($D4,'BASE DE DATOS'!$B:$I,4,0),0)</f>
        <v>CAMPO</v>
      </c>
      <c r="I4" s="46" t="str">
        <f>IFERROR(VLOOKUP($D4,'BASE DE DATOS'!$B:$I,5,0),0)</f>
        <v>TORRES</v>
      </c>
      <c r="J4" s="46" t="str">
        <f>IFERROR(VLOOKUP($D4,'BASE DE DATOS'!$B:$I,6,0),0)</f>
        <v>CL 6 13 04</v>
      </c>
      <c r="K4">
        <f>IFERROR(VLOOKUP($D4,'BASE DE DATOS'!$B:$I,7,0),0)</f>
        <v>3136595942</v>
      </c>
      <c r="L4" s="46">
        <f>IFERROR(VLOOKUP($D4,'BASE DE DATOS'!$B:$I,8,0),0)</f>
        <v>0</v>
      </c>
      <c r="M4" s="70">
        <v>490000</v>
      </c>
      <c r="N4" s="46" t="s">
        <v>5</v>
      </c>
    </row>
    <row r="5" spans="1:34" x14ac:dyDescent="0.25">
      <c r="A5" s="71">
        <v>45692</v>
      </c>
      <c r="B5" s="34">
        <v>0</v>
      </c>
      <c r="D5" s="46">
        <f>IFERROR(VLOOKUP($E5,'BASE DE DATOS'!$A:$I,2,0)," ")</f>
        <v>0</v>
      </c>
      <c r="E5" s="66" t="str">
        <f>'BASE DE DATOS'!$A$3</f>
        <v>aguacates</v>
      </c>
      <c r="F5" s="46">
        <f>IFERROR(VLOOKUP($D5,'BASE DE DATOS'!$B:$I,2,0),0)</f>
        <v>0</v>
      </c>
      <c r="G5" s="46">
        <f>IFERROR(VLOOKUP($D5,'BASE DE DATOS'!$B:$I,3,0),0)</f>
        <v>0</v>
      </c>
      <c r="H5" s="46">
        <f>IFERROR(VLOOKUP($D5,'BASE DE DATOS'!$B:$I,4,0),0)</f>
        <v>0</v>
      </c>
      <c r="I5" s="46">
        <f>IFERROR(VLOOKUP($D5,'BASE DE DATOS'!$B:$I,5,0),0)</f>
        <v>0</v>
      </c>
      <c r="J5" s="46">
        <f>IFERROR(VLOOKUP($D5,'BASE DE DATOS'!$B:$I,6,0),0)</f>
        <v>0</v>
      </c>
      <c r="K5">
        <f>IFERROR(VLOOKUP($D5,'BASE DE DATOS'!$B:$I,7,0),0)</f>
        <v>0</v>
      </c>
      <c r="L5" s="46">
        <f>IFERROR(VLOOKUP($D5,'BASE DE DATOS'!$B:$I,8,0),0)</f>
        <v>0</v>
      </c>
      <c r="M5" s="70">
        <v>248000</v>
      </c>
      <c r="N5" s="46" t="s">
        <v>5</v>
      </c>
    </row>
    <row r="6" spans="1:34" x14ac:dyDescent="0.25">
      <c r="A6" s="71">
        <v>45717</v>
      </c>
      <c r="B6" s="34">
        <v>6991227</v>
      </c>
      <c r="D6" s="46">
        <f>IFERROR(VLOOKUP($E6,'BASE DE DATOS'!$A:$I,2,0)," ")</f>
        <v>8150048801</v>
      </c>
      <c r="E6" s="66" t="str">
        <f>'BASE DE DATOS'!$A$143</f>
        <v>DISTRIBUIDORA TIENDAS Y MARCAS</v>
      </c>
      <c r="F6" s="46" t="str">
        <f>IFERROR(VLOOKUP($D6,'BASE DE DATOS'!$B:$I,2,0),0)</f>
        <v>ELIANA</v>
      </c>
      <c r="G6" s="46" t="str">
        <f>IFERROR(VLOOKUP($D6,'BASE DE DATOS'!$B:$I,3,0),0)</f>
        <v>MARIA</v>
      </c>
      <c r="H6" s="46">
        <f>IFERROR(VLOOKUP($D6,'BASE DE DATOS'!$B:$I,4,0),0)</f>
        <v>0</v>
      </c>
      <c r="I6" s="46">
        <f>IFERROR(VLOOKUP($D6,'BASE DE DATOS'!$B:$I,5,0),0)</f>
        <v>0</v>
      </c>
      <c r="J6" s="46" t="str">
        <f>IFERROR(VLOOKUP($D6,'BASE DE DATOS'!$B:$I,6,0),0)</f>
        <v>CRA 34 31 35 BOD 2 PALMIRA</v>
      </c>
      <c r="K6">
        <f>IFERROR(VLOOKUP($D6,'BASE DE DATOS'!$B:$I,7,0),0)</f>
        <v>3228469553</v>
      </c>
      <c r="L6" s="46">
        <f>IFERROR(VLOOKUP($D6,'BASE DE DATOS'!$B:$I,8,0),0)</f>
        <v>0</v>
      </c>
      <c r="M6" s="70">
        <v>186900</v>
      </c>
      <c r="N6" s="46" t="s">
        <v>5</v>
      </c>
      <c r="O6" s="1"/>
      <c r="P6" s="1"/>
      <c r="Q6" s="1"/>
      <c r="R6" s="1"/>
      <c r="S6" s="1"/>
      <c r="T6" s="1"/>
    </row>
    <row r="7" spans="1:34" x14ac:dyDescent="0.25">
      <c r="A7" s="71">
        <v>45717</v>
      </c>
      <c r="B7" s="34">
        <v>3766</v>
      </c>
      <c r="D7" s="46">
        <f>IFERROR(VLOOKUP($E7,'BASE DE DATOS'!$A:$I,2,0)," ")</f>
        <v>66929745</v>
      </c>
      <c r="E7" s="66" t="s">
        <v>283</v>
      </c>
      <c r="F7" s="46" t="str">
        <f>IFERROR(VLOOKUP($D7,'BASE DE DATOS'!$B:$I,2,0),0)</f>
        <v>MARTHA</v>
      </c>
      <c r="G7" s="46">
        <f>IFERROR(VLOOKUP($D7,'BASE DE DATOS'!$B:$I,3,0),0)</f>
        <v>0</v>
      </c>
      <c r="H7" s="46">
        <f>IFERROR(VLOOKUP($D7,'BASE DE DATOS'!$B:$I,4,0),0)</f>
        <v>0</v>
      </c>
      <c r="I7" s="46">
        <f>IFERROR(VLOOKUP($D7,'BASE DE DATOS'!$B:$I,5,0),0)</f>
        <v>0</v>
      </c>
      <c r="J7" s="46" t="str">
        <f>IFERROR(VLOOKUP($D7,'BASE DE DATOS'!$B:$I,6,0),0)</f>
        <v>CL 8 12 10</v>
      </c>
      <c r="K7">
        <f>IFERROR(VLOOKUP($D7,'BASE DE DATOS'!$B:$I,7,0),0)</f>
        <v>3017199935</v>
      </c>
      <c r="L7" s="46">
        <f>IFERROR(VLOOKUP($D7,'BASE DE DATOS'!$B:$I,8,0),0)</f>
        <v>0</v>
      </c>
      <c r="M7" s="70">
        <v>475600</v>
      </c>
      <c r="N7" s="46" t="s">
        <v>5</v>
      </c>
    </row>
    <row r="8" spans="1:34" x14ac:dyDescent="0.25">
      <c r="A8" s="71">
        <v>45717</v>
      </c>
      <c r="B8" s="34">
        <v>0</v>
      </c>
      <c r="D8" s="46">
        <f>IFERROR(VLOOKUP($E8,'BASE DE DATOS'!$A:$I,2,0)," ")</f>
        <v>0</v>
      </c>
      <c r="E8" s="66" t="str">
        <f>'BASE DE DATOS'!$A$174</f>
        <v>LECHUGA</v>
      </c>
      <c r="F8" s="46">
        <f>IFERROR(VLOOKUP($D8,'BASE DE DATOS'!$B:$I,2,0),0)</f>
        <v>0</v>
      </c>
      <c r="G8" s="46">
        <f>IFERROR(VLOOKUP($D8,'BASE DE DATOS'!$B:$I,3,0),0)</f>
        <v>0</v>
      </c>
      <c r="H8" s="46">
        <f>IFERROR(VLOOKUP($D8,'BASE DE DATOS'!$B:$I,4,0),0)</f>
        <v>0</v>
      </c>
      <c r="I8" s="46">
        <f>IFERROR(VLOOKUP($D8,'BASE DE DATOS'!$B:$I,5,0),0)</f>
        <v>0</v>
      </c>
      <c r="J8" s="46">
        <f>IFERROR(VLOOKUP($D8,'BASE DE DATOS'!$B:$I,6,0),0)</f>
        <v>0</v>
      </c>
      <c r="K8">
        <f>IFERROR(VLOOKUP($D8,'BASE DE DATOS'!$B:$I,7,0),0)</f>
        <v>0</v>
      </c>
      <c r="L8" s="46">
        <f>IFERROR(VLOOKUP($D8,'BASE DE DATOS'!$B:$I,8,0),0)</f>
        <v>0</v>
      </c>
      <c r="M8" s="70">
        <v>15400</v>
      </c>
      <c r="N8" s="46" t="s">
        <v>5</v>
      </c>
      <c r="O8" s="1"/>
      <c r="P8" s="1"/>
      <c r="Q8" s="1"/>
      <c r="R8" s="1"/>
      <c r="S8" s="1"/>
      <c r="T8" s="1"/>
    </row>
    <row r="9" spans="1:34" x14ac:dyDescent="0.25">
      <c r="A9" s="71">
        <v>45717</v>
      </c>
      <c r="B9" s="34">
        <v>0</v>
      </c>
      <c r="D9" s="46">
        <f>IFERROR(VLOOKUP($E9,'BASE DE DATOS'!$A:$I,2,0)," ")</f>
        <v>0</v>
      </c>
      <c r="E9" s="66" t="str">
        <f>'BASE DE DATOS'!$A$58</f>
        <v>gastos varios caja/ descuadres</v>
      </c>
      <c r="F9" s="46">
        <f>IFERROR(VLOOKUP($D9,'BASE DE DATOS'!$B:$I,2,0),0)</f>
        <v>0</v>
      </c>
      <c r="G9" s="46">
        <f>IFERROR(VLOOKUP($D9,'BASE DE DATOS'!$B:$I,3,0),0)</f>
        <v>0</v>
      </c>
      <c r="H9" s="46">
        <f>IFERROR(VLOOKUP($D9,'BASE DE DATOS'!$B:$I,4,0),0)</f>
        <v>0</v>
      </c>
      <c r="I9" s="46">
        <f>IFERROR(VLOOKUP($D9,'BASE DE DATOS'!$B:$I,5,0),0)</f>
        <v>0</v>
      </c>
      <c r="J9" s="46">
        <f>IFERROR(VLOOKUP($D9,'BASE DE DATOS'!$B:$I,6,0),0)</f>
        <v>0</v>
      </c>
      <c r="K9">
        <f>IFERROR(VLOOKUP($D9,'BASE DE DATOS'!$B:$I,7,0),0)</f>
        <v>0</v>
      </c>
      <c r="L9" s="46">
        <f>IFERROR(VLOOKUP($D9,'BASE DE DATOS'!$B:$I,8,0),0)</f>
        <v>0</v>
      </c>
      <c r="M9" s="70">
        <v>84000</v>
      </c>
      <c r="N9" s="46" t="s">
        <v>5</v>
      </c>
    </row>
    <row r="10" spans="1:34" x14ac:dyDescent="0.25">
      <c r="A10" s="71">
        <v>45718</v>
      </c>
      <c r="B10" s="34">
        <v>0</v>
      </c>
      <c r="D10" s="46">
        <f>IFERROR(VLOOKUP($E10,'BASE DE DATOS'!$A:$I,2,0)," ")</f>
        <v>0</v>
      </c>
      <c r="E10" s="66" t="str">
        <f>'BASE DE DATOS'!$A$176</f>
        <v xml:space="preserve">MERCAFRUVER LA ECONOMIA demi pradera </v>
      </c>
      <c r="F10" s="46">
        <f>IFERROR(VLOOKUP($D10,'BASE DE DATOS'!$B:$I,2,0),0)</f>
        <v>0</v>
      </c>
      <c r="G10" s="46">
        <f>IFERROR(VLOOKUP($D10,'BASE DE DATOS'!$B:$I,3,0),0)</f>
        <v>0</v>
      </c>
      <c r="H10" s="46">
        <f>IFERROR(VLOOKUP($D10,'BASE DE DATOS'!$B:$I,4,0),0)</f>
        <v>0</v>
      </c>
      <c r="I10" s="46">
        <f>IFERROR(VLOOKUP($D10,'BASE DE DATOS'!$B:$I,5,0),0)</f>
        <v>0</v>
      </c>
      <c r="J10" s="46">
        <f>IFERROR(VLOOKUP($D10,'BASE DE DATOS'!$B:$I,6,0),0)</f>
        <v>0</v>
      </c>
      <c r="K10">
        <f>IFERROR(VLOOKUP($D10,'BASE DE DATOS'!$B:$I,7,0),0)</f>
        <v>0</v>
      </c>
      <c r="L10" s="46">
        <f>IFERROR(VLOOKUP($D10,'BASE DE DATOS'!$B:$I,8,0),0)</f>
        <v>0</v>
      </c>
      <c r="M10" s="70">
        <v>56000</v>
      </c>
      <c r="N10" s="46" t="s">
        <v>5</v>
      </c>
    </row>
    <row r="11" spans="1:34" x14ac:dyDescent="0.25">
      <c r="A11" s="71">
        <v>45718</v>
      </c>
      <c r="B11" s="34">
        <v>0</v>
      </c>
      <c r="D11" s="46">
        <f>IFERROR(VLOOKUP($E11,'BASE DE DATOS'!$A:$I,2,0)," ")</f>
        <v>0</v>
      </c>
      <c r="E11" s="66" t="s">
        <v>23</v>
      </c>
      <c r="F11" s="46">
        <f>IFERROR(VLOOKUP($D11,'BASE DE DATOS'!$B:$I,2,0),0)</f>
        <v>0</v>
      </c>
      <c r="G11" s="46">
        <f>IFERROR(VLOOKUP($D11,'BASE DE DATOS'!$B:$I,3,0),0)</f>
        <v>0</v>
      </c>
      <c r="H11" s="46">
        <f>IFERROR(VLOOKUP($D11,'BASE DE DATOS'!$B:$I,4,0),0)</f>
        <v>0</v>
      </c>
      <c r="I11" s="46">
        <f>IFERROR(VLOOKUP($D11,'BASE DE DATOS'!$B:$I,5,0),0)</f>
        <v>0</v>
      </c>
      <c r="J11" s="46">
        <f>IFERROR(VLOOKUP($D11,'BASE DE DATOS'!$B:$I,6,0),0)</f>
        <v>0</v>
      </c>
      <c r="K11">
        <f>IFERROR(VLOOKUP($D11,'BASE DE DATOS'!$B:$I,7,0),0)</f>
        <v>0</v>
      </c>
      <c r="L11" s="46">
        <f>IFERROR(VLOOKUP($D11,'BASE DE DATOS'!$B:$I,8,0),0)</f>
        <v>0</v>
      </c>
      <c r="M11" s="70">
        <v>3000</v>
      </c>
      <c r="N11" s="46" t="s">
        <v>9</v>
      </c>
    </row>
    <row r="12" spans="1:34" x14ac:dyDescent="0.25">
      <c r="A12" s="71">
        <v>45717</v>
      </c>
      <c r="B12" s="34">
        <v>18</v>
      </c>
      <c r="D12" s="46">
        <f>IFERROR(VLOOKUP($E12,'BASE DE DATOS'!$A:$I,2,0)," ")</f>
        <v>14695845</v>
      </c>
      <c r="E12" s="66" t="str">
        <f>'BASE DE DATOS'!$A$93</f>
        <v>MERCAFRUVER EL MAYORISTA</v>
      </c>
      <c r="F12" s="46" t="str">
        <f>IFERROR(VLOOKUP($D12,'BASE DE DATOS'!$B:$I,2,0),0)</f>
        <v>EDELMIRA</v>
      </c>
      <c r="G12" s="46">
        <f>IFERROR(VLOOKUP($D12,'BASE DE DATOS'!$B:$I,3,0),0)</f>
        <v>0</v>
      </c>
      <c r="H12" s="46" t="str">
        <f>IFERROR(VLOOKUP($D12,'BASE DE DATOS'!$B:$I,4,0),0)</f>
        <v>MORALES</v>
      </c>
      <c r="I12" s="46" t="str">
        <f>IFERROR(VLOOKUP($D12,'BASE DE DATOS'!$B:$I,5,0),0)</f>
        <v>ACOSTA</v>
      </c>
      <c r="J12" s="46" t="str">
        <f>IFERROR(VLOOKUP($D12,'BASE DE DATOS'!$B:$I,6,0),0)</f>
        <v>ST 1 MZ 19 VILLAMARINA</v>
      </c>
      <c r="K12">
        <f>IFERROR(VLOOKUP($D12,'BASE DE DATOS'!$B:$I,7,0),0)</f>
        <v>3215223609</v>
      </c>
      <c r="L12" s="46">
        <f>IFERROR(VLOOKUP($D12,'BASE DE DATOS'!$B:$I,8,0),0)</f>
        <v>0</v>
      </c>
      <c r="M12" s="70">
        <v>110000</v>
      </c>
      <c r="N12" s="46" t="s">
        <v>5</v>
      </c>
    </row>
    <row r="13" spans="1:34" x14ac:dyDescent="0.25">
      <c r="A13" s="71">
        <v>45721</v>
      </c>
      <c r="B13" s="34">
        <v>9181514</v>
      </c>
      <c r="D13" s="46">
        <f>IFERROR(VLOOKUP($E13,'BASE DE DATOS'!$A:$I,2,0)," ")</f>
        <v>800249860</v>
      </c>
      <c r="E13" s="1" t="str">
        <f>'BASE DE DATOS'!$A$13</f>
        <v>CELSIA COLOMBIA SA ESP</v>
      </c>
      <c r="F13" s="46" t="str">
        <f>IFERROR(VLOOKUP($D13,'BASE DE DATOS'!$B:$I,2,0),0)</f>
        <v>NO TIENE</v>
      </c>
      <c r="G13" s="46" t="str">
        <f>IFERROR(VLOOKUP($D13,'BASE DE DATOS'!$B:$I,3,0),0)</f>
        <v>NO TIENE</v>
      </c>
      <c r="H13" s="46" t="str">
        <f>IFERROR(VLOOKUP($D13,'BASE DE DATOS'!$B:$I,4,0),0)</f>
        <v>NO TIENE</v>
      </c>
      <c r="I13" s="46" t="str">
        <f>IFERROR(VLOOKUP($D13,'BASE DE DATOS'!$B:$I,5,0),0)</f>
        <v>NO TIENE</v>
      </c>
      <c r="J13" s="46" t="str">
        <f>IFERROR(VLOOKUP($D13,'BASE DE DATOS'!$B:$I,6,0),0)</f>
        <v>CL 15 29 30</v>
      </c>
      <c r="K13">
        <f>IFERROR(VLOOKUP($D13,'BASE DE DATOS'!$B:$I,7,0),0)</f>
        <v>3210000</v>
      </c>
      <c r="L13" s="46" t="str">
        <f>IFERROR(VLOOKUP($D13,'BASE DE DATOS'!$B:$I,8,0),0)</f>
        <v>servicioalcliente@celsia.com</v>
      </c>
      <c r="M13" s="70">
        <v>508170</v>
      </c>
      <c r="N13" s="46" t="s">
        <v>46</v>
      </c>
    </row>
    <row r="14" spans="1:34" x14ac:dyDescent="0.25">
      <c r="A14" s="71">
        <v>45720</v>
      </c>
      <c r="B14" s="34">
        <v>0</v>
      </c>
      <c r="D14" s="46">
        <f>IFERROR(VLOOKUP($E14,'BASE DE DATOS'!$A:$I,2,0)," ")</f>
        <v>4712068</v>
      </c>
      <c r="E14" s="66" t="str">
        <f>'BASE DE DATOS'!$A$59</f>
        <v xml:space="preserve">GERMAN  TOVAR </v>
      </c>
      <c r="F14" s="46" t="str">
        <f>IFERROR(VLOOKUP($D14,'BASE DE DATOS'!$B:$I,2,0),0)</f>
        <v>GERMAN</v>
      </c>
      <c r="G14" s="46">
        <f>IFERROR(VLOOKUP($D14,'BASE DE DATOS'!$B:$I,3,0),0)</f>
        <v>0</v>
      </c>
      <c r="H14" s="46" t="str">
        <f>IFERROR(VLOOKUP($D14,'BASE DE DATOS'!$B:$I,4,0),0)</f>
        <v>TOVAR</v>
      </c>
      <c r="I14" s="46">
        <f>IFERROR(VLOOKUP($D14,'BASE DE DATOS'!$B:$I,5,0),0)</f>
        <v>0</v>
      </c>
      <c r="J14" s="46" t="str">
        <f>IFERROR(VLOOKUP($D14,'BASE DE DATOS'!$B:$I,6,0),0)</f>
        <v>CL 6 15 03</v>
      </c>
      <c r="K14">
        <f>IFERROR(VLOOKUP($D14,'BASE DE DATOS'!$B:$I,7,0),0)</f>
        <v>3168117423</v>
      </c>
      <c r="L14" s="46">
        <f>IFERROR(VLOOKUP($D14,'BASE DE DATOS'!$B:$I,8,0),0)</f>
        <v>0</v>
      </c>
      <c r="M14" s="70">
        <v>600000</v>
      </c>
      <c r="N14" s="46" t="s">
        <v>46</v>
      </c>
    </row>
    <row r="15" spans="1:34" x14ac:dyDescent="0.25">
      <c r="A15" s="71">
        <v>45720</v>
      </c>
      <c r="B15" s="34">
        <v>0</v>
      </c>
      <c r="D15" s="46">
        <f>IFERROR(VLOOKUP($E15,'BASE DE DATOS'!$A:$I,2,0)," ")</f>
        <v>4712068</v>
      </c>
      <c r="E15" s="66" t="str">
        <f>'BASE DE DATOS'!$A$59</f>
        <v xml:space="preserve">GERMAN  TOVAR </v>
      </c>
      <c r="F15" s="46" t="str">
        <f>IFERROR(VLOOKUP($D15,'BASE DE DATOS'!$B:$I,2,0),0)</f>
        <v>GERMAN</v>
      </c>
      <c r="G15" s="46">
        <f>IFERROR(VLOOKUP($D15,'BASE DE DATOS'!$B:$I,3,0),0)</f>
        <v>0</v>
      </c>
      <c r="H15" s="46" t="str">
        <f>IFERROR(VLOOKUP($D15,'BASE DE DATOS'!$B:$I,4,0),0)</f>
        <v>TOVAR</v>
      </c>
      <c r="I15" s="46">
        <f>IFERROR(VLOOKUP($D15,'BASE DE DATOS'!$B:$I,5,0),0)</f>
        <v>0</v>
      </c>
      <c r="J15" s="46" t="str">
        <f>IFERROR(VLOOKUP($D15,'BASE DE DATOS'!$B:$I,6,0),0)</f>
        <v>CL 6 15 03</v>
      </c>
      <c r="K15">
        <f>IFERROR(VLOOKUP($D15,'BASE DE DATOS'!$B:$I,7,0),0)</f>
        <v>3168117423</v>
      </c>
      <c r="L15" s="46">
        <f>IFERROR(VLOOKUP($D15,'BASE DE DATOS'!$B:$I,8,0),0)</f>
        <v>0</v>
      </c>
      <c r="M15" s="70">
        <v>600000</v>
      </c>
      <c r="N15" s="46" t="s">
        <v>46</v>
      </c>
    </row>
    <row r="16" spans="1:34" x14ac:dyDescent="0.25">
      <c r="A16" s="71">
        <v>45721</v>
      </c>
      <c r="B16" s="34">
        <v>4105</v>
      </c>
      <c r="D16" s="46">
        <f>IFERROR(VLOOKUP($E16,'BASE DE DATOS'!$A:$I,2,0)," ")</f>
        <v>66929745</v>
      </c>
      <c r="E16" s="66" t="s">
        <v>283</v>
      </c>
      <c r="F16" s="46" t="str">
        <f>IFERROR(VLOOKUP($D16,'BASE DE DATOS'!$B:$I,2,0),0)</f>
        <v>MARTHA</v>
      </c>
      <c r="G16" s="46">
        <f>IFERROR(VLOOKUP($D16,'BASE DE DATOS'!$B:$I,3,0),0)</f>
        <v>0</v>
      </c>
      <c r="H16" s="46">
        <f>IFERROR(VLOOKUP($D16,'BASE DE DATOS'!$B:$I,4,0),0)</f>
        <v>0</v>
      </c>
      <c r="I16" s="46">
        <f>IFERROR(VLOOKUP($D16,'BASE DE DATOS'!$B:$I,5,0),0)</f>
        <v>0</v>
      </c>
      <c r="J16" s="46" t="str">
        <f>IFERROR(VLOOKUP($D16,'BASE DE DATOS'!$B:$I,6,0),0)</f>
        <v>CL 8 12 10</v>
      </c>
      <c r="K16">
        <f>IFERROR(VLOOKUP($D16,'BASE DE DATOS'!$B:$I,7,0),0)</f>
        <v>3017199935</v>
      </c>
      <c r="L16" s="46">
        <f>IFERROR(VLOOKUP($D16,'BASE DE DATOS'!$B:$I,8,0),0)</f>
        <v>0</v>
      </c>
      <c r="M16" s="70">
        <v>474000</v>
      </c>
      <c r="N16" s="46" t="s">
        <v>5</v>
      </c>
    </row>
    <row r="17" spans="1:20" x14ac:dyDescent="0.25">
      <c r="A17" s="71">
        <v>45722</v>
      </c>
      <c r="B17" s="34">
        <v>290564067</v>
      </c>
      <c r="D17" s="46">
        <f>IFERROR(VLOOKUP($E17,'BASE DE DATOS'!$A:$I,2,0)," ")</f>
        <v>800153993</v>
      </c>
      <c r="E17" s="66" t="str">
        <f>'BASE DE DATOS'!$A$21</f>
        <v>COMCEL SA</v>
      </c>
      <c r="F17" s="46" t="str">
        <f>IFERROR(VLOOKUP($D17,'BASE DE DATOS'!$B:$I,2,0),0)</f>
        <v>NO TIENE</v>
      </c>
      <c r="G17" s="46" t="str">
        <f>IFERROR(VLOOKUP($D17,'BASE DE DATOS'!$B:$I,3,0),0)</f>
        <v>NO TIENE</v>
      </c>
      <c r="H17" s="46" t="str">
        <f>IFERROR(VLOOKUP($D17,'BASE DE DATOS'!$B:$I,4,0),0)</f>
        <v>NO TIENE</v>
      </c>
      <c r="I17" s="46" t="str">
        <f>IFERROR(VLOOKUP($D17,'BASE DE DATOS'!$B:$I,5,0),0)</f>
        <v>NO TIENE</v>
      </c>
      <c r="J17" s="46">
        <f>IFERROR(VLOOKUP($D17,'BASE DE DATOS'!$B:$I,6,0),0)</f>
        <v>0</v>
      </c>
      <c r="K17">
        <f>IFERROR(VLOOKUP($D17,'BASE DE DATOS'!$B:$I,7,0),0)</f>
        <v>0</v>
      </c>
      <c r="L17" s="46">
        <f>IFERROR(VLOOKUP($D17,'BASE DE DATOS'!$B:$I,8,0),0)</f>
        <v>0</v>
      </c>
      <c r="M17" s="70">
        <v>428999</v>
      </c>
      <c r="N17" s="46" t="s">
        <v>9</v>
      </c>
    </row>
    <row r="18" spans="1:20" x14ac:dyDescent="0.25">
      <c r="A18" s="71">
        <v>45721</v>
      </c>
      <c r="B18" s="34">
        <v>12</v>
      </c>
      <c r="D18" s="46">
        <f>IFERROR(VLOOKUP($E18,'BASE DE DATOS'!$A:$I,2,0)," ")</f>
        <v>14695845</v>
      </c>
      <c r="E18" s="66" t="s">
        <v>224</v>
      </c>
      <c r="F18" s="46" t="str">
        <f>IFERROR(VLOOKUP($D18,'BASE DE DATOS'!$B:$I,2,0),0)</f>
        <v>EDELMIRA</v>
      </c>
      <c r="G18" s="46">
        <f>IFERROR(VLOOKUP($D18,'BASE DE DATOS'!$B:$I,3,0),0)</f>
        <v>0</v>
      </c>
      <c r="H18" s="46" t="str">
        <f>IFERROR(VLOOKUP($D18,'BASE DE DATOS'!$B:$I,4,0),0)</f>
        <v>MORALES</v>
      </c>
      <c r="I18" s="46" t="str">
        <f>IFERROR(VLOOKUP($D18,'BASE DE DATOS'!$B:$I,5,0),0)</f>
        <v>ACOSTA</v>
      </c>
      <c r="J18" s="46" t="str">
        <f>IFERROR(VLOOKUP($D18,'BASE DE DATOS'!$B:$I,6,0),0)</f>
        <v>ST 1 MZ 19 VILLAMARINA</v>
      </c>
      <c r="K18">
        <f>IFERROR(VLOOKUP($D18,'BASE DE DATOS'!$B:$I,7,0),0)</f>
        <v>3215223609</v>
      </c>
      <c r="L18" s="46">
        <f>IFERROR(VLOOKUP($D18,'BASE DE DATOS'!$B:$I,8,0),0)</f>
        <v>0</v>
      </c>
      <c r="M18" s="70">
        <v>120100</v>
      </c>
      <c r="N18" s="46" t="s">
        <v>5</v>
      </c>
    </row>
    <row r="19" spans="1:20" x14ac:dyDescent="0.25">
      <c r="A19" s="71">
        <v>45721</v>
      </c>
      <c r="B19" s="34">
        <v>48671</v>
      </c>
      <c r="D19" s="46">
        <f>IFERROR(VLOOKUP($E19,'BASE DE DATOS'!$A:$I,2,0)," ")</f>
        <v>9009432434</v>
      </c>
      <c r="E19" s="66" t="str">
        <f>'BASE DE DATOS'!$A$153</f>
        <v xml:space="preserve">DOLLARCITY </v>
      </c>
      <c r="F19" s="46">
        <f>IFERROR(VLOOKUP($D19,'BASE DE DATOS'!$B:$I,2,0),0)</f>
        <v>0</v>
      </c>
      <c r="G19" s="46">
        <f>IFERROR(VLOOKUP($D19,'BASE DE DATOS'!$B:$I,3,0),0)</f>
        <v>0</v>
      </c>
      <c r="H19" s="46">
        <f>IFERROR(VLOOKUP($D19,'BASE DE DATOS'!$B:$I,4,0),0)</f>
        <v>0</v>
      </c>
      <c r="I19" s="46">
        <f>IFERROR(VLOOKUP($D19,'BASE DE DATOS'!$B:$I,5,0),0)</f>
        <v>0</v>
      </c>
      <c r="J19" s="46" t="str">
        <f>IFERROR(VLOOKUP($D19,'BASE DE DATOS'!$B:$I,6,0),0)</f>
        <v>AV 3 57 N 30</v>
      </c>
      <c r="K19">
        <f>IFERROR(VLOOKUP($D19,'BASE DE DATOS'!$B:$I,7,0),0)</f>
        <v>0</v>
      </c>
      <c r="L19" s="46">
        <f>IFERROR(VLOOKUP($D19,'BASE DE DATOS'!$B:$I,8,0),0)</f>
        <v>0</v>
      </c>
      <c r="M19" s="70">
        <v>143500</v>
      </c>
      <c r="N19" s="46" t="s">
        <v>9</v>
      </c>
    </row>
    <row r="20" spans="1:20" x14ac:dyDescent="0.25">
      <c r="A20" s="71">
        <v>45721</v>
      </c>
      <c r="B20" s="34">
        <v>141992</v>
      </c>
      <c r="D20" s="46">
        <f>IFERROR(VLOOKUP($E20,'BASE DE DATOS'!$A:$I,2,0)," ")</f>
        <v>901158397</v>
      </c>
      <c r="E20" s="66" t="str">
        <f>'BASE DE DATOS'!$A$113</f>
        <v>QUESOS Y QUESOS LA CALIDAD SAS</v>
      </c>
      <c r="F20" s="46">
        <f>IFERROR(VLOOKUP($D20,'BASE DE DATOS'!$B:$I,2,0),0)</f>
        <v>0</v>
      </c>
      <c r="G20" s="46">
        <f>IFERROR(VLOOKUP($D20,'BASE DE DATOS'!$B:$I,3,0),0)</f>
        <v>0</v>
      </c>
      <c r="H20" s="46">
        <f>IFERROR(VLOOKUP($D20,'BASE DE DATOS'!$B:$I,4,0),0)</f>
        <v>0</v>
      </c>
      <c r="I20" s="46">
        <f>IFERROR(VLOOKUP($D20,'BASE DE DATOS'!$B:$I,5,0),0)</f>
        <v>0</v>
      </c>
      <c r="J20" s="46" t="str">
        <f>IFERROR(VLOOKUP($D20,'BASE DE DATOS'!$B:$I,6,0),0)</f>
        <v>CR 17 33 D 36</v>
      </c>
      <c r="K20">
        <f>IFERROR(VLOOKUP($D20,'BASE DE DATOS'!$B:$I,7,0),0)</f>
        <v>3108368823</v>
      </c>
      <c r="L20" s="46">
        <f>IFERROR(VLOOKUP($D20,'BASE DE DATOS'!$B:$I,8,0),0)</f>
        <v>0</v>
      </c>
      <c r="M20" s="70">
        <v>408000</v>
      </c>
      <c r="N20" s="46" t="s">
        <v>5</v>
      </c>
    </row>
    <row r="21" spans="1:20" x14ac:dyDescent="0.25">
      <c r="A21" s="71">
        <v>45723</v>
      </c>
      <c r="B21" s="34">
        <v>63279</v>
      </c>
      <c r="D21" s="46">
        <f>IFERROR(VLOOKUP($E21,'BASE DE DATOS'!$A:$I,2,0)," ")</f>
        <v>66931449</v>
      </c>
      <c r="E21" s="66" t="str">
        <f>'BASE DE DATOS'!$A$112</f>
        <v>QUESERA Y SALSAMENTARIA LA MAXIMA</v>
      </c>
      <c r="F21" s="46" t="str">
        <f>IFERROR(VLOOKUP($D21,'BASE DE DATOS'!$B:$I,2,0),0)</f>
        <v>NO TIENE</v>
      </c>
      <c r="G21" s="46" t="str">
        <f>IFERROR(VLOOKUP($D21,'BASE DE DATOS'!$B:$I,3,0),0)</f>
        <v>NO TIENE</v>
      </c>
      <c r="H21" s="46" t="str">
        <f>IFERROR(VLOOKUP($D21,'BASE DE DATOS'!$B:$I,4,0),0)</f>
        <v>NO TIENE</v>
      </c>
      <c r="I21" s="46" t="str">
        <f>IFERROR(VLOOKUP($D21,'BASE DE DATOS'!$B:$I,5,0),0)</f>
        <v>NO TIENE</v>
      </c>
      <c r="J21" s="46" t="str">
        <f>IFERROR(VLOOKUP($D21,'BASE DE DATOS'!$B:$I,6,0),0)</f>
        <v>CR 12 6 33</v>
      </c>
      <c r="K21">
        <f>IFERROR(VLOOKUP($D21,'BASE DE DATOS'!$B:$I,7,0),0)</f>
        <v>2672346</v>
      </c>
      <c r="L21" s="46" t="str">
        <f>IFERROR(VLOOKUP($D21,'BASE DE DATOS'!$B:$I,8,0),0)</f>
        <v>NO TIENE</v>
      </c>
      <c r="M21" s="70">
        <v>253700</v>
      </c>
      <c r="N21" s="46" t="s">
        <v>9</v>
      </c>
      <c r="O21" s="1"/>
      <c r="P21" s="1"/>
      <c r="Q21" s="1"/>
      <c r="R21" s="1"/>
      <c r="S21" s="1"/>
      <c r="T21" s="1"/>
    </row>
    <row r="22" spans="1:20" x14ac:dyDescent="0.25">
      <c r="A22" s="71">
        <v>45722</v>
      </c>
      <c r="B22" s="34">
        <v>13053</v>
      </c>
      <c r="D22" s="46">
        <f>IFERROR(VLOOKUP($E22,'BASE DE DATOS'!$A:$I,2,0)," ")</f>
        <v>66886718</v>
      </c>
      <c r="E22" s="66" t="str">
        <f>'BASE DE DATOS'!$A$107</f>
        <v>PAPELERIA JUVENIL</v>
      </c>
      <c r="F22" s="46" t="str">
        <f>IFERROR(VLOOKUP($D22,'BASE DE DATOS'!$B:$I,2,0),0)</f>
        <v xml:space="preserve">MARIA </v>
      </c>
      <c r="G22" s="46" t="str">
        <f>IFERROR(VLOOKUP($D22,'BASE DE DATOS'!$B:$I,3,0),0)</f>
        <v>ISABEL</v>
      </c>
      <c r="H22" s="46" t="str">
        <f>IFERROR(VLOOKUP($D22,'BASE DE DATOS'!$B:$I,4,0),0)</f>
        <v>GIRON</v>
      </c>
      <c r="I22" s="46" t="str">
        <f>IFERROR(VLOOKUP($D22,'BASE DE DATOS'!$B:$I,5,0),0)</f>
        <v>CERON</v>
      </c>
      <c r="J22" s="46" t="str">
        <f>IFERROR(VLOOKUP($D22,'BASE DE DATOS'!$B:$I,6,0),0)</f>
        <v>CL 6 9 52</v>
      </c>
      <c r="K22">
        <f>IFERROR(VLOOKUP($D22,'BASE DE DATOS'!$B:$I,7,0),0)</f>
        <v>2673706</v>
      </c>
      <c r="L22" s="46" t="str">
        <f>IFERROR(VLOOKUP($D22,'BASE DE DATOS'!$B:$I,8,0),0)</f>
        <v>papeleriajuvenil@gmail.com</v>
      </c>
      <c r="M22" s="70">
        <v>10600</v>
      </c>
      <c r="N22" s="46" t="s">
        <v>9</v>
      </c>
    </row>
    <row r="23" spans="1:20" x14ac:dyDescent="0.25">
      <c r="A23" s="71">
        <v>45723</v>
      </c>
      <c r="B23" s="34">
        <v>0</v>
      </c>
      <c r="D23" s="46">
        <f>IFERROR(VLOOKUP($E23,'BASE DE DATOS'!$A:$I,2,0)," ")</f>
        <v>66931449</v>
      </c>
      <c r="E23" s="66" t="s">
        <v>10</v>
      </c>
      <c r="F23" s="46" t="str">
        <f>IFERROR(VLOOKUP($D23,'BASE DE DATOS'!$B:$I,2,0),0)</f>
        <v>NO TIENE</v>
      </c>
      <c r="G23" s="46" t="str">
        <f>IFERROR(VLOOKUP($D23,'BASE DE DATOS'!$B:$I,3,0),0)</f>
        <v>NO TIENE</v>
      </c>
      <c r="H23" s="46" t="str">
        <f>IFERROR(VLOOKUP($D23,'BASE DE DATOS'!$B:$I,4,0),0)</f>
        <v>NO TIENE</v>
      </c>
      <c r="I23" s="46" t="str">
        <f>IFERROR(VLOOKUP($D23,'BASE DE DATOS'!$B:$I,5,0),0)</f>
        <v>NO TIENE</v>
      </c>
      <c r="J23" s="46" t="str">
        <f>IFERROR(VLOOKUP($D23,'BASE DE DATOS'!$B:$I,6,0),0)</f>
        <v>CR 12 6 33</v>
      </c>
      <c r="K23">
        <f>IFERROR(VLOOKUP($D23,'BASE DE DATOS'!$B:$I,7,0),0)</f>
        <v>2672346</v>
      </c>
      <c r="L23" s="46" t="str">
        <f>IFERROR(VLOOKUP($D23,'BASE DE DATOS'!$B:$I,8,0),0)</f>
        <v>NO TIENE</v>
      </c>
      <c r="M23" s="70">
        <v>55000</v>
      </c>
      <c r="N23" s="46" t="s">
        <v>9</v>
      </c>
    </row>
    <row r="24" spans="1:20" x14ac:dyDescent="0.25">
      <c r="A24" s="71">
        <v>45723</v>
      </c>
      <c r="B24" s="34">
        <v>13099</v>
      </c>
      <c r="D24" s="46">
        <f>IFERROR(VLOOKUP($E24,'BASE DE DATOS'!$A:$I,2,0)," ")</f>
        <v>66886718</v>
      </c>
      <c r="E24" s="66" t="s">
        <v>41</v>
      </c>
      <c r="F24" s="46" t="str">
        <f>IFERROR(VLOOKUP($D24,'BASE DE DATOS'!$B:$I,2,0),0)</f>
        <v xml:space="preserve">MARIA </v>
      </c>
      <c r="G24" s="46" t="str">
        <f>IFERROR(VLOOKUP($D24,'BASE DE DATOS'!$B:$I,3,0),0)</f>
        <v>ISABEL</v>
      </c>
      <c r="H24" s="46" t="str">
        <f>IFERROR(VLOOKUP($D24,'BASE DE DATOS'!$B:$I,4,0),0)</f>
        <v>GIRON</v>
      </c>
      <c r="I24" s="46" t="str">
        <f>IFERROR(VLOOKUP($D24,'BASE DE DATOS'!$B:$I,5,0),0)</f>
        <v>CERON</v>
      </c>
      <c r="J24" s="46" t="str">
        <f>IFERROR(VLOOKUP($D24,'BASE DE DATOS'!$B:$I,6,0),0)</f>
        <v>CL 6 9 52</v>
      </c>
      <c r="K24">
        <f>IFERROR(VLOOKUP($D24,'BASE DE DATOS'!$B:$I,7,0),0)</f>
        <v>2673706</v>
      </c>
      <c r="L24" s="46" t="str">
        <f>IFERROR(VLOOKUP($D24,'BASE DE DATOS'!$B:$I,8,0),0)</f>
        <v>papeleriajuvenil@gmail.com</v>
      </c>
      <c r="M24" s="70">
        <v>12000</v>
      </c>
      <c r="N24" s="46" t="s">
        <v>9</v>
      </c>
    </row>
    <row r="25" spans="1:20" x14ac:dyDescent="0.25">
      <c r="A25" s="71">
        <v>45722</v>
      </c>
      <c r="B25" s="34">
        <v>0</v>
      </c>
      <c r="D25" s="46">
        <f>IFERROR(VLOOKUP($E25,'BASE DE DATOS'!$A:$I,2,0)," ")</f>
        <v>0</v>
      </c>
      <c r="E25" s="66" t="str">
        <f>'BASE DE DATOS'!$A$8</f>
        <v>BOLSAS PLASTICAS</v>
      </c>
      <c r="F25" s="46">
        <f>IFERROR(VLOOKUP($D25,'BASE DE DATOS'!$B:$I,2,0),0)</f>
        <v>0</v>
      </c>
      <c r="G25" s="46">
        <f>IFERROR(VLOOKUP($D25,'BASE DE DATOS'!$B:$I,3,0),0)</f>
        <v>0</v>
      </c>
      <c r="H25" s="46">
        <f>IFERROR(VLOOKUP($D25,'BASE DE DATOS'!$B:$I,4,0),0)</f>
        <v>0</v>
      </c>
      <c r="I25" s="46">
        <f>IFERROR(VLOOKUP($D25,'BASE DE DATOS'!$B:$I,5,0),0)</f>
        <v>0</v>
      </c>
      <c r="J25" s="46">
        <f>IFERROR(VLOOKUP($D25,'BASE DE DATOS'!$B:$I,6,0),0)</f>
        <v>0</v>
      </c>
      <c r="K25">
        <f>IFERROR(VLOOKUP($D25,'BASE DE DATOS'!$B:$I,7,0),0)</f>
        <v>0</v>
      </c>
      <c r="L25" s="46">
        <f>IFERROR(VLOOKUP($D25,'BASE DE DATOS'!$B:$I,8,0),0)</f>
        <v>0</v>
      </c>
      <c r="M25" s="70">
        <v>30000</v>
      </c>
      <c r="N25" s="46" t="s">
        <v>9</v>
      </c>
      <c r="O25" s="1"/>
      <c r="P25" s="1"/>
      <c r="Q25" s="1"/>
      <c r="R25" s="1"/>
      <c r="S25" s="1"/>
      <c r="T25" s="1"/>
    </row>
    <row r="26" spans="1:20" x14ac:dyDescent="0.25">
      <c r="A26" s="71">
        <v>45722</v>
      </c>
      <c r="B26" s="34">
        <v>0</v>
      </c>
      <c r="D26" s="46">
        <f>IFERROR(VLOOKUP($E26,'BASE DE DATOS'!$A:$I,2,0)," ")</f>
        <v>66929745</v>
      </c>
      <c r="E26" s="66" t="s">
        <v>283</v>
      </c>
      <c r="F26" s="46" t="str">
        <f>IFERROR(VLOOKUP($D26,'BASE DE DATOS'!$B:$I,2,0),0)</f>
        <v>MARTHA</v>
      </c>
      <c r="G26" s="46">
        <f>IFERROR(VLOOKUP($D26,'BASE DE DATOS'!$B:$I,3,0),0)</f>
        <v>0</v>
      </c>
      <c r="H26" s="46">
        <f>IFERROR(VLOOKUP($D26,'BASE DE DATOS'!$B:$I,4,0),0)</f>
        <v>0</v>
      </c>
      <c r="I26" s="46">
        <f>IFERROR(VLOOKUP($D26,'BASE DE DATOS'!$B:$I,5,0),0)</f>
        <v>0</v>
      </c>
      <c r="J26" s="46" t="str">
        <f>IFERROR(VLOOKUP($D26,'BASE DE DATOS'!$B:$I,6,0),0)</f>
        <v>CL 8 12 10</v>
      </c>
      <c r="K26">
        <f>IFERROR(VLOOKUP($D26,'BASE DE DATOS'!$B:$I,7,0),0)</f>
        <v>3017199935</v>
      </c>
      <c r="L26" s="46">
        <f>IFERROR(VLOOKUP($D26,'BASE DE DATOS'!$B:$I,8,0),0)</f>
        <v>0</v>
      </c>
      <c r="M26" s="70">
        <v>748000</v>
      </c>
      <c r="N26" s="46" t="s">
        <v>5</v>
      </c>
    </row>
    <row r="27" spans="1:20" x14ac:dyDescent="0.25">
      <c r="A27" s="71">
        <v>45723</v>
      </c>
      <c r="B27" s="34">
        <v>4258</v>
      </c>
      <c r="D27" s="46">
        <f>IFERROR(VLOOKUP($E27,'BASE DE DATOS'!$A:$I,2,0)," ")</f>
        <v>66929745</v>
      </c>
      <c r="E27" s="66" t="s">
        <v>283</v>
      </c>
      <c r="F27" s="46" t="str">
        <f>IFERROR(VLOOKUP($D27,'BASE DE DATOS'!$B:$I,2,0),0)</f>
        <v>MARTHA</v>
      </c>
      <c r="G27" s="46">
        <f>IFERROR(VLOOKUP($D27,'BASE DE DATOS'!$B:$I,3,0),0)</f>
        <v>0</v>
      </c>
      <c r="H27" s="46">
        <f>IFERROR(VLOOKUP($D27,'BASE DE DATOS'!$B:$I,4,0),0)</f>
        <v>0</v>
      </c>
      <c r="I27" s="46">
        <f>IFERROR(VLOOKUP($D27,'BASE DE DATOS'!$B:$I,5,0),0)</f>
        <v>0</v>
      </c>
      <c r="J27" s="46" t="str">
        <f>IFERROR(VLOOKUP($D27,'BASE DE DATOS'!$B:$I,6,0),0)</f>
        <v>CL 8 12 10</v>
      </c>
      <c r="K27">
        <f>IFERROR(VLOOKUP($D27,'BASE DE DATOS'!$B:$I,7,0),0)</f>
        <v>3017199935</v>
      </c>
      <c r="L27" s="46">
        <f>IFERROR(VLOOKUP($D27,'BASE DE DATOS'!$B:$I,8,0),0)</f>
        <v>0</v>
      </c>
      <c r="M27" s="70">
        <v>494550</v>
      </c>
      <c r="N27" s="46" t="s">
        <v>5</v>
      </c>
    </row>
    <row r="28" spans="1:20" x14ac:dyDescent="0.25">
      <c r="A28" s="71">
        <v>45724</v>
      </c>
      <c r="B28" s="34">
        <v>0</v>
      </c>
      <c r="D28" s="46">
        <f>IFERROR(VLOOKUP($E28,'BASE DE DATOS'!$A:$I,2,0)," ")</f>
        <v>66931449</v>
      </c>
      <c r="E28" s="66" t="s">
        <v>10</v>
      </c>
      <c r="F28" s="46" t="str">
        <f>IFERROR(VLOOKUP($D28,'BASE DE DATOS'!$B:$I,2,0),0)</f>
        <v>NO TIENE</v>
      </c>
      <c r="G28" s="46" t="str">
        <f>IFERROR(VLOOKUP($D28,'BASE DE DATOS'!$B:$I,3,0),0)</f>
        <v>NO TIENE</v>
      </c>
      <c r="H28" s="46" t="str">
        <f>IFERROR(VLOOKUP($D28,'BASE DE DATOS'!$B:$I,4,0),0)</f>
        <v>NO TIENE</v>
      </c>
      <c r="I28" s="46" t="str">
        <f>IFERROR(VLOOKUP($D28,'BASE DE DATOS'!$B:$I,5,0),0)</f>
        <v>NO TIENE</v>
      </c>
      <c r="J28" s="46" t="str">
        <f>IFERROR(VLOOKUP($D28,'BASE DE DATOS'!$B:$I,6,0),0)</f>
        <v>CR 12 6 33</v>
      </c>
      <c r="K28">
        <f>IFERROR(VLOOKUP($D28,'BASE DE DATOS'!$B:$I,7,0),0)</f>
        <v>2672346</v>
      </c>
      <c r="L28" s="46" t="str">
        <f>IFERROR(VLOOKUP($D28,'BASE DE DATOS'!$B:$I,8,0),0)</f>
        <v>NO TIENE</v>
      </c>
      <c r="M28" s="70">
        <v>35000</v>
      </c>
      <c r="N28" s="46" t="s">
        <v>9</v>
      </c>
    </row>
    <row r="29" spans="1:20" x14ac:dyDescent="0.25">
      <c r="A29" s="71">
        <v>45724</v>
      </c>
      <c r="B29" s="34">
        <v>0</v>
      </c>
      <c r="D29" s="46">
        <f>IFERROR(VLOOKUP($E29,'BASE DE DATOS'!$A:$I,2,0)," ")</f>
        <v>0</v>
      </c>
      <c r="E29" s="66" t="s">
        <v>23</v>
      </c>
      <c r="F29" s="46">
        <f>IFERROR(VLOOKUP($D29,'BASE DE DATOS'!$B:$I,2,0),0)</f>
        <v>0</v>
      </c>
      <c r="G29" s="46">
        <f>IFERROR(VLOOKUP($D29,'BASE DE DATOS'!$B:$I,3,0),0)</f>
        <v>0</v>
      </c>
      <c r="H29" s="46">
        <f>IFERROR(VLOOKUP($D29,'BASE DE DATOS'!$B:$I,4,0),0)</f>
        <v>0</v>
      </c>
      <c r="I29" s="46">
        <f>IFERROR(VLOOKUP($D29,'BASE DE DATOS'!$B:$I,5,0),0)</f>
        <v>0</v>
      </c>
      <c r="J29" s="46">
        <f>IFERROR(VLOOKUP($D29,'BASE DE DATOS'!$B:$I,6,0),0)</f>
        <v>0</v>
      </c>
      <c r="K29">
        <f>IFERROR(VLOOKUP($D29,'BASE DE DATOS'!$B:$I,7,0),0)</f>
        <v>0</v>
      </c>
      <c r="L29" s="46">
        <f>IFERROR(VLOOKUP($D29,'BASE DE DATOS'!$B:$I,8,0),0)</f>
        <v>0</v>
      </c>
      <c r="M29" s="70">
        <v>73000</v>
      </c>
      <c r="N29" s="46" t="s">
        <v>9</v>
      </c>
    </row>
    <row r="30" spans="1:20" x14ac:dyDescent="0.25">
      <c r="A30" s="71">
        <v>45724</v>
      </c>
      <c r="B30" s="34">
        <v>0</v>
      </c>
      <c r="D30" s="46">
        <f>IFERROR(VLOOKUP($E30,'BASE DE DATOS'!$A:$I,2,0)," ")</f>
        <v>0</v>
      </c>
      <c r="E30" s="66" t="s">
        <v>23</v>
      </c>
      <c r="F30" s="46">
        <f>IFERROR(VLOOKUP($D30,'BASE DE DATOS'!$B:$I,2,0),0)</f>
        <v>0</v>
      </c>
      <c r="G30" s="46">
        <f>IFERROR(VLOOKUP($D30,'BASE DE DATOS'!$B:$I,3,0),0)</f>
        <v>0</v>
      </c>
      <c r="H30" s="46">
        <f>IFERROR(VLOOKUP($D30,'BASE DE DATOS'!$B:$I,4,0),0)</f>
        <v>0</v>
      </c>
      <c r="I30" s="46">
        <f>IFERROR(VLOOKUP($D30,'BASE DE DATOS'!$B:$I,5,0),0)</f>
        <v>0</v>
      </c>
      <c r="J30" s="46">
        <f>IFERROR(VLOOKUP($D30,'BASE DE DATOS'!$B:$I,6,0),0)</f>
        <v>0</v>
      </c>
      <c r="K30">
        <f>IFERROR(VLOOKUP($D30,'BASE DE DATOS'!$B:$I,7,0),0)</f>
        <v>0</v>
      </c>
      <c r="L30" s="46">
        <f>IFERROR(VLOOKUP($D30,'BASE DE DATOS'!$B:$I,8,0),0)</f>
        <v>0</v>
      </c>
      <c r="M30" s="70">
        <v>147000</v>
      </c>
      <c r="N30" s="46" t="s">
        <v>9</v>
      </c>
    </row>
    <row r="31" spans="1:20" x14ac:dyDescent="0.25">
      <c r="A31" s="71">
        <v>45724</v>
      </c>
      <c r="B31" s="34">
        <v>5010</v>
      </c>
      <c r="D31" s="46">
        <f>IFERROR(VLOOKUP($E31,'BASE DE DATOS'!$A:$I,2,0)," ")</f>
        <v>9017363446</v>
      </c>
      <c r="E31" s="66" t="str">
        <f>'BASE DE DATOS'!$A$141</f>
        <v>DISTRIBUIDORA ZADAY SAS</v>
      </c>
      <c r="F31" s="46" t="str">
        <f>IFERROR(VLOOKUP($D31,'BASE DE DATOS'!$B:$I,2,0),0)</f>
        <v>JORGE</v>
      </c>
      <c r="G31" s="46">
        <f>IFERROR(VLOOKUP($D31,'BASE DE DATOS'!$B:$I,3,0),0)</f>
        <v>0</v>
      </c>
      <c r="H31" s="46" t="str">
        <f>IFERROR(VLOOKUP($D31,'BASE DE DATOS'!$B:$I,4,0),0)</f>
        <v>MOSQUERA</v>
      </c>
      <c r="I31" s="46">
        <f>IFERROR(VLOOKUP($D31,'BASE DE DATOS'!$B:$I,5,0),0)</f>
        <v>0</v>
      </c>
      <c r="J31" s="46" t="str">
        <f>IFERROR(VLOOKUP($D31,'BASE DE DATOS'!$B:$I,6,0),0)</f>
        <v>MANZANA T CASA 17 MARIA 2</v>
      </c>
      <c r="K31">
        <f>IFERROR(VLOOKUP($D31,'BASE DE DATOS'!$B:$I,7,0),0)</f>
        <v>3017939209</v>
      </c>
      <c r="L31" s="46" t="str">
        <f>IFERROR(VLOOKUP($D31,'BASE DE DATOS'!$B:$I,8,0),0)</f>
        <v>reporte@seitem.com</v>
      </c>
      <c r="M31" s="70">
        <v>79200</v>
      </c>
      <c r="N31" s="46" t="s">
        <v>5</v>
      </c>
    </row>
    <row r="32" spans="1:20" x14ac:dyDescent="0.25">
      <c r="A32" s="71">
        <v>45723</v>
      </c>
      <c r="B32" s="34">
        <v>697105</v>
      </c>
      <c r="D32" s="46">
        <f>IFERROR(VLOOKUP($E32,'BASE DE DATOS'!$A:$I,2,0)," ")</f>
        <v>890500726</v>
      </c>
      <c r="E32" s="66" t="str">
        <f>'BASE DE DATOS'!$A$102</f>
        <v>NORTESANTANDEREANA DE GAS SA ESP</v>
      </c>
      <c r="F32" s="46" t="str">
        <f>IFERROR(VLOOKUP($D32,'BASE DE DATOS'!$B:$I,2,0),0)</f>
        <v>NO TIENE</v>
      </c>
      <c r="G32" s="46" t="str">
        <f>IFERROR(VLOOKUP($D32,'BASE DE DATOS'!$B:$I,3,0),0)</f>
        <v>NO TIENE</v>
      </c>
      <c r="H32" s="46" t="str">
        <f>IFERROR(VLOOKUP($D32,'BASE DE DATOS'!$B:$I,4,0),0)</f>
        <v>NO TIENE</v>
      </c>
      <c r="I32" s="46" t="str">
        <f>IFERROR(VLOOKUP($D32,'BASE DE DATOS'!$B:$I,5,0),0)</f>
        <v>NO TIENE</v>
      </c>
      <c r="J32" s="46">
        <f>IFERROR(VLOOKUP($D32,'BASE DE DATOS'!$B:$I,6,0),0)</f>
        <v>0</v>
      </c>
      <c r="K32">
        <f>IFERROR(VLOOKUP($D32,'BASE DE DATOS'!$B:$I,7,0),0)</f>
        <v>3208899901</v>
      </c>
      <c r="L32" s="46">
        <f>IFERROR(VLOOKUP($D32,'BASE DE DATOS'!$B:$I,8,0),0)</f>
        <v>0</v>
      </c>
      <c r="M32" s="70">
        <v>420000</v>
      </c>
      <c r="N32" s="46" t="s">
        <v>46</v>
      </c>
    </row>
    <row r="33" spans="1:20" x14ac:dyDescent="0.25">
      <c r="A33" s="71">
        <v>45724</v>
      </c>
      <c r="B33" s="34">
        <v>0</v>
      </c>
      <c r="D33" s="46">
        <f>IFERROR(VLOOKUP($E33,'BASE DE DATOS'!$A:$I,2,0)," ")</f>
        <v>901473419</v>
      </c>
      <c r="E33" s="66" t="str">
        <f>'BASE DE DATOS'!$A$40</f>
        <v>DISTRIBUCIONES JACOTA ZOMAC SAS</v>
      </c>
      <c r="F33" s="46">
        <f>IFERROR(VLOOKUP($D33,'BASE DE DATOS'!$B:$I,2,0),0)</f>
        <v>0</v>
      </c>
      <c r="G33" s="46">
        <f>IFERROR(VLOOKUP($D33,'BASE DE DATOS'!$B:$I,3,0),0)</f>
        <v>0</v>
      </c>
      <c r="H33" s="46">
        <f>IFERROR(VLOOKUP($D33,'BASE DE DATOS'!$B:$I,4,0),0)</f>
        <v>0</v>
      </c>
      <c r="I33" s="46">
        <f>IFERROR(VLOOKUP($D33,'BASE DE DATOS'!$B:$I,5,0),0)</f>
        <v>0</v>
      </c>
      <c r="J33" s="46" t="str">
        <f>IFERROR(VLOOKUP($D33,'BASE DE DATOS'!$B:$I,6,0),0)</f>
        <v>CR 10 5 32</v>
      </c>
      <c r="K33">
        <f>IFERROR(VLOOKUP($D33,'BASE DE DATOS'!$B:$I,7,0),0)</f>
        <v>3147560646</v>
      </c>
      <c r="L33" s="46" t="str">
        <f>IFERROR(VLOOKUP($D33,'BASE DE DATOS'!$B:$I,8,0),0)</f>
        <v>jacota.distribuciones@outlook.com</v>
      </c>
      <c r="M33" s="70">
        <v>501900</v>
      </c>
      <c r="N33" s="46" t="s">
        <v>5</v>
      </c>
    </row>
    <row r="34" spans="1:20" x14ac:dyDescent="0.25">
      <c r="A34" s="71">
        <v>45717</v>
      </c>
      <c r="B34" s="34">
        <v>6170</v>
      </c>
      <c r="D34" s="46">
        <f>IFERROR(VLOOKUP($E34,'BASE DE DATOS'!$A:$I,2,0)," ")</f>
        <v>66660257</v>
      </c>
      <c r="E34" s="66" t="str">
        <f>'BASE DE DATOS'!$A$38</f>
        <v>DISOIL</v>
      </c>
      <c r="F34" s="46">
        <f>IFERROR(VLOOKUP($D34,'BASE DE DATOS'!$B:$I,2,0),0)</f>
        <v>0</v>
      </c>
      <c r="G34" s="46">
        <f>IFERROR(VLOOKUP($D34,'BASE DE DATOS'!$B:$I,3,0),0)</f>
        <v>0</v>
      </c>
      <c r="H34" s="46">
        <f>IFERROR(VLOOKUP($D34,'BASE DE DATOS'!$B:$I,4,0),0)</f>
        <v>0</v>
      </c>
      <c r="I34" s="46">
        <f>IFERROR(VLOOKUP($D34,'BASE DE DATOS'!$B:$I,5,0),0)</f>
        <v>0</v>
      </c>
      <c r="J34" s="46" t="str">
        <f>IFERROR(VLOOKUP($D34,'BASE DE DATOS'!$B:$I,6,0),0)</f>
        <v>CL 21 31 37</v>
      </c>
      <c r="K34">
        <f>IFERROR(VLOOKUP($D34,'BASE DE DATOS'!$B:$I,7,0),0)</f>
        <v>3005547057</v>
      </c>
      <c r="L34" s="46">
        <f>IFERROR(VLOOKUP($D34,'BASE DE DATOS'!$B:$I,8,0),0)</f>
        <v>0</v>
      </c>
      <c r="M34" s="70">
        <v>292000</v>
      </c>
      <c r="N34" s="46" t="s">
        <v>46</v>
      </c>
    </row>
    <row r="35" spans="1:20" x14ac:dyDescent="0.25">
      <c r="A35" s="71">
        <v>45724</v>
      </c>
      <c r="B35" s="34">
        <v>6219</v>
      </c>
      <c r="D35" s="46">
        <f>IFERROR(VLOOKUP($E35,'BASE DE DATOS'!$A:$I,2,0)," ")</f>
        <v>66660257</v>
      </c>
      <c r="E35" s="66" t="s">
        <v>167</v>
      </c>
      <c r="F35" s="46">
        <f>IFERROR(VLOOKUP($D35,'BASE DE DATOS'!$B:$I,2,0),0)</f>
        <v>0</v>
      </c>
      <c r="G35" s="46">
        <f>IFERROR(VLOOKUP($D35,'BASE DE DATOS'!$B:$I,3,0),0)</f>
        <v>0</v>
      </c>
      <c r="H35" s="46">
        <f>IFERROR(VLOOKUP($D35,'BASE DE DATOS'!$B:$I,4,0),0)</f>
        <v>0</v>
      </c>
      <c r="I35" s="46">
        <f>IFERROR(VLOOKUP($D35,'BASE DE DATOS'!$B:$I,5,0),0)</f>
        <v>0</v>
      </c>
      <c r="J35" s="46" t="str">
        <f>IFERROR(VLOOKUP($D35,'BASE DE DATOS'!$B:$I,6,0),0)</f>
        <v>CL 21 31 37</v>
      </c>
      <c r="K35">
        <f>IFERROR(VLOOKUP($D35,'BASE DE DATOS'!$B:$I,7,0),0)</f>
        <v>3005547057</v>
      </c>
      <c r="L35" s="46">
        <f>IFERROR(VLOOKUP($D35,'BASE DE DATOS'!$B:$I,8,0),0)</f>
        <v>0</v>
      </c>
      <c r="M35" s="70">
        <v>292000</v>
      </c>
      <c r="N35" s="46" t="s">
        <v>46</v>
      </c>
    </row>
    <row r="36" spans="1:20" x14ac:dyDescent="0.25">
      <c r="A36" s="71">
        <v>45725</v>
      </c>
      <c r="B36" s="34">
        <v>462469</v>
      </c>
      <c r="D36" s="46">
        <f>IFERROR(VLOOKUP($E36,'BASE DE DATOS'!$A:$I,2,0)," ")</f>
        <v>815002459</v>
      </c>
      <c r="E36" s="66" t="str">
        <f>'BASE DE DATOS'!$A$94</f>
        <v>MERCAPAVA SA</v>
      </c>
      <c r="F36" s="46" t="str">
        <f>IFERROR(VLOOKUP($D36,'BASE DE DATOS'!$B:$I,2,0),0)</f>
        <v>NO TIENE</v>
      </c>
      <c r="G36" s="46" t="str">
        <f>IFERROR(VLOOKUP($D36,'BASE DE DATOS'!$B:$I,3,0),0)</f>
        <v>NO TIENE</v>
      </c>
      <c r="H36" s="46" t="str">
        <f>IFERROR(VLOOKUP($D36,'BASE DE DATOS'!$B:$I,4,0),0)</f>
        <v>NO TIENE</v>
      </c>
      <c r="I36" s="46" t="str">
        <f>IFERROR(VLOOKUP($D36,'BASE DE DATOS'!$B:$I,5,0),0)</f>
        <v>NO TIENE</v>
      </c>
      <c r="J36" s="46" t="str">
        <f>IFERROR(VLOOKUP($D36,'BASE DE DATOS'!$B:$I,6,0),0)</f>
        <v>CL 7 12 03</v>
      </c>
      <c r="K36">
        <f>IFERROR(VLOOKUP($D36,'BASE DE DATOS'!$B:$I,7,0),0)</f>
        <v>3136831049</v>
      </c>
      <c r="L36" s="46">
        <f>IFERROR(VLOOKUP($D36,'BASE DE DATOS'!$B:$I,8,0),0)</f>
        <v>0</v>
      </c>
      <c r="M36" s="70">
        <v>36820</v>
      </c>
      <c r="N36" s="46" t="s">
        <v>9</v>
      </c>
    </row>
    <row r="37" spans="1:20" x14ac:dyDescent="0.25">
      <c r="A37" s="71">
        <v>45725</v>
      </c>
      <c r="B37" s="34">
        <v>84</v>
      </c>
      <c r="D37" s="46">
        <f>IFERROR(VLOOKUP($E37,'BASE DE DATOS'!$A:$I,2,0)," ")</f>
        <v>1112230545</v>
      </c>
      <c r="E37" s="66" t="str">
        <f>'BASE DE DATOS'!$A$115</f>
        <v>salsamentaria</v>
      </c>
      <c r="F37" s="46">
        <f>IFERROR(VLOOKUP($D37,'BASE DE DATOS'!$B:$I,2,0),0)</f>
        <v>0</v>
      </c>
      <c r="G37" s="46">
        <f>IFERROR(VLOOKUP($D37,'BASE DE DATOS'!$B:$I,3,0),0)</f>
        <v>0</v>
      </c>
      <c r="H37" s="46">
        <f>IFERROR(VLOOKUP($D37,'BASE DE DATOS'!$B:$I,4,0),0)</f>
        <v>0</v>
      </c>
      <c r="I37" s="46">
        <f>IFERROR(VLOOKUP($D37,'BASE DE DATOS'!$B:$I,5,0),0)</f>
        <v>0</v>
      </c>
      <c r="J37" s="46">
        <f>IFERROR(VLOOKUP($D37,'BASE DE DATOS'!$B:$I,6,0),0)</f>
        <v>0</v>
      </c>
      <c r="K37">
        <f>IFERROR(VLOOKUP($D37,'BASE DE DATOS'!$B:$I,7,0),0)</f>
        <v>3107292255</v>
      </c>
      <c r="L37" s="46" t="str">
        <f>IFERROR(VLOOKUP($D37,'BASE DE DATOS'!$B:$I,8,0),0)</f>
        <v>NO TIENE</v>
      </c>
      <c r="M37" s="70">
        <v>42800</v>
      </c>
      <c r="N37" s="46" t="s">
        <v>9</v>
      </c>
    </row>
    <row r="38" spans="1:20" x14ac:dyDescent="0.25">
      <c r="A38" s="71">
        <v>45725</v>
      </c>
      <c r="B38" s="34">
        <v>0</v>
      </c>
      <c r="D38" s="46">
        <f>IFERROR(VLOOKUP($E38,'BASE DE DATOS'!$A:$I,2,0)," ")</f>
        <v>0</v>
      </c>
      <c r="E38" s="66" t="str">
        <f>$E$10</f>
        <v xml:space="preserve">MERCAFRUVER LA ECONOMIA demi pradera </v>
      </c>
      <c r="F38" s="46">
        <f>IFERROR(VLOOKUP($D38,'BASE DE DATOS'!$B:$I,2,0),0)</f>
        <v>0</v>
      </c>
      <c r="G38" s="46">
        <f>IFERROR(VLOOKUP($D38,'BASE DE DATOS'!$B:$I,3,0),0)</f>
        <v>0</v>
      </c>
      <c r="H38" s="46">
        <f>IFERROR(VLOOKUP($D38,'BASE DE DATOS'!$B:$I,4,0),0)</f>
        <v>0</v>
      </c>
      <c r="I38" s="46">
        <f>IFERROR(VLOOKUP($D38,'BASE DE DATOS'!$B:$I,5,0),0)</f>
        <v>0</v>
      </c>
      <c r="J38" s="46">
        <f>IFERROR(VLOOKUP($D38,'BASE DE DATOS'!$B:$I,6,0),0)</f>
        <v>0</v>
      </c>
      <c r="K38">
        <f>IFERROR(VLOOKUP($D38,'BASE DE DATOS'!$B:$I,7,0),0)</f>
        <v>0</v>
      </c>
      <c r="L38" s="46">
        <f>IFERROR(VLOOKUP($D38,'BASE DE DATOS'!$B:$I,8,0),0)</f>
        <v>0</v>
      </c>
      <c r="M38" s="70">
        <v>168000</v>
      </c>
      <c r="N38" s="46" t="s">
        <v>5</v>
      </c>
    </row>
    <row r="39" spans="1:20" x14ac:dyDescent="0.25">
      <c r="A39" s="71">
        <v>45724</v>
      </c>
      <c r="B39" s="34">
        <v>0</v>
      </c>
      <c r="D39" s="46">
        <f>IFERROR(VLOOKUP($E39,'BASE DE DATOS'!$A:$I,2,0)," ")</f>
        <v>0</v>
      </c>
      <c r="E39" s="66" t="s">
        <v>23</v>
      </c>
      <c r="F39" s="46">
        <f>IFERROR(VLOOKUP($D39,'BASE DE DATOS'!$B:$I,2,0),0)</f>
        <v>0</v>
      </c>
      <c r="G39" s="46">
        <f>IFERROR(VLOOKUP($D39,'BASE DE DATOS'!$B:$I,3,0),0)</f>
        <v>0</v>
      </c>
      <c r="H39" s="46">
        <f>IFERROR(VLOOKUP($D39,'BASE DE DATOS'!$B:$I,4,0),0)</f>
        <v>0</v>
      </c>
      <c r="I39" s="46">
        <f>IFERROR(VLOOKUP($D39,'BASE DE DATOS'!$B:$I,5,0),0)</f>
        <v>0</v>
      </c>
      <c r="J39" s="46">
        <f>IFERROR(VLOOKUP($D39,'BASE DE DATOS'!$B:$I,6,0),0)</f>
        <v>0</v>
      </c>
      <c r="K39">
        <f>IFERROR(VLOOKUP($D39,'BASE DE DATOS'!$B:$I,7,0),0)</f>
        <v>0</v>
      </c>
      <c r="L39" s="46">
        <f>IFERROR(VLOOKUP($D39,'BASE DE DATOS'!$B:$I,8,0),0)</f>
        <v>0</v>
      </c>
      <c r="M39" s="70">
        <v>97000</v>
      </c>
      <c r="N39" s="46" t="s">
        <v>9</v>
      </c>
      <c r="O39" s="1"/>
      <c r="P39" s="1"/>
      <c r="Q39" s="1"/>
      <c r="R39" s="1"/>
      <c r="S39" s="1"/>
      <c r="T39" s="1"/>
    </row>
    <row r="40" spans="1:20" x14ac:dyDescent="0.25">
      <c r="A40" s="71">
        <v>45724</v>
      </c>
      <c r="B40" s="34">
        <v>0</v>
      </c>
      <c r="D40" s="46">
        <f>IFERROR(VLOOKUP($E40,'BASE DE DATOS'!$A:$I,2,0)," ")</f>
        <v>0</v>
      </c>
      <c r="E40" s="66" t="str">
        <f>'BASE DE DATOS'!$A$174</f>
        <v>LECHUGA</v>
      </c>
      <c r="F40" s="46">
        <f>IFERROR(VLOOKUP($D40,'BASE DE DATOS'!$B:$I,2,0),0)</f>
        <v>0</v>
      </c>
      <c r="G40" s="46">
        <f>IFERROR(VLOOKUP($D40,'BASE DE DATOS'!$B:$I,3,0),0)</f>
        <v>0</v>
      </c>
      <c r="H40" s="46">
        <f>IFERROR(VLOOKUP($D40,'BASE DE DATOS'!$B:$I,4,0),0)</f>
        <v>0</v>
      </c>
      <c r="I40" s="46">
        <f>IFERROR(VLOOKUP($D40,'BASE DE DATOS'!$B:$I,5,0),0)</f>
        <v>0</v>
      </c>
      <c r="J40" s="46">
        <f>IFERROR(VLOOKUP($D40,'BASE DE DATOS'!$B:$I,6,0),0)</f>
        <v>0</v>
      </c>
      <c r="K40">
        <f>IFERROR(VLOOKUP($D40,'BASE DE DATOS'!$B:$I,7,0),0)</f>
        <v>0</v>
      </c>
      <c r="L40" s="46">
        <f>IFERROR(VLOOKUP($D40,'BASE DE DATOS'!$B:$I,8,0),0)</f>
        <v>0</v>
      </c>
      <c r="M40" s="70">
        <v>15400</v>
      </c>
      <c r="N40" s="46" t="s">
        <v>5</v>
      </c>
    </row>
    <row r="41" spans="1:20" x14ac:dyDescent="0.25">
      <c r="A41" s="71">
        <v>45725</v>
      </c>
      <c r="B41" s="34">
        <v>0</v>
      </c>
      <c r="D41" s="46">
        <f>IFERROR(VLOOKUP($E41,'BASE DE DATOS'!$A:$I,2,0)," ")</f>
        <v>1112230545</v>
      </c>
      <c r="E41" s="66" t="s">
        <v>83</v>
      </c>
      <c r="F41" s="46">
        <f>IFERROR(VLOOKUP($D41,'BASE DE DATOS'!$B:$I,2,0),0)</f>
        <v>0</v>
      </c>
      <c r="G41" s="46">
        <f>IFERROR(VLOOKUP($D41,'BASE DE DATOS'!$B:$I,3,0),0)</f>
        <v>0</v>
      </c>
      <c r="H41" s="46">
        <f>IFERROR(VLOOKUP($D41,'BASE DE DATOS'!$B:$I,4,0),0)</f>
        <v>0</v>
      </c>
      <c r="I41" s="46">
        <f>IFERROR(VLOOKUP($D41,'BASE DE DATOS'!$B:$I,5,0),0)</f>
        <v>0</v>
      </c>
      <c r="J41" s="46">
        <f>IFERROR(VLOOKUP($D41,'BASE DE DATOS'!$B:$I,6,0),0)</f>
        <v>0</v>
      </c>
      <c r="K41">
        <f>IFERROR(VLOOKUP($D41,'BASE DE DATOS'!$B:$I,7,0),0)</f>
        <v>3107292255</v>
      </c>
      <c r="L41" s="46" t="str">
        <f>IFERROR(VLOOKUP($D41,'BASE DE DATOS'!$B:$I,8,0),0)</f>
        <v>NO TIENE</v>
      </c>
      <c r="M41" s="70">
        <v>130000</v>
      </c>
      <c r="N41" s="46" t="s">
        <v>9</v>
      </c>
    </row>
    <row r="42" spans="1:20" x14ac:dyDescent="0.25">
      <c r="A42" s="71">
        <v>45724</v>
      </c>
      <c r="B42" s="34">
        <v>159</v>
      </c>
      <c r="D42" s="46">
        <f>IFERROR(VLOOKUP($E42,'BASE DE DATOS'!$A:$I,2,0)," ")</f>
        <v>1112230545</v>
      </c>
      <c r="E42" s="66" t="s">
        <v>83</v>
      </c>
      <c r="F42" s="46">
        <f>IFERROR(VLOOKUP($D42,'BASE DE DATOS'!$B:$I,2,0),0)</f>
        <v>0</v>
      </c>
      <c r="G42" s="46">
        <f>IFERROR(VLOOKUP($D42,'BASE DE DATOS'!$B:$I,3,0),0)</f>
        <v>0</v>
      </c>
      <c r="H42" s="46">
        <f>IFERROR(VLOOKUP($D42,'BASE DE DATOS'!$B:$I,4,0),0)</f>
        <v>0</v>
      </c>
      <c r="I42" s="46">
        <f>IFERROR(VLOOKUP($D42,'BASE DE DATOS'!$B:$I,5,0),0)</f>
        <v>0</v>
      </c>
      <c r="J42" s="46">
        <f>IFERROR(VLOOKUP($D42,'BASE DE DATOS'!$B:$I,6,0),0)</f>
        <v>0</v>
      </c>
      <c r="K42">
        <f>IFERROR(VLOOKUP($D42,'BASE DE DATOS'!$B:$I,7,0),0)</f>
        <v>3107292255</v>
      </c>
      <c r="L42" s="46" t="str">
        <f>IFERROR(VLOOKUP($D42,'BASE DE DATOS'!$B:$I,8,0),0)</f>
        <v>NO TIENE</v>
      </c>
      <c r="M42" s="70">
        <v>26000</v>
      </c>
      <c r="N42" s="46" t="s">
        <v>9</v>
      </c>
    </row>
    <row r="43" spans="1:20" x14ac:dyDescent="0.25">
      <c r="A43" s="71">
        <v>45724</v>
      </c>
      <c r="B43" s="34">
        <v>0</v>
      </c>
      <c r="D43" s="46">
        <f>IFERROR(VLOOKUP($E43,'BASE DE DATOS'!$A:$I,2,0)," ")</f>
        <v>1112230545</v>
      </c>
      <c r="E43" s="66" t="s">
        <v>83</v>
      </c>
      <c r="F43" s="46">
        <f>IFERROR(VLOOKUP($D43,'BASE DE DATOS'!$B:$I,2,0),0)</f>
        <v>0</v>
      </c>
      <c r="G43" s="46">
        <f>IFERROR(VLOOKUP($D43,'BASE DE DATOS'!$B:$I,3,0),0)</f>
        <v>0</v>
      </c>
      <c r="H43" s="46">
        <f>IFERROR(VLOOKUP($D43,'BASE DE DATOS'!$B:$I,4,0),0)</f>
        <v>0</v>
      </c>
      <c r="I43" s="46">
        <f>IFERROR(VLOOKUP($D43,'BASE DE DATOS'!$B:$I,5,0),0)</f>
        <v>0</v>
      </c>
      <c r="J43" s="46">
        <f>IFERROR(VLOOKUP($D43,'BASE DE DATOS'!$B:$I,6,0),0)</f>
        <v>0</v>
      </c>
      <c r="K43">
        <f>IFERROR(VLOOKUP($D43,'BASE DE DATOS'!$B:$I,7,0),0)</f>
        <v>3107292255</v>
      </c>
      <c r="L43" s="46" t="str">
        <f>IFERROR(VLOOKUP($D43,'BASE DE DATOS'!$B:$I,8,0),0)</f>
        <v>NO TIENE</v>
      </c>
      <c r="M43" s="70">
        <v>176000</v>
      </c>
      <c r="N43" s="46" t="s">
        <v>5</v>
      </c>
    </row>
    <row r="44" spans="1:20" ht="13.5" customHeight="1" x14ac:dyDescent="0.25">
      <c r="A44" s="71">
        <v>45724</v>
      </c>
      <c r="B44" s="34">
        <v>4359</v>
      </c>
      <c r="D44" s="46">
        <f>IFERROR(VLOOKUP($E44,'BASE DE DATOS'!$A:$I,2,0)," ")</f>
        <v>66929745</v>
      </c>
      <c r="E44" s="66" t="s">
        <v>283</v>
      </c>
      <c r="F44" s="46" t="str">
        <f>IFERROR(VLOOKUP($D44,'BASE DE DATOS'!$B:$I,2,0),0)</f>
        <v>MARTHA</v>
      </c>
      <c r="G44" s="46">
        <f>IFERROR(VLOOKUP($D44,'BASE DE DATOS'!$B:$I,3,0),0)</f>
        <v>0</v>
      </c>
      <c r="H44" s="46">
        <f>IFERROR(VLOOKUP($D44,'BASE DE DATOS'!$B:$I,4,0),0)</f>
        <v>0</v>
      </c>
      <c r="I44" s="46">
        <f>IFERROR(VLOOKUP($D44,'BASE DE DATOS'!$B:$I,5,0),0)</f>
        <v>0</v>
      </c>
      <c r="J44" s="46" t="str">
        <f>IFERROR(VLOOKUP($D44,'BASE DE DATOS'!$B:$I,6,0),0)</f>
        <v>CL 8 12 10</v>
      </c>
      <c r="K44">
        <f>IFERROR(VLOOKUP($D44,'BASE DE DATOS'!$B:$I,7,0),0)</f>
        <v>3017199935</v>
      </c>
      <c r="L44" s="46">
        <f>IFERROR(VLOOKUP($D44,'BASE DE DATOS'!$B:$I,8,0),0)</f>
        <v>0</v>
      </c>
      <c r="M44" s="70">
        <v>477200</v>
      </c>
      <c r="N44" s="46" t="s">
        <v>5</v>
      </c>
    </row>
    <row r="45" spans="1:20" ht="13.5" customHeight="1" x14ac:dyDescent="0.25">
      <c r="A45" s="71">
        <v>45724</v>
      </c>
      <c r="B45" s="34">
        <v>7000328</v>
      </c>
      <c r="D45" s="46">
        <f>IFERROR(VLOOKUP($E45,'BASE DE DATOS'!$A:$I,2,0)," ")</f>
        <v>8150048801</v>
      </c>
      <c r="E45" s="66" t="str">
        <f>'BASE DE DATOS'!$A$143</f>
        <v>DISTRIBUIDORA TIENDAS Y MARCAS</v>
      </c>
      <c r="F45" s="46" t="str">
        <f>IFERROR(VLOOKUP($D45,'BASE DE DATOS'!$B:$I,2,0),0)</f>
        <v>ELIANA</v>
      </c>
      <c r="G45" s="46" t="str">
        <f>IFERROR(VLOOKUP($D45,'BASE DE DATOS'!$B:$I,3,0),0)</f>
        <v>MARIA</v>
      </c>
      <c r="H45" s="46">
        <f>IFERROR(VLOOKUP($D45,'BASE DE DATOS'!$B:$I,4,0),0)</f>
        <v>0</v>
      </c>
      <c r="I45" s="46">
        <f>IFERROR(VLOOKUP($D45,'BASE DE DATOS'!$B:$I,5,0),0)</f>
        <v>0</v>
      </c>
      <c r="J45" s="46" t="str">
        <f>IFERROR(VLOOKUP($D45,'BASE DE DATOS'!$B:$I,6,0),0)</f>
        <v>CRA 34 31 35 BOD 2 PALMIRA</v>
      </c>
      <c r="K45">
        <f>IFERROR(VLOOKUP($D45,'BASE DE DATOS'!$B:$I,7,0),0)</f>
        <v>3228469553</v>
      </c>
      <c r="L45" s="46">
        <f>IFERROR(VLOOKUP($D45,'BASE DE DATOS'!$B:$I,8,0),0)</f>
        <v>0</v>
      </c>
      <c r="M45" s="70">
        <v>186851</v>
      </c>
      <c r="N45" s="46" t="s">
        <v>5</v>
      </c>
    </row>
    <row r="46" spans="1:20" ht="13.5" customHeight="1" x14ac:dyDescent="0.25">
      <c r="A46" s="71">
        <v>45726</v>
      </c>
      <c r="B46" s="34">
        <v>6</v>
      </c>
      <c r="D46" s="46">
        <f>IFERROR(VLOOKUP($E46,'BASE DE DATOS'!$A:$I,2,0)," ")</f>
        <v>29530093</v>
      </c>
      <c r="E46" s="66" t="str">
        <f>[1]FEBRERO!E75</f>
        <v>YUGLAXI YOXIELI RENGIFO BARBOZA</v>
      </c>
      <c r="F46" s="46" t="str">
        <f>IFERROR(VLOOKUP($D46,'BASE DE DATOS'!$B:$I,2,0),0)</f>
        <v>YUGLAXI</v>
      </c>
      <c r="G46" s="46" t="str">
        <f>IFERROR(VLOOKUP($D46,'BASE DE DATOS'!$B:$I,3,0),0)</f>
        <v>YOXIELI</v>
      </c>
      <c r="H46" s="46" t="str">
        <f>IFERROR(VLOOKUP($D46,'BASE DE DATOS'!$B:$I,4,0),0)</f>
        <v>RENGIFO</v>
      </c>
      <c r="I46" s="46" t="str">
        <f>IFERROR(VLOOKUP($D46,'BASE DE DATOS'!$B:$I,5,0),0)</f>
        <v>BARBOZA</v>
      </c>
      <c r="J46" s="46" t="str">
        <f>IFERROR(VLOOKUP($D46,'BASE DE DATOS'!$B:$I,6,0),0)</f>
        <v xml:space="preserve">CARR 15 MAZ C CASA 28 LAS MARGARITAS </v>
      </c>
      <c r="K46">
        <f>IFERROR(VLOOKUP($D46,'BASE DE DATOS'!$B:$I,7,0),0)</f>
        <v>3217261359</v>
      </c>
      <c r="L46" s="46">
        <f>IFERROR(VLOOKUP($D46,'BASE DE DATOS'!$B:$I,8,0),0)</f>
        <v>0</v>
      </c>
      <c r="M46" s="70">
        <v>437000</v>
      </c>
      <c r="N46" s="46" t="s">
        <v>32</v>
      </c>
      <c r="O46" s="1"/>
      <c r="P46" s="1"/>
      <c r="Q46" s="1"/>
      <c r="R46" s="1"/>
      <c r="S46" s="1"/>
      <c r="T46" s="1"/>
    </row>
    <row r="47" spans="1:20" ht="13.5" customHeight="1" x14ac:dyDescent="0.25">
      <c r="A47" s="71">
        <f t="shared" ref="A47:A54" si="0">$A$46</f>
        <v>45726</v>
      </c>
      <c r="B47" s="34">
        <v>15</v>
      </c>
      <c r="D47" s="46">
        <f>IFERROR(VLOOKUP($E47,'BASE DE DATOS'!$A:$I,2,0)," ")</f>
        <v>1114311126</v>
      </c>
      <c r="E47" s="66" t="str">
        <f>[1]FEBRERO!E76</f>
        <v>CRISTIAN CAMILO PORTILLO LOAIZA</v>
      </c>
      <c r="F47" s="46" t="str">
        <f>IFERROR(VLOOKUP($D47,'BASE DE DATOS'!$B:$I,2,0),0)</f>
        <v xml:space="preserve">CRISTIAN </v>
      </c>
      <c r="G47" s="46" t="str">
        <f>IFERROR(VLOOKUP($D47,'BASE DE DATOS'!$B:$I,3,0),0)</f>
        <v>CAMILO</v>
      </c>
      <c r="H47" s="46" t="str">
        <f>IFERROR(VLOOKUP($D47,'BASE DE DATOS'!$B:$I,4,0),0)</f>
        <v>PORTILLO</v>
      </c>
      <c r="I47" s="46" t="str">
        <f>IFERROR(VLOOKUP($D47,'BASE DE DATOS'!$B:$I,5,0),0)</f>
        <v>LOAIZA</v>
      </c>
      <c r="J47" s="46" t="str">
        <f>IFERROR(VLOOKUP($D47,'BASE DE DATOS'!$B:$I,6,0),0)</f>
        <v>CR 17# 10-27 B- COMUNEROS</v>
      </c>
      <c r="K47">
        <f>IFERROR(VLOOKUP($D47,'BASE DE DATOS'!$B:$I,7,0),0)</f>
        <v>3126574517</v>
      </c>
      <c r="L47" s="46">
        <f>IFERROR(VLOOKUP($D47,'BASE DE DATOS'!$B:$I,8,0),0)</f>
        <v>0</v>
      </c>
      <c r="M47" s="70">
        <v>470000</v>
      </c>
      <c r="N47" s="46" t="str">
        <f t="shared" ref="N47:N54" si="1">$N$46</f>
        <v>EMPLEADO</v>
      </c>
    </row>
    <row r="48" spans="1:20" ht="13.5" customHeight="1" x14ac:dyDescent="0.25">
      <c r="A48" s="71">
        <f t="shared" si="0"/>
        <v>45726</v>
      </c>
      <c r="B48" s="34">
        <v>9</v>
      </c>
      <c r="D48" s="46">
        <f>IFERROR(VLOOKUP($E48,'BASE DE DATOS'!$A:$I,2,0)," ")</f>
        <v>1114623352</v>
      </c>
      <c r="E48" s="66" t="str">
        <f>[1]FEBRERO!E77</f>
        <v>JUAN MANUEL CORREA ORTIZ</v>
      </c>
      <c r="F48" s="46" t="str">
        <f>IFERROR(VLOOKUP($D48,'BASE DE DATOS'!$B:$I,2,0),0)</f>
        <v xml:space="preserve">JUAN </v>
      </c>
      <c r="G48" s="46" t="str">
        <f>IFERROR(VLOOKUP($D48,'BASE DE DATOS'!$B:$I,3,0),0)</f>
        <v>MANUEL</v>
      </c>
      <c r="H48" s="46" t="str">
        <f>IFERROR(VLOOKUP($D48,'BASE DE DATOS'!$B:$I,4,0),0)</f>
        <v>CORREA</v>
      </c>
      <c r="I48" s="46" t="str">
        <f>IFERROR(VLOOKUP($D48,'BASE DE DATOS'!$B:$I,5,0),0)</f>
        <v>ORTIZ</v>
      </c>
      <c r="J48" s="46" t="str">
        <f>IFERROR(VLOOKUP($D48,'BASE DE DATOS'!$B:$I,6,0),0)</f>
        <v>CALLE 8 7-57</v>
      </c>
      <c r="K48">
        <f>IFERROR(VLOOKUP($D48,'BASE DE DATOS'!$B:$I,7,0),0)</f>
        <v>3182626617</v>
      </c>
      <c r="L48" s="46">
        <f>IFERROR(VLOOKUP($D48,'BASE DE DATOS'!$B:$I,8,0),0)</f>
        <v>0</v>
      </c>
      <c r="M48" s="70">
        <v>282000</v>
      </c>
      <c r="N48" s="46" t="str">
        <f>N52</f>
        <v>EMPLEADO</v>
      </c>
      <c r="O48" s="1"/>
      <c r="P48" s="1"/>
      <c r="Q48" s="1"/>
      <c r="R48" s="1"/>
      <c r="S48" s="1"/>
      <c r="T48" s="1"/>
    </row>
    <row r="49" spans="1:20" ht="13.5" customHeight="1" x14ac:dyDescent="0.25">
      <c r="A49" s="71">
        <f t="shared" si="0"/>
        <v>45726</v>
      </c>
      <c r="B49" s="34">
        <v>15</v>
      </c>
      <c r="D49" s="46">
        <f>IFERROR(VLOOKUP($E49,'BASE DE DATOS'!$A:$I,2,0)," ")</f>
        <v>18652153</v>
      </c>
      <c r="E49" s="66" t="str">
        <f>[1]FEBRERO!E78</f>
        <v xml:space="preserve">YANCARLYS RODRIGUEZ </v>
      </c>
      <c r="F49" s="46" t="str">
        <f>IFERROR(VLOOKUP($D49,'BASE DE DATOS'!$B:$I,2,0),0)</f>
        <v xml:space="preserve">YANCARLYS </v>
      </c>
      <c r="G49" s="46" t="str">
        <f>IFERROR(VLOOKUP($D49,'BASE DE DATOS'!$B:$I,3,0),0)</f>
        <v>JOSELIN</v>
      </c>
      <c r="H49" s="46" t="str">
        <f>IFERROR(VLOOKUP($D49,'BASE DE DATOS'!$B:$I,4,0),0)</f>
        <v>RODRIGUEZ</v>
      </c>
      <c r="I49" s="46" t="str">
        <f>IFERROR(VLOOKUP($D49,'BASE DE DATOS'!$B:$I,5,0),0)</f>
        <v>GUEVARA</v>
      </c>
      <c r="J49" s="46" t="str">
        <f>IFERROR(VLOOKUP($D49,'BASE DE DATOS'!$B:$I,6,0),0)</f>
        <v>PRADOS DE LA COLINA MN H CASA 1</v>
      </c>
      <c r="K49">
        <f>IFERROR(VLOOKUP($D49,'BASE DE DATOS'!$B:$I,7,0),0)</f>
        <v>3249778826</v>
      </c>
      <c r="L49" s="46">
        <f>IFERROR(VLOOKUP($D49,'BASE DE DATOS'!$B:$I,8,0),0)</f>
        <v>0</v>
      </c>
      <c r="M49" s="70">
        <v>172000</v>
      </c>
      <c r="N49" s="46" t="str">
        <f t="shared" si="1"/>
        <v>EMPLEADO</v>
      </c>
      <c r="O49" s="1"/>
      <c r="P49" s="1"/>
      <c r="Q49" s="1"/>
      <c r="R49" s="1"/>
      <c r="S49" s="1"/>
      <c r="T49" s="1"/>
    </row>
    <row r="50" spans="1:20" ht="13.5" customHeight="1" x14ac:dyDescent="0.25">
      <c r="A50" s="71">
        <f t="shared" si="0"/>
        <v>45726</v>
      </c>
      <c r="B50" s="34">
        <v>71</v>
      </c>
      <c r="D50" s="46">
        <f>IFERROR(VLOOKUP($E50,'BASE DE DATOS'!$A:$I,2,0)," ")</f>
        <v>1007616371</v>
      </c>
      <c r="E50" s="66" t="str">
        <f>[1]FEBRERO!E79</f>
        <v>LEIDY KARINA HURTADO</v>
      </c>
      <c r="F50" s="46" t="str">
        <f>IFERROR(VLOOKUP($D50,'BASE DE DATOS'!$B:$I,2,0),0)</f>
        <v xml:space="preserve">LEIDY </v>
      </c>
      <c r="G50" s="46" t="str">
        <f>IFERROR(VLOOKUP($D50,'BASE DE DATOS'!$B:$I,3,0),0)</f>
        <v>KARINA</v>
      </c>
      <c r="H50" s="46" t="str">
        <f>IFERROR(VLOOKUP($D50,'BASE DE DATOS'!$B:$I,4,0),0)</f>
        <v>HURTADO</v>
      </c>
      <c r="I50" s="46">
        <f>IFERROR(VLOOKUP($D50,'BASE DE DATOS'!$B:$I,5,0),0)</f>
        <v>0</v>
      </c>
      <c r="J50" s="46" t="str">
        <f>IFERROR(VLOOKUP($D50,'BASE DE DATOS'!$B:$I,6,0),0)</f>
        <v>CR 10 1A 57</v>
      </c>
      <c r="K50">
        <f>IFERROR(VLOOKUP($D50,'BASE DE DATOS'!$B:$I,7,0),0)</f>
        <v>3168609680</v>
      </c>
      <c r="L50" s="46">
        <f>IFERROR(VLOOKUP($D50,'BASE DE DATOS'!$B:$I,8,0),0)</f>
        <v>0</v>
      </c>
      <c r="M50" s="70">
        <v>600000</v>
      </c>
      <c r="N50" s="46" t="str">
        <f t="shared" si="1"/>
        <v>EMPLEADO</v>
      </c>
    </row>
    <row r="51" spans="1:20" ht="13.5" customHeight="1" x14ac:dyDescent="0.25">
      <c r="A51" s="71">
        <f t="shared" si="0"/>
        <v>45726</v>
      </c>
      <c r="B51" s="34">
        <v>2</v>
      </c>
      <c r="D51" s="46">
        <f>IFERROR(VLOOKUP($E51,'BASE DE DATOS'!$A:$I,2,0)," ")</f>
        <v>1090096266</v>
      </c>
      <c r="E51" s="66" t="str">
        <f>[1]FEBRERO!E80</f>
        <v>ISABELA TANGARIFE MARULANDA</v>
      </c>
      <c r="F51" s="46" t="str">
        <f>IFERROR(VLOOKUP($D51,'BASE DE DATOS'!$B:$I,2,0),0)</f>
        <v>ISABELA</v>
      </c>
      <c r="G51" s="46">
        <f>IFERROR(VLOOKUP($D51,'BASE DE DATOS'!$B:$I,3,0),0)</f>
        <v>0</v>
      </c>
      <c r="H51" s="46" t="str">
        <f>IFERROR(VLOOKUP($D51,'BASE DE DATOS'!$B:$I,4,0),0)</f>
        <v>TANGARIFE</v>
      </c>
      <c r="I51" s="46" t="str">
        <f>IFERROR(VLOOKUP($D51,'BASE DE DATOS'!$B:$I,5,0),0)</f>
        <v>MARULANDA</v>
      </c>
      <c r="J51" s="46" t="str">
        <f>IFERROR(VLOOKUP($D51,'BASE DE DATOS'!$B:$I,6,0),0)</f>
        <v xml:space="preserve">CALLE 8 9-49 JORGE ELIECER </v>
      </c>
      <c r="K51">
        <f>IFERROR(VLOOKUP($D51,'BASE DE DATOS'!$B:$I,7,0),0)</f>
        <v>3155015204</v>
      </c>
      <c r="L51" s="46">
        <f>IFERROR(VLOOKUP($D51,'BASE DE DATOS'!$B:$I,8,0),0)</f>
        <v>0</v>
      </c>
      <c r="M51" s="70">
        <v>301000</v>
      </c>
      <c r="N51" s="46" t="str">
        <f t="shared" si="1"/>
        <v>EMPLEADO</v>
      </c>
    </row>
    <row r="52" spans="1:20" ht="13.5" customHeight="1" x14ac:dyDescent="0.25">
      <c r="A52" s="71">
        <f t="shared" si="0"/>
        <v>45726</v>
      </c>
      <c r="B52" s="34">
        <v>0</v>
      </c>
      <c r="D52" s="46">
        <f>IFERROR(VLOOKUP($E52,'BASE DE DATOS'!$A:$I,2,0)," ")</f>
        <v>1114623744</v>
      </c>
      <c r="E52" s="66" t="str">
        <f>[1]FEBRERO!E81</f>
        <v>REIMON DAVID PIMIENTO CARDENAS</v>
      </c>
      <c r="F52" s="46" t="str">
        <f>IFERROR(VLOOKUP($D52,'BASE DE DATOS'!$B:$I,2,0),0)</f>
        <v>REIMON</v>
      </c>
      <c r="G52" s="46" t="str">
        <f>IFERROR(VLOOKUP($D52,'BASE DE DATOS'!$B:$I,3,0),0)</f>
        <v>DAVID</v>
      </c>
      <c r="H52" s="46" t="str">
        <f>IFERROR(VLOOKUP($D52,'BASE DE DATOS'!$B:$I,4,0),0)</f>
        <v>PIMIENTO</v>
      </c>
      <c r="I52" s="46" t="str">
        <f>IFERROR(VLOOKUP($D52,'BASE DE DATOS'!$B:$I,5,0),0)</f>
        <v>CARDENAS</v>
      </c>
      <c r="J52" s="46">
        <f>IFERROR(VLOOKUP($D52,'BASE DE DATOS'!$B:$I,6,0),0)</f>
        <v>0</v>
      </c>
      <c r="K52">
        <f>IFERROR(VLOOKUP($D52,'BASE DE DATOS'!$B:$I,7,0),0)</f>
        <v>0</v>
      </c>
      <c r="L52" s="46">
        <f>IFERROR(VLOOKUP($D52,'BASE DE DATOS'!$B:$I,8,0),0)</f>
        <v>0</v>
      </c>
      <c r="M52" s="70">
        <v>94000</v>
      </c>
      <c r="N52" s="46" t="str">
        <f t="shared" si="1"/>
        <v>EMPLEADO</v>
      </c>
    </row>
    <row r="53" spans="1:20" ht="13.5" customHeight="1" x14ac:dyDescent="0.25">
      <c r="A53" s="71">
        <f t="shared" si="0"/>
        <v>45726</v>
      </c>
      <c r="B53" s="34">
        <v>49</v>
      </c>
      <c r="D53" s="46">
        <f>IFERROR(VLOOKUP($E53,'BASE DE DATOS'!$A:$I,2,0)," ")</f>
        <v>1114621431</v>
      </c>
      <c r="E53" s="66" t="str">
        <f>[1]FEBRERO!E82</f>
        <v>DANNA  SOALRTE ROJAS</v>
      </c>
      <c r="F53" s="46" t="str">
        <f>IFERROR(VLOOKUP($D53,'BASE DE DATOS'!$B:$I,2,0),0)</f>
        <v>DANNA</v>
      </c>
      <c r="G53" s="46">
        <f>IFERROR(VLOOKUP($D53,'BASE DE DATOS'!$B:$I,3,0),0)</f>
        <v>0</v>
      </c>
      <c r="H53" s="46" t="str">
        <f>IFERROR(VLOOKUP($D53,'BASE DE DATOS'!$B:$I,4,0),0)</f>
        <v>SOALRTE</v>
      </c>
      <c r="I53" s="46" t="str">
        <f>IFERROR(VLOOKUP($D53,'BASE DE DATOS'!$B:$I,5,0),0)</f>
        <v>ROJAS</v>
      </c>
      <c r="J53" s="46" t="str">
        <f>IFERROR(VLOOKUP($D53,'BASE DE DATOS'!$B:$I,6,0),0)</f>
        <v>CR 3 5 38</v>
      </c>
      <c r="K53">
        <f>IFERROR(VLOOKUP($D53,'BASE DE DATOS'!$B:$I,7,0),0)</f>
        <v>3027634803</v>
      </c>
      <c r="L53" s="46">
        <f>IFERROR(VLOOKUP($D53,'BASE DE DATOS'!$B:$I,8,0),0)</f>
        <v>0</v>
      </c>
      <c r="M53" s="70">
        <v>600000</v>
      </c>
      <c r="N53" s="46" t="str">
        <f t="shared" si="1"/>
        <v>EMPLEADO</v>
      </c>
    </row>
    <row r="54" spans="1:20" x14ac:dyDescent="0.25">
      <c r="A54" s="71">
        <f t="shared" si="0"/>
        <v>45726</v>
      </c>
      <c r="B54" s="34">
        <v>48</v>
      </c>
      <c r="D54" s="46">
        <f>IFERROR(VLOOKUP($E54,'BASE DE DATOS'!$A:$I,2,0)," ")</f>
        <v>1006352061</v>
      </c>
      <c r="E54" s="66" t="str">
        <f>[1]FEBRERO!E83</f>
        <v>HERNAN DARIO VARGAS NUÑEZ</v>
      </c>
      <c r="F54" s="46" t="str">
        <f>IFERROR(VLOOKUP($D54,'BASE DE DATOS'!$B:$I,2,0),0)</f>
        <v>HERNAN</v>
      </c>
      <c r="G54" s="46" t="str">
        <f>IFERROR(VLOOKUP($D54,'BASE DE DATOS'!$B:$I,3,0),0)</f>
        <v>DARIO</v>
      </c>
      <c r="H54" s="46" t="str">
        <f>IFERROR(VLOOKUP($D54,'BASE DE DATOS'!$B:$I,4,0),0)</f>
        <v>VARGAS</v>
      </c>
      <c r="I54" s="46" t="str">
        <f>IFERROR(VLOOKUP($D54,'BASE DE DATOS'!$B:$I,5,0),0)</f>
        <v>NUÑEZ</v>
      </c>
      <c r="J54" s="46" t="str">
        <f>IFERROR(VLOOKUP($D54,'BASE DE DATOS'!$B:$I,6,0),0)</f>
        <v>CL 8 2 85</v>
      </c>
      <c r="K54">
        <f>IFERROR(VLOOKUP($D54,'BASE DE DATOS'!$B:$I,7,0),0)</f>
        <v>3127898693</v>
      </c>
      <c r="L54" s="46">
        <f>IFERROR(VLOOKUP($D54,'BASE DE DATOS'!$B:$I,8,0),0)</f>
        <v>0</v>
      </c>
      <c r="M54" s="70">
        <v>387000</v>
      </c>
      <c r="N54" s="46" t="str">
        <f t="shared" si="1"/>
        <v>EMPLEADO</v>
      </c>
    </row>
    <row r="55" spans="1:20" x14ac:dyDescent="0.25">
      <c r="A55" s="71">
        <v>45733</v>
      </c>
      <c r="B55" s="34">
        <v>9482542153</v>
      </c>
      <c r="D55" s="46">
        <f>IFERROR(VLOOKUP($E55,'BASE DE DATOS'!$A:$I,2,0)," ")</f>
        <v>900147238</v>
      </c>
      <c r="E55" s="66" t="str">
        <f>'BASE DE DATOS'!$A$5</f>
        <v>APORTES EN LINEA</v>
      </c>
      <c r="F55" s="46">
        <f>IFERROR(VLOOKUP($D55,'BASE DE DATOS'!$B:$I,2,0),0)</f>
        <v>0</v>
      </c>
      <c r="G55" s="46">
        <f>IFERROR(VLOOKUP($D55,'BASE DE DATOS'!$B:$I,3,0),0)</f>
        <v>0</v>
      </c>
      <c r="H55" s="46">
        <f>IFERROR(VLOOKUP($D55,'BASE DE DATOS'!$B:$I,4,0),0)</f>
        <v>0</v>
      </c>
      <c r="I55" s="46">
        <f>IFERROR(VLOOKUP($D55,'BASE DE DATOS'!$B:$I,5,0),0)</f>
        <v>0</v>
      </c>
      <c r="J55" s="46" t="str">
        <f>IFERROR(VLOOKUP($D55,'BASE DE DATOS'!$B:$I,6,0),0)</f>
        <v>CR 14ª No. 101-47</v>
      </c>
      <c r="K55">
        <f>IFERROR(VLOOKUP($D55,'BASE DE DATOS'!$B:$I,7,0),0)</f>
        <v>4853939</v>
      </c>
      <c r="L55" s="46">
        <f>IFERROR(VLOOKUP($D55,'BASE DE DATOS'!$B:$I,8,0),0)</f>
        <v>0</v>
      </c>
      <c r="M55" s="70">
        <v>440500</v>
      </c>
      <c r="N55" s="46" t="s">
        <v>5</v>
      </c>
    </row>
    <row r="56" spans="1:20" x14ac:dyDescent="0.25">
      <c r="A56" s="71">
        <v>45733</v>
      </c>
      <c r="B56" s="34">
        <v>9482503642</v>
      </c>
      <c r="D56" s="46">
        <f>IFERROR(VLOOKUP($E56,'BASE DE DATOS'!$A:$I,2,0)," ")</f>
        <v>900147238</v>
      </c>
      <c r="E56" s="66" t="s">
        <v>92</v>
      </c>
      <c r="F56" s="46">
        <f>IFERROR(VLOOKUP($D56,'BASE DE DATOS'!$B:$I,2,0),0)</f>
        <v>0</v>
      </c>
      <c r="G56" s="46">
        <f>IFERROR(VLOOKUP($D56,'BASE DE DATOS'!$B:$I,3,0),0)</f>
        <v>0</v>
      </c>
      <c r="H56" s="46">
        <f>IFERROR(VLOOKUP($D56,'BASE DE DATOS'!$B:$I,4,0),0)</f>
        <v>0</v>
      </c>
      <c r="I56" s="46">
        <f>IFERROR(VLOOKUP($D56,'BASE DE DATOS'!$B:$I,5,0),0)</f>
        <v>0</v>
      </c>
      <c r="J56" s="46" t="str">
        <f>IFERROR(VLOOKUP($D56,'BASE DE DATOS'!$B:$I,6,0),0)</f>
        <v>CR 14ª No. 101-47</v>
      </c>
      <c r="K56">
        <f>IFERROR(VLOOKUP($D56,'BASE DE DATOS'!$B:$I,7,0),0)</f>
        <v>4853939</v>
      </c>
      <c r="L56" s="46">
        <f>IFERROR(VLOOKUP($D56,'BASE DE DATOS'!$B:$I,8,0),0)</f>
        <v>0</v>
      </c>
      <c r="M56" s="70">
        <v>467800</v>
      </c>
      <c r="N56" s="46" t="s">
        <v>5</v>
      </c>
    </row>
    <row r="57" spans="1:20" x14ac:dyDescent="0.25">
      <c r="A57" s="71">
        <v>45731</v>
      </c>
      <c r="B57" s="34">
        <v>6299</v>
      </c>
      <c r="D57" s="46">
        <f>IFERROR(VLOOKUP($E57,'BASE DE DATOS'!$A:$I,2,0)," ")</f>
        <v>66660257</v>
      </c>
      <c r="E57" s="66" t="s">
        <v>167</v>
      </c>
      <c r="F57" s="46">
        <f>IFERROR(VLOOKUP($D57,'BASE DE DATOS'!$B:$I,2,0),0)</f>
        <v>0</v>
      </c>
      <c r="G57" s="46">
        <f>IFERROR(VLOOKUP($D57,'BASE DE DATOS'!$B:$I,3,0),0)</f>
        <v>0</v>
      </c>
      <c r="H57" s="46">
        <f>IFERROR(VLOOKUP($D57,'BASE DE DATOS'!$B:$I,4,0),0)</f>
        <v>0</v>
      </c>
      <c r="I57" s="46">
        <f>IFERROR(VLOOKUP($D57,'BASE DE DATOS'!$B:$I,5,0),0)</f>
        <v>0</v>
      </c>
      <c r="J57" s="46" t="str">
        <f>IFERROR(VLOOKUP($D57,'BASE DE DATOS'!$B:$I,6,0),0)</f>
        <v>CL 21 31 37</v>
      </c>
      <c r="K57">
        <f>IFERROR(VLOOKUP($D57,'BASE DE DATOS'!$B:$I,7,0),0)</f>
        <v>3005547057</v>
      </c>
      <c r="L57" s="46">
        <f>IFERROR(VLOOKUP($D57,'BASE DE DATOS'!$B:$I,8,0),0)</f>
        <v>0</v>
      </c>
      <c r="M57" s="70">
        <v>292000</v>
      </c>
      <c r="N57" s="46" t="s">
        <v>46</v>
      </c>
    </row>
    <row r="58" spans="1:20" x14ac:dyDescent="0.25">
      <c r="A58" s="71">
        <v>45728</v>
      </c>
      <c r="B58" s="34">
        <v>142198</v>
      </c>
      <c r="D58" s="46">
        <f>IFERROR(VLOOKUP($E58,'BASE DE DATOS'!$A:$I,2,0)," ")</f>
        <v>901158397</v>
      </c>
      <c r="E58" s="66" t="s">
        <v>257</v>
      </c>
      <c r="F58" s="46">
        <f>IFERROR(VLOOKUP($D58,'BASE DE DATOS'!$B:$I,2,0),0)</f>
        <v>0</v>
      </c>
      <c r="G58" s="46">
        <f>IFERROR(VLOOKUP($D58,'BASE DE DATOS'!$B:$I,3,0),0)</f>
        <v>0</v>
      </c>
      <c r="H58" s="46">
        <f>IFERROR(VLOOKUP($D58,'BASE DE DATOS'!$B:$I,4,0),0)</f>
        <v>0</v>
      </c>
      <c r="I58" s="46">
        <f>IFERROR(VLOOKUP($D58,'BASE DE DATOS'!$B:$I,5,0),0)</f>
        <v>0</v>
      </c>
      <c r="J58" s="46" t="str">
        <f>IFERROR(VLOOKUP($D58,'BASE DE DATOS'!$B:$I,6,0),0)</f>
        <v>CR 17 33 D 36</v>
      </c>
      <c r="K58">
        <f>IFERROR(VLOOKUP($D58,'BASE DE DATOS'!$B:$I,7,0),0)</f>
        <v>3108368823</v>
      </c>
      <c r="L58" s="46">
        <f>IFERROR(VLOOKUP($D58,'BASE DE DATOS'!$B:$I,8,0),0)</f>
        <v>0</v>
      </c>
      <c r="M58" s="70">
        <v>714000</v>
      </c>
      <c r="N58" s="46" t="s">
        <v>5</v>
      </c>
    </row>
    <row r="59" spans="1:20" x14ac:dyDescent="0.25">
      <c r="A59" s="71">
        <v>45731</v>
      </c>
      <c r="B59" s="34">
        <v>30</v>
      </c>
      <c r="D59" s="46">
        <f>IFERROR(VLOOKUP($E59,'BASE DE DATOS'!$A:$I,2,0)," ")</f>
        <v>1006218066</v>
      </c>
      <c r="E59" s="66" t="str">
        <f>'BASE DE DATOS'!$A$29</f>
        <v>CRISTIAN YAHIR GUERRERO GIRON</v>
      </c>
      <c r="F59" s="46" t="str">
        <f>IFERROR(VLOOKUP($D59,'BASE DE DATOS'!$B:$I,2,0),0)</f>
        <v>CRISTIAN</v>
      </c>
      <c r="G59" s="46" t="str">
        <f>IFERROR(VLOOKUP($D59,'BASE DE DATOS'!$B:$I,3,0),0)</f>
        <v>YAHIR</v>
      </c>
      <c r="H59" s="46" t="str">
        <f>IFERROR(VLOOKUP($D59,'BASE DE DATOS'!$B:$I,4,0),0)</f>
        <v>GUERRERO</v>
      </c>
      <c r="I59" s="46" t="str">
        <f>IFERROR(VLOOKUP($D59,'BASE DE DATOS'!$B:$I,5,0),0)</f>
        <v>GIRON</v>
      </c>
      <c r="J59" s="46" t="str">
        <f>IFERROR(VLOOKUP($D59,'BASE DE DATOS'!$B:$I,6,0),0)</f>
        <v>CL 10 14 63</v>
      </c>
      <c r="K59">
        <f>IFERROR(VLOOKUP($D59,'BASE DE DATOS'!$B:$I,7,0),0)</f>
        <v>3215272745</v>
      </c>
      <c r="L59" s="46">
        <f>IFERROR(VLOOKUP($D59,'BASE DE DATOS'!$B:$I,8,0),0)</f>
        <v>0</v>
      </c>
      <c r="M59" s="70">
        <v>1024800</v>
      </c>
      <c r="N59" s="46" t="s">
        <v>510</v>
      </c>
    </row>
    <row r="60" spans="1:20" x14ac:dyDescent="0.25">
      <c r="A60" s="71">
        <v>45731</v>
      </c>
      <c r="B60" s="34">
        <v>11</v>
      </c>
      <c r="D60" s="46">
        <f>IFERROR(VLOOKUP($E60,'BASE DE DATOS'!$A:$I,2,0)," ")</f>
        <v>1006216897</v>
      </c>
      <c r="E60" s="66" t="str">
        <f>'BASE DE DATOS'!$A$164</f>
        <v>JOSE MANUEL OCAMPO VILLADA</v>
      </c>
      <c r="F60" s="46" t="str">
        <f>IFERROR(VLOOKUP($D60,'BASE DE DATOS'!$B:$I,2,0),0)</f>
        <v>JOSE</v>
      </c>
      <c r="G60" s="46" t="str">
        <f>IFERROR(VLOOKUP($D60,'BASE DE DATOS'!$B:$I,3,0),0)</f>
        <v>MANUEL</v>
      </c>
      <c r="H60" s="46" t="str">
        <f>IFERROR(VLOOKUP($D60,'BASE DE DATOS'!$B:$I,4,0),0)</f>
        <v>OCAMPO</v>
      </c>
      <c r="I60" s="46" t="str">
        <f>IFERROR(VLOOKUP($D60,'BASE DE DATOS'!$B:$I,5,0),0)</f>
        <v>VILLADA</v>
      </c>
      <c r="J60" s="46" t="str">
        <f>IFERROR(VLOOKUP($D60,'BASE DE DATOS'!$B:$I,6,0),0)</f>
        <v>MZN H CASA 7 P/MAYO</v>
      </c>
      <c r="K60">
        <f>IFERROR(VLOOKUP($D60,'BASE DE DATOS'!$B:$I,7,0),0)</f>
        <v>3148828370</v>
      </c>
      <c r="L60" s="46">
        <f>IFERROR(VLOOKUP($D60,'BASE DE DATOS'!$B:$I,8,0),0)</f>
        <v>0</v>
      </c>
      <c r="M60" s="70">
        <v>1174384</v>
      </c>
      <c r="N60" s="46" t="s">
        <v>510</v>
      </c>
    </row>
    <row r="61" spans="1:20" x14ac:dyDescent="0.25">
      <c r="A61" s="71">
        <v>45727</v>
      </c>
      <c r="B61" s="34">
        <v>0</v>
      </c>
      <c r="D61" s="46">
        <f>IFERROR(VLOOKUP($E61,'BASE DE DATOS'!$A:$I,2,0)," ")</f>
        <v>0</v>
      </c>
      <c r="E61" s="66" t="s">
        <v>229</v>
      </c>
      <c r="F61" s="46">
        <f>IFERROR(VLOOKUP($D61,'BASE DE DATOS'!$B:$I,2,0),0)</f>
        <v>0</v>
      </c>
      <c r="G61" s="46">
        <f>IFERROR(VLOOKUP($D61,'BASE DE DATOS'!$B:$I,3,0),0)</f>
        <v>0</v>
      </c>
      <c r="H61" s="46">
        <f>IFERROR(VLOOKUP($D61,'BASE DE DATOS'!$B:$I,4,0),0)</f>
        <v>0</v>
      </c>
      <c r="I61" s="46">
        <f>IFERROR(VLOOKUP($D61,'BASE DE DATOS'!$B:$I,5,0),0)</f>
        <v>0</v>
      </c>
      <c r="J61" s="46">
        <f>IFERROR(VLOOKUP($D61,'BASE DE DATOS'!$B:$I,6,0),0)</f>
        <v>0</v>
      </c>
      <c r="K61">
        <f>IFERROR(VLOOKUP($D61,'BASE DE DATOS'!$B:$I,7,0),0)</f>
        <v>0</v>
      </c>
      <c r="L61" s="46">
        <f>IFERROR(VLOOKUP($D61,'BASE DE DATOS'!$B:$I,8,0),0)</f>
        <v>0</v>
      </c>
      <c r="M61" s="70">
        <v>250000</v>
      </c>
      <c r="N61" s="46" t="s">
        <v>5</v>
      </c>
      <c r="O61" s="1"/>
      <c r="P61" s="1"/>
      <c r="Q61" s="1"/>
      <c r="R61" s="1"/>
      <c r="S61" s="1"/>
      <c r="T61" s="1"/>
    </row>
    <row r="62" spans="1:20" x14ac:dyDescent="0.25">
      <c r="A62" s="71">
        <v>45728</v>
      </c>
      <c r="B62" s="34">
        <v>4652</v>
      </c>
      <c r="D62" s="46">
        <f>IFERROR(VLOOKUP($E62,'BASE DE DATOS'!$A:$I,2,0)," ")</f>
        <v>66929745</v>
      </c>
      <c r="E62" s="66" t="s">
        <v>283</v>
      </c>
      <c r="F62" s="46" t="str">
        <f>IFERROR(VLOOKUP($D62,'BASE DE DATOS'!$B:$I,2,0),0)</f>
        <v>MARTHA</v>
      </c>
      <c r="G62" s="46">
        <f>IFERROR(VLOOKUP($D62,'BASE DE DATOS'!$B:$I,3,0),0)</f>
        <v>0</v>
      </c>
      <c r="H62" s="46">
        <f>IFERROR(VLOOKUP($D62,'BASE DE DATOS'!$B:$I,4,0),0)</f>
        <v>0</v>
      </c>
      <c r="I62" s="46">
        <f>IFERROR(VLOOKUP($D62,'BASE DE DATOS'!$B:$I,5,0),0)</f>
        <v>0</v>
      </c>
      <c r="J62" s="46" t="str">
        <f>IFERROR(VLOOKUP($D62,'BASE DE DATOS'!$B:$I,6,0),0)</f>
        <v>CL 8 12 10</v>
      </c>
      <c r="K62">
        <f>IFERROR(VLOOKUP($D62,'BASE DE DATOS'!$B:$I,7,0),0)</f>
        <v>3017199935</v>
      </c>
      <c r="L62" s="46">
        <f>IFERROR(VLOOKUP($D62,'BASE DE DATOS'!$B:$I,8,0),0)</f>
        <v>0</v>
      </c>
      <c r="M62" s="70">
        <v>488200</v>
      </c>
      <c r="N62" s="46" t="s">
        <v>5</v>
      </c>
    </row>
    <row r="63" spans="1:20" s="14" customFormat="1" x14ac:dyDescent="0.25">
      <c r="A63" s="71">
        <v>45728</v>
      </c>
      <c r="B63" s="34">
        <v>289</v>
      </c>
      <c r="C63" s="3"/>
      <c r="D63" s="46">
        <f>IFERROR(VLOOKUP($E63,'BASE DE DATOS'!$A:$I,2,0)," ")</f>
        <v>14695845</v>
      </c>
      <c r="E63" s="66" t="s">
        <v>224</v>
      </c>
      <c r="F63" s="46" t="str">
        <f>IFERROR(VLOOKUP($D63,'BASE DE DATOS'!$B:$I,2,0),0)</f>
        <v>EDELMIRA</v>
      </c>
      <c r="G63" s="46">
        <f>IFERROR(VLOOKUP($D63,'BASE DE DATOS'!$B:$I,3,0),0)</f>
        <v>0</v>
      </c>
      <c r="H63" s="46" t="str">
        <f>IFERROR(VLOOKUP($D63,'BASE DE DATOS'!$B:$I,4,0),0)</f>
        <v>MORALES</v>
      </c>
      <c r="I63" s="46" t="str">
        <f>IFERROR(VLOOKUP($D63,'BASE DE DATOS'!$B:$I,5,0),0)</f>
        <v>ACOSTA</v>
      </c>
      <c r="J63" s="46" t="str">
        <f>IFERROR(VLOOKUP($D63,'BASE DE DATOS'!$B:$I,6,0),0)</f>
        <v>ST 1 MZ 19 VILLAMARINA</v>
      </c>
      <c r="K63">
        <f>IFERROR(VLOOKUP($D63,'BASE DE DATOS'!$B:$I,7,0),0)</f>
        <v>3215223609</v>
      </c>
      <c r="L63" s="46">
        <f>IFERROR(VLOOKUP($D63,'BASE DE DATOS'!$B:$I,8,0),0)</f>
        <v>0</v>
      </c>
      <c r="M63" s="70">
        <v>74327</v>
      </c>
      <c r="N63" s="46" t="s">
        <v>5</v>
      </c>
      <c r="O63" s="3"/>
      <c r="P63" s="3"/>
      <c r="Q63" s="3"/>
      <c r="R63" s="3"/>
      <c r="S63" s="3"/>
      <c r="T63" s="3"/>
    </row>
    <row r="64" spans="1:20" x14ac:dyDescent="0.25">
      <c r="A64" s="71">
        <v>45728</v>
      </c>
      <c r="B64" s="34">
        <v>192</v>
      </c>
      <c r="D64" s="46">
        <f>IFERROR(VLOOKUP($E64,'BASE DE DATOS'!$A:$I,2,0)," ")</f>
        <v>1112230545</v>
      </c>
      <c r="E64" s="66" t="s">
        <v>83</v>
      </c>
      <c r="F64" s="46">
        <f>IFERROR(VLOOKUP($D64,'BASE DE DATOS'!$B:$I,2,0),0)</f>
        <v>0</v>
      </c>
      <c r="G64" s="46">
        <f>IFERROR(VLOOKUP($D64,'BASE DE DATOS'!$B:$I,3,0),0)</f>
        <v>0</v>
      </c>
      <c r="H64" s="46">
        <f>IFERROR(VLOOKUP($D64,'BASE DE DATOS'!$B:$I,4,0),0)</f>
        <v>0</v>
      </c>
      <c r="I64" s="46">
        <f>IFERROR(VLOOKUP($D64,'BASE DE DATOS'!$B:$I,5,0),0)</f>
        <v>0</v>
      </c>
      <c r="J64" s="46">
        <f>IFERROR(VLOOKUP($D64,'BASE DE DATOS'!$B:$I,6,0),0)</f>
        <v>0</v>
      </c>
      <c r="K64">
        <f>IFERROR(VLOOKUP($D64,'BASE DE DATOS'!$B:$I,7,0),0)</f>
        <v>3107292255</v>
      </c>
      <c r="L64" s="46" t="str">
        <f>IFERROR(VLOOKUP($D64,'BASE DE DATOS'!$B:$I,8,0),0)</f>
        <v>NO TIENE</v>
      </c>
      <c r="M64" s="70">
        <v>553000</v>
      </c>
      <c r="N64" s="46" t="s">
        <v>5</v>
      </c>
    </row>
    <row r="65" spans="1:20" x14ac:dyDescent="0.25">
      <c r="A65" s="71">
        <v>45728</v>
      </c>
      <c r="B65" s="34">
        <v>0</v>
      </c>
      <c r="D65" s="46">
        <f>IFERROR(VLOOKUP($E65,'BASE DE DATOS'!$A:$I,2,0)," ")</f>
        <v>0</v>
      </c>
      <c r="E65" s="66" t="s">
        <v>72</v>
      </c>
      <c r="F65" s="46">
        <f>IFERROR(VLOOKUP($D65,'BASE DE DATOS'!$B:$I,2,0),0)</f>
        <v>0</v>
      </c>
      <c r="G65" s="46">
        <f>IFERROR(VLOOKUP($D65,'BASE DE DATOS'!$B:$I,3,0),0)</f>
        <v>0</v>
      </c>
      <c r="H65" s="46">
        <f>IFERROR(VLOOKUP($D65,'BASE DE DATOS'!$B:$I,4,0),0)</f>
        <v>0</v>
      </c>
      <c r="I65" s="46">
        <f>IFERROR(VLOOKUP($D65,'BASE DE DATOS'!$B:$I,5,0),0)</f>
        <v>0</v>
      </c>
      <c r="J65" s="46">
        <f>IFERROR(VLOOKUP($D65,'BASE DE DATOS'!$B:$I,6,0),0)</f>
        <v>0</v>
      </c>
      <c r="K65">
        <f>IFERROR(VLOOKUP($D65,'BASE DE DATOS'!$B:$I,7,0),0)</f>
        <v>0</v>
      </c>
      <c r="L65" s="46">
        <f>IFERROR(VLOOKUP($D65,'BASE DE DATOS'!$B:$I,8,0),0)</f>
        <v>0</v>
      </c>
      <c r="M65" s="70">
        <v>32500</v>
      </c>
      <c r="N65" s="46" t="s">
        <v>9</v>
      </c>
    </row>
    <row r="66" spans="1:20" x14ac:dyDescent="0.25">
      <c r="A66" s="71">
        <v>45729</v>
      </c>
      <c r="B66" s="34">
        <v>0</v>
      </c>
      <c r="D66" s="46">
        <f>IFERROR(VLOOKUP($E66,'BASE DE DATOS'!$A:$I,2,0)," ")</f>
        <v>14695845</v>
      </c>
      <c r="E66" s="66" t="s">
        <v>224</v>
      </c>
      <c r="F66" s="46" t="str">
        <f>IFERROR(VLOOKUP($D66,'BASE DE DATOS'!$B:$I,2,0),0)</f>
        <v>EDELMIRA</v>
      </c>
      <c r="G66" s="46">
        <f>IFERROR(VLOOKUP($D66,'BASE DE DATOS'!$B:$I,3,0),0)</f>
        <v>0</v>
      </c>
      <c r="H66" s="46" t="str">
        <f>IFERROR(VLOOKUP($D66,'BASE DE DATOS'!$B:$I,4,0),0)</f>
        <v>MORALES</v>
      </c>
      <c r="I66" s="46" t="str">
        <f>IFERROR(VLOOKUP($D66,'BASE DE DATOS'!$B:$I,5,0),0)</f>
        <v>ACOSTA</v>
      </c>
      <c r="J66" s="46" t="str">
        <f>IFERROR(VLOOKUP($D66,'BASE DE DATOS'!$B:$I,6,0),0)</f>
        <v>ST 1 MZ 19 VILLAMARINA</v>
      </c>
      <c r="K66">
        <f>IFERROR(VLOOKUP($D66,'BASE DE DATOS'!$B:$I,7,0),0)</f>
        <v>3215223609</v>
      </c>
      <c r="L66" s="46">
        <f>IFERROR(VLOOKUP($D66,'BASE DE DATOS'!$B:$I,8,0),0)</f>
        <v>0</v>
      </c>
      <c r="M66" s="70">
        <v>55000</v>
      </c>
      <c r="N66" s="46" t="s">
        <v>5</v>
      </c>
    </row>
    <row r="67" spans="1:20" x14ac:dyDescent="0.25">
      <c r="A67" s="71">
        <v>45729</v>
      </c>
      <c r="B67" s="34">
        <v>4730</v>
      </c>
      <c r="D67" s="46">
        <f>IFERROR(VLOOKUP($E67,'BASE DE DATOS'!$A:$I,2,0)," ")</f>
        <v>66929745</v>
      </c>
      <c r="E67" s="66" t="s">
        <v>283</v>
      </c>
      <c r="F67" s="46" t="str">
        <f>IFERROR(VLOOKUP($D67,'BASE DE DATOS'!$B:$I,2,0),0)</f>
        <v>MARTHA</v>
      </c>
      <c r="G67" s="46">
        <f>IFERROR(VLOOKUP($D67,'BASE DE DATOS'!$B:$I,3,0),0)</f>
        <v>0</v>
      </c>
      <c r="H67" s="46">
        <f>IFERROR(VLOOKUP($D67,'BASE DE DATOS'!$B:$I,4,0),0)</f>
        <v>0</v>
      </c>
      <c r="I67" s="46">
        <f>IFERROR(VLOOKUP($D67,'BASE DE DATOS'!$B:$I,5,0),0)</f>
        <v>0</v>
      </c>
      <c r="J67" s="46" t="str">
        <f>IFERROR(VLOOKUP($D67,'BASE DE DATOS'!$B:$I,6,0),0)</f>
        <v>CL 8 12 10</v>
      </c>
      <c r="K67">
        <f>IFERROR(VLOOKUP($D67,'BASE DE DATOS'!$B:$I,7,0),0)</f>
        <v>3017199935</v>
      </c>
      <c r="L67" s="46">
        <f>IFERROR(VLOOKUP($D67,'BASE DE DATOS'!$B:$I,8,0),0)</f>
        <v>0</v>
      </c>
      <c r="M67" s="70">
        <v>475600</v>
      </c>
      <c r="N67" s="46" t="s">
        <v>5</v>
      </c>
    </row>
    <row r="68" spans="1:20" x14ac:dyDescent="0.25">
      <c r="A68" s="71">
        <v>45730</v>
      </c>
      <c r="B68" s="34">
        <v>48777</v>
      </c>
      <c r="D68" s="46" t="str">
        <f>IFERROR(VLOOKUP($E68,'BASE DE DATOS'!$A:$I,2,0)," ")</f>
        <v>900163982-1</v>
      </c>
      <c r="E68" s="66" t="str">
        <f>'BASE DE DATOS'!$A$158</f>
        <v xml:space="preserve">PREMIOS Y PROMOCIONES EU </v>
      </c>
      <c r="F68" s="46" t="str">
        <f>IFERROR(VLOOKUP($D68,'BASE DE DATOS'!$B:$I,2,0),0)</f>
        <v xml:space="preserve">KELLY </v>
      </c>
      <c r="G68" s="46">
        <f>IFERROR(VLOOKUP($D68,'BASE DE DATOS'!$B:$I,3,0),0)</f>
        <v>0</v>
      </c>
      <c r="H68" s="46">
        <f>IFERROR(VLOOKUP($D68,'BASE DE DATOS'!$B:$I,4,0),0)</f>
        <v>0</v>
      </c>
      <c r="I68" s="46">
        <f>IFERROR(VLOOKUP($D68,'BASE DE DATOS'!$B:$I,5,0),0)</f>
        <v>0</v>
      </c>
      <c r="J68" s="46" t="str">
        <f>IFERROR(VLOOKUP($D68,'BASE DE DATOS'!$B:$I,6,0),0)</f>
        <v>CALLE 14 8-36</v>
      </c>
      <c r="K68">
        <f>IFERROR(VLOOKUP($D68,'BASE DE DATOS'!$B:$I,7,0),0)</f>
        <v>8899830</v>
      </c>
      <c r="L68" s="46">
        <f>IFERROR(VLOOKUP($D68,'BASE DE DATOS'!$B:$I,8,0),0)</f>
        <v>0</v>
      </c>
      <c r="M68" s="70">
        <v>262000</v>
      </c>
      <c r="N68" s="46" t="s">
        <v>9</v>
      </c>
      <c r="O68" s="1"/>
      <c r="P68" s="1"/>
      <c r="Q68" s="1"/>
      <c r="R68" s="1"/>
      <c r="S68" s="1"/>
      <c r="T68" s="1"/>
    </row>
    <row r="69" spans="1:20" x14ac:dyDescent="0.25">
      <c r="A69" s="71">
        <v>45727</v>
      </c>
      <c r="B69" s="34">
        <v>347729</v>
      </c>
      <c r="D69" s="46">
        <f>IFERROR(VLOOKUP($E69,'BASE DE DATOS'!$A:$I,2,0)," ")</f>
        <v>815002459</v>
      </c>
      <c r="E69" s="66" t="str">
        <f>'BASE DE DATOS'!$A$94</f>
        <v>MERCAPAVA SA</v>
      </c>
      <c r="F69" s="46" t="str">
        <f>IFERROR(VLOOKUP($D69,'BASE DE DATOS'!$B:$I,2,0),0)</f>
        <v>NO TIENE</v>
      </c>
      <c r="G69" s="46" t="str">
        <f>IFERROR(VLOOKUP($D69,'BASE DE DATOS'!$B:$I,3,0),0)</f>
        <v>NO TIENE</v>
      </c>
      <c r="H69" s="46" t="str">
        <f>IFERROR(VLOOKUP($D69,'BASE DE DATOS'!$B:$I,4,0),0)</f>
        <v>NO TIENE</v>
      </c>
      <c r="I69" s="46" t="str">
        <f>IFERROR(VLOOKUP($D69,'BASE DE DATOS'!$B:$I,5,0),0)</f>
        <v>NO TIENE</v>
      </c>
      <c r="J69" s="46" t="str">
        <f>IFERROR(VLOOKUP($D69,'BASE DE DATOS'!$B:$I,6,0),0)</f>
        <v>CL 7 12 03</v>
      </c>
      <c r="K69">
        <f>IFERROR(VLOOKUP($D69,'BASE DE DATOS'!$B:$I,7,0),0)</f>
        <v>3136831049</v>
      </c>
      <c r="L69" s="46">
        <f>IFERROR(VLOOKUP($D69,'BASE DE DATOS'!$B:$I,8,0),0)</f>
        <v>0</v>
      </c>
      <c r="M69" s="70">
        <v>15450</v>
      </c>
      <c r="N69" s="46" t="s">
        <v>9</v>
      </c>
    </row>
    <row r="70" spans="1:20" x14ac:dyDescent="0.25">
      <c r="A70" s="71">
        <v>45730</v>
      </c>
      <c r="B70" s="34">
        <v>4795</v>
      </c>
      <c r="D70" s="46">
        <f>IFERROR(VLOOKUP($E70,'BASE DE DATOS'!$A:$I,2,0)," ")</f>
        <v>66929745</v>
      </c>
      <c r="E70" s="66" t="s">
        <v>283</v>
      </c>
      <c r="F70" s="46" t="str">
        <f>IFERROR(VLOOKUP($D70,'BASE DE DATOS'!$B:$I,2,0),0)</f>
        <v>MARTHA</v>
      </c>
      <c r="G70" s="46">
        <f>IFERROR(VLOOKUP($D70,'BASE DE DATOS'!$B:$I,3,0),0)</f>
        <v>0</v>
      </c>
      <c r="H70" s="46">
        <f>IFERROR(VLOOKUP($D70,'BASE DE DATOS'!$B:$I,4,0),0)</f>
        <v>0</v>
      </c>
      <c r="I70" s="46">
        <f>IFERROR(VLOOKUP($D70,'BASE DE DATOS'!$B:$I,5,0),0)</f>
        <v>0</v>
      </c>
      <c r="J70" s="46" t="str">
        <f>IFERROR(VLOOKUP($D70,'BASE DE DATOS'!$B:$I,6,0),0)</f>
        <v>CL 8 12 10</v>
      </c>
      <c r="K70">
        <f>IFERROR(VLOOKUP($D70,'BASE DE DATOS'!$B:$I,7,0),0)</f>
        <v>3017199935</v>
      </c>
      <c r="L70" s="46">
        <f>IFERROR(VLOOKUP($D70,'BASE DE DATOS'!$B:$I,8,0),0)</f>
        <v>0</v>
      </c>
      <c r="M70" s="70">
        <v>478750</v>
      </c>
      <c r="N70" s="46" t="s">
        <v>5</v>
      </c>
    </row>
    <row r="71" spans="1:20" x14ac:dyDescent="0.25">
      <c r="A71" s="71">
        <v>45731</v>
      </c>
      <c r="B71" s="34">
        <v>4874</v>
      </c>
      <c r="D71" s="46">
        <f>IFERROR(VLOOKUP($E71,'BASE DE DATOS'!$A:$I,2,0)," ")</f>
        <v>66929745</v>
      </c>
      <c r="E71" s="66" t="s">
        <v>283</v>
      </c>
      <c r="F71" s="46" t="str">
        <f>IFERROR(VLOOKUP($D71,'BASE DE DATOS'!$B:$I,2,0),0)</f>
        <v>MARTHA</v>
      </c>
      <c r="G71" s="46">
        <f>IFERROR(VLOOKUP($D71,'BASE DE DATOS'!$B:$I,3,0),0)</f>
        <v>0</v>
      </c>
      <c r="H71" s="46">
        <f>IFERROR(VLOOKUP($D71,'BASE DE DATOS'!$B:$I,4,0),0)</f>
        <v>0</v>
      </c>
      <c r="I71" s="46">
        <f>IFERROR(VLOOKUP($D71,'BASE DE DATOS'!$B:$I,5,0),0)</f>
        <v>0</v>
      </c>
      <c r="J71" s="46" t="str">
        <f>IFERROR(VLOOKUP($D71,'BASE DE DATOS'!$B:$I,6,0),0)</f>
        <v>CL 8 12 10</v>
      </c>
      <c r="K71">
        <f>IFERROR(VLOOKUP($D71,'BASE DE DATOS'!$B:$I,7,0),0)</f>
        <v>3017199935</v>
      </c>
      <c r="L71" s="46">
        <f>IFERROR(VLOOKUP($D71,'BASE DE DATOS'!$B:$I,8,0),0)</f>
        <v>0</v>
      </c>
      <c r="M71" s="70">
        <v>475600</v>
      </c>
      <c r="N71" s="46" t="s">
        <v>5</v>
      </c>
    </row>
    <row r="72" spans="1:20" x14ac:dyDescent="0.25">
      <c r="A72" s="71">
        <v>45730</v>
      </c>
      <c r="B72" s="34">
        <v>697107</v>
      </c>
      <c r="D72" s="46">
        <f>IFERROR(VLOOKUP($E72,'BASE DE DATOS'!$A:$I,2,0)," ")</f>
        <v>890500726</v>
      </c>
      <c r="E72" s="66" t="s">
        <v>58</v>
      </c>
      <c r="F72" s="46" t="str">
        <f>IFERROR(VLOOKUP($D72,'BASE DE DATOS'!$B:$I,2,0),0)</f>
        <v>NO TIENE</v>
      </c>
      <c r="G72" s="46" t="str">
        <f>IFERROR(VLOOKUP($D72,'BASE DE DATOS'!$B:$I,3,0),0)</f>
        <v>NO TIENE</v>
      </c>
      <c r="H72" s="46" t="str">
        <f>IFERROR(VLOOKUP($D72,'BASE DE DATOS'!$B:$I,4,0),0)</f>
        <v>NO TIENE</v>
      </c>
      <c r="I72" s="46" t="str">
        <f>IFERROR(VLOOKUP($D72,'BASE DE DATOS'!$B:$I,5,0),0)</f>
        <v>NO TIENE</v>
      </c>
      <c r="J72" s="46">
        <f>IFERROR(VLOOKUP($D72,'BASE DE DATOS'!$B:$I,6,0),0)</f>
        <v>0</v>
      </c>
      <c r="K72">
        <f>IFERROR(VLOOKUP($D72,'BASE DE DATOS'!$B:$I,7,0),0)</f>
        <v>3208899901</v>
      </c>
      <c r="L72" s="46">
        <f>IFERROR(VLOOKUP($D72,'BASE DE DATOS'!$B:$I,8,0),0)</f>
        <v>0</v>
      </c>
      <c r="M72" s="70">
        <v>420000</v>
      </c>
      <c r="N72" s="46" t="s">
        <v>5</v>
      </c>
    </row>
    <row r="73" spans="1:20" x14ac:dyDescent="0.25">
      <c r="A73" s="71">
        <v>45730</v>
      </c>
      <c r="B73" s="34">
        <v>0</v>
      </c>
      <c r="D73" s="46">
        <f>IFERROR(VLOOKUP($E73,'BASE DE DATOS'!$A:$I,2,0)," ")</f>
        <v>94303413</v>
      </c>
      <c r="E73" s="66" t="s">
        <v>60</v>
      </c>
      <c r="F73" s="46" t="str">
        <f>IFERROR(VLOOKUP($D73,'BASE DE DATOS'!$B:$I,2,0),0)</f>
        <v>GUSTAVO</v>
      </c>
      <c r="G73" s="46" t="str">
        <f>IFERROR(VLOOKUP($D73,'BASE DE DATOS'!$B:$I,3,0),0)</f>
        <v>ADOLFO</v>
      </c>
      <c r="H73" s="46" t="str">
        <f>IFERROR(VLOOKUP($D73,'BASE DE DATOS'!$B:$I,4,0),0)</f>
        <v>CAMPO</v>
      </c>
      <c r="I73" s="46" t="str">
        <f>IFERROR(VLOOKUP($D73,'BASE DE DATOS'!$B:$I,5,0),0)</f>
        <v>TORRES</v>
      </c>
      <c r="J73" s="46" t="str">
        <f>IFERROR(VLOOKUP($D73,'BASE DE DATOS'!$B:$I,6,0),0)</f>
        <v>CL 6 13 04</v>
      </c>
      <c r="K73">
        <f>IFERROR(VLOOKUP($D73,'BASE DE DATOS'!$B:$I,7,0),0)</f>
        <v>3136595942</v>
      </c>
      <c r="L73" s="46">
        <f>IFERROR(VLOOKUP($D73,'BASE DE DATOS'!$B:$I,8,0),0)</f>
        <v>0</v>
      </c>
      <c r="M73" s="70">
        <v>582000</v>
      </c>
      <c r="N73" s="46" t="s">
        <v>5</v>
      </c>
    </row>
    <row r="74" spans="1:20" x14ac:dyDescent="0.25">
      <c r="A74" s="71">
        <v>45731</v>
      </c>
      <c r="B74" s="34">
        <v>0</v>
      </c>
      <c r="D74" s="46">
        <f>IFERROR(VLOOKUP($E74,'BASE DE DATOS'!$A:$I,2,0)," ")</f>
        <v>0</v>
      </c>
      <c r="E74" s="66" t="s">
        <v>23</v>
      </c>
      <c r="F74" s="46">
        <f>IFERROR(VLOOKUP($D74,'BASE DE DATOS'!$B:$I,2,0),0)</f>
        <v>0</v>
      </c>
      <c r="G74" s="46">
        <f>IFERROR(VLOOKUP($D74,'BASE DE DATOS'!$B:$I,3,0),0)</f>
        <v>0</v>
      </c>
      <c r="H74" s="46">
        <f>IFERROR(VLOOKUP($D74,'BASE DE DATOS'!$B:$I,4,0),0)</f>
        <v>0</v>
      </c>
      <c r="I74" s="46">
        <f>IFERROR(VLOOKUP($D74,'BASE DE DATOS'!$B:$I,5,0),0)</f>
        <v>0</v>
      </c>
      <c r="J74" s="46">
        <f>IFERROR(VLOOKUP($D74,'BASE DE DATOS'!$B:$I,6,0),0)</f>
        <v>0</v>
      </c>
      <c r="K74">
        <f>IFERROR(VLOOKUP($D74,'BASE DE DATOS'!$B:$I,7,0),0)</f>
        <v>0</v>
      </c>
      <c r="L74" s="46">
        <f>IFERROR(VLOOKUP($D74,'BASE DE DATOS'!$B:$I,8,0),0)</f>
        <v>0</v>
      </c>
      <c r="M74" s="70">
        <v>94000</v>
      </c>
      <c r="N74" s="46" t="s">
        <v>9</v>
      </c>
    </row>
    <row r="75" spans="1:20" x14ac:dyDescent="0.25">
      <c r="A75" s="71">
        <v>45731</v>
      </c>
      <c r="B75" s="34">
        <v>10629</v>
      </c>
      <c r="D75" s="46">
        <f>IFERROR(VLOOKUP($E75,'BASE DE DATOS'!$A:$I,2,0)," ")</f>
        <v>9017363446</v>
      </c>
      <c r="E75" s="66" t="str">
        <f>'BASE DE DATOS'!$A$141</f>
        <v>DISTRIBUIDORA ZADAY SAS</v>
      </c>
      <c r="F75" s="46" t="str">
        <f>IFERROR(VLOOKUP($D75,'BASE DE DATOS'!$B:$I,2,0),0)</f>
        <v>JORGE</v>
      </c>
      <c r="G75" s="46">
        <f>IFERROR(VLOOKUP($D75,'BASE DE DATOS'!$B:$I,3,0),0)</f>
        <v>0</v>
      </c>
      <c r="H75" s="46" t="str">
        <f>IFERROR(VLOOKUP($D75,'BASE DE DATOS'!$B:$I,4,0),0)</f>
        <v>MOSQUERA</v>
      </c>
      <c r="I75" s="46">
        <f>IFERROR(VLOOKUP($D75,'BASE DE DATOS'!$B:$I,5,0),0)</f>
        <v>0</v>
      </c>
      <c r="J75" s="46" t="str">
        <f>IFERROR(VLOOKUP($D75,'BASE DE DATOS'!$B:$I,6,0),0)</f>
        <v>MANZANA T CASA 17 MARIA 2</v>
      </c>
      <c r="K75">
        <f>IFERROR(VLOOKUP($D75,'BASE DE DATOS'!$B:$I,7,0),0)</f>
        <v>3017939209</v>
      </c>
      <c r="L75" s="46" t="str">
        <f>IFERROR(VLOOKUP($D75,'BASE DE DATOS'!$B:$I,8,0),0)</f>
        <v>reporte@seitem.com</v>
      </c>
      <c r="M75" s="70">
        <v>120000</v>
      </c>
      <c r="N75" s="46" t="s">
        <v>5</v>
      </c>
    </row>
    <row r="76" spans="1:20" x14ac:dyDescent="0.25">
      <c r="A76" s="71">
        <v>45731</v>
      </c>
      <c r="B76" s="34">
        <v>354966</v>
      </c>
      <c r="D76" s="46">
        <f>IFERROR(VLOOKUP($E76,'BASE DE DATOS'!$A:$I,2,0)," ")</f>
        <v>815002459</v>
      </c>
      <c r="E76" s="66" t="s">
        <v>24</v>
      </c>
      <c r="F76" s="46" t="str">
        <f>IFERROR(VLOOKUP($D76,'BASE DE DATOS'!$B:$I,2,0),0)</f>
        <v>NO TIENE</v>
      </c>
      <c r="G76" s="46" t="str">
        <f>IFERROR(VLOOKUP($D76,'BASE DE DATOS'!$B:$I,3,0),0)</f>
        <v>NO TIENE</v>
      </c>
      <c r="H76" s="46" t="str">
        <f>IFERROR(VLOOKUP($D76,'BASE DE DATOS'!$B:$I,4,0),0)</f>
        <v>NO TIENE</v>
      </c>
      <c r="I76" s="46" t="str">
        <f>IFERROR(VLOOKUP($D76,'BASE DE DATOS'!$B:$I,5,0),0)</f>
        <v>NO TIENE</v>
      </c>
      <c r="J76" s="46" t="str">
        <f>IFERROR(VLOOKUP($D76,'BASE DE DATOS'!$B:$I,6,0),0)</f>
        <v>CL 7 12 03</v>
      </c>
      <c r="K76">
        <f>IFERROR(VLOOKUP($D76,'BASE DE DATOS'!$B:$I,7,0),0)</f>
        <v>3136831049</v>
      </c>
      <c r="L76" s="46">
        <f>IFERROR(VLOOKUP($D76,'BASE DE DATOS'!$B:$I,8,0),0)</f>
        <v>0</v>
      </c>
      <c r="M76" s="70">
        <v>34450</v>
      </c>
      <c r="N76" s="46" t="s">
        <v>5</v>
      </c>
    </row>
    <row r="77" spans="1:20" x14ac:dyDescent="0.25">
      <c r="A77" s="71">
        <v>45732</v>
      </c>
      <c r="B77" s="34">
        <v>5042</v>
      </c>
      <c r="D77" s="46">
        <f>IFERROR(VLOOKUP($E77,'BASE DE DATOS'!$A:$I,2,0)," ")</f>
        <v>66929745</v>
      </c>
      <c r="E77" s="66" t="s">
        <v>283</v>
      </c>
      <c r="F77" s="46" t="str">
        <f>IFERROR(VLOOKUP($D77,'BASE DE DATOS'!$B:$I,2,0),0)</f>
        <v>MARTHA</v>
      </c>
      <c r="G77" s="46">
        <f>IFERROR(VLOOKUP($D77,'BASE DE DATOS'!$B:$I,3,0),0)</f>
        <v>0</v>
      </c>
      <c r="H77" s="46">
        <f>IFERROR(VLOOKUP($D77,'BASE DE DATOS'!$B:$I,4,0),0)</f>
        <v>0</v>
      </c>
      <c r="I77" s="46">
        <f>IFERROR(VLOOKUP($D77,'BASE DE DATOS'!$B:$I,5,0),0)</f>
        <v>0</v>
      </c>
      <c r="J77" s="46" t="str">
        <f>IFERROR(VLOOKUP($D77,'BASE DE DATOS'!$B:$I,6,0),0)</f>
        <v>CL 8 12 10</v>
      </c>
      <c r="K77">
        <f>IFERROR(VLOOKUP($D77,'BASE DE DATOS'!$B:$I,7,0),0)</f>
        <v>3017199935</v>
      </c>
      <c r="L77" s="46">
        <f>IFERROR(VLOOKUP($D77,'BASE DE DATOS'!$B:$I,8,0),0)</f>
        <v>0</v>
      </c>
      <c r="M77" s="70">
        <v>486600</v>
      </c>
      <c r="N77" s="46" t="s">
        <v>5</v>
      </c>
    </row>
    <row r="78" spans="1:20" x14ac:dyDescent="0.25">
      <c r="A78" s="71">
        <v>45731</v>
      </c>
      <c r="B78" s="34">
        <v>348772</v>
      </c>
      <c r="D78" s="46">
        <f>IFERROR(VLOOKUP($E78,'BASE DE DATOS'!$A:$I,2,0)," ")</f>
        <v>815002459</v>
      </c>
      <c r="E78" s="66" t="s">
        <v>24</v>
      </c>
      <c r="F78" s="46" t="str">
        <f>IFERROR(VLOOKUP($D78,'BASE DE DATOS'!$B:$I,2,0),0)</f>
        <v>NO TIENE</v>
      </c>
      <c r="G78" s="46" t="str">
        <f>IFERROR(VLOOKUP($D78,'BASE DE DATOS'!$B:$I,3,0),0)</f>
        <v>NO TIENE</v>
      </c>
      <c r="H78" s="46" t="str">
        <f>IFERROR(VLOOKUP($D78,'BASE DE DATOS'!$B:$I,4,0),0)</f>
        <v>NO TIENE</v>
      </c>
      <c r="I78" s="46" t="str">
        <f>IFERROR(VLOOKUP($D78,'BASE DE DATOS'!$B:$I,5,0),0)</f>
        <v>NO TIENE</v>
      </c>
      <c r="J78" s="46" t="str">
        <f>IFERROR(VLOOKUP($D78,'BASE DE DATOS'!$B:$I,6,0),0)</f>
        <v>CL 7 12 03</v>
      </c>
      <c r="K78">
        <f>IFERROR(VLOOKUP($D78,'BASE DE DATOS'!$B:$I,7,0),0)</f>
        <v>3136831049</v>
      </c>
      <c r="L78" s="46">
        <f>IFERROR(VLOOKUP($D78,'BASE DE DATOS'!$B:$I,8,0),0)</f>
        <v>0</v>
      </c>
      <c r="M78" s="70">
        <v>20250</v>
      </c>
      <c r="N78" s="46" t="s">
        <v>9</v>
      </c>
    </row>
    <row r="79" spans="1:20" x14ac:dyDescent="0.25">
      <c r="A79" s="3" t="s">
        <v>544</v>
      </c>
      <c r="B79" s="34">
        <v>0</v>
      </c>
      <c r="D79" s="46">
        <f>IFERROR(VLOOKUP($E79,'BASE DE DATOS'!$A:$I,2,0)," ")</f>
        <v>0</v>
      </c>
      <c r="E79" s="66" t="s">
        <v>517</v>
      </c>
      <c r="F79" s="46">
        <f>IFERROR(VLOOKUP($D79,'BASE DE DATOS'!$B:$I,2,0),0)</f>
        <v>0</v>
      </c>
      <c r="G79" s="46">
        <f>IFERROR(VLOOKUP($D79,'BASE DE DATOS'!$B:$I,3,0),0)</f>
        <v>0</v>
      </c>
      <c r="H79" s="46">
        <f>IFERROR(VLOOKUP($D79,'BASE DE DATOS'!$B:$I,4,0),0)</f>
        <v>0</v>
      </c>
      <c r="I79" s="46">
        <f>IFERROR(VLOOKUP($D79,'BASE DE DATOS'!$B:$I,5,0),0)</f>
        <v>0</v>
      </c>
      <c r="J79" s="46">
        <f>IFERROR(VLOOKUP($D79,'BASE DE DATOS'!$B:$I,6,0),0)</f>
        <v>0</v>
      </c>
      <c r="K79">
        <f>IFERROR(VLOOKUP($D79,'BASE DE DATOS'!$B:$I,7,0),0)</f>
        <v>0</v>
      </c>
      <c r="L79" s="46">
        <f>IFERROR(VLOOKUP($D79,'BASE DE DATOS'!$B:$I,8,0),0)</f>
        <v>0</v>
      </c>
      <c r="M79" s="70">
        <v>15400</v>
      </c>
      <c r="N79" s="46" t="s">
        <v>5</v>
      </c>
    </row>
    <row r="80" spans="1:20" x14ac:dyDescent="0.25">
      <c r="A80" s="71">
        <v>45728</v>
      </c>
      <c r="B80" s="34">
        <v>64782</v>
      </c>
      <c r="D80" s="46">
        <f>IFERROR(VLOOKUP($E80,'BASE DE DATOS'!$A:$I,2,0)," ")</f>
        <v>66931449</v>
      </c>
      <c r="E80" s="66" t="s">
        <v>10</v>
      </c>
      <c r="F80" s="46" t="str">
        <f>IFERROR(VLOOKUP($D80,'BASE DE DATOS'!$B:$I,2,0),0)</f>
        <v>NO TIENE</v>
      </c>
      <c r="G80" s="46" t="str">
        <f>IFERROR(VLOOKUP($D80,'BASE DE DATOS'!$B:$I,3,0),0)</f>
        <v>NO TIENE</v>
      </c>
      <c r="H80" s="46" t="str">
        <f>IFERROR(VLOOKUP($D80,'BASE DE DATOS'!$B:$I,4,0),0)</f>
        <v>NO TIENE</v>
      </c>
      <c r="I80" s="46" t="str">
        <f>IFERROR(VLOOKUP($D80,'BASE DE DATOS'!$B:$I,5,0),0)</f>
        <v>NO TIENE</v>
      </c>
      <c r="J80" s="46" t="str">
        <f>IFERROR(VLOOKUP($D80,'BASE DE DATOS'!$B:$I,6,0),0)</f>
        <v>CR 12 6 33</v>
      </c>
      <c r="K80">
        <f>IFERROR(VLOOKUP($D80,'BASE DE DATOS'!$B:$I,7,0),0)</f>
        <v>2672346</v>
      </c>
      <c r="L80" s="46" t="str">
        <f>IFERROR(VLOOKUP($D80,'BASE DE DATOS'!$B:$I,8,0),0)</f>
        <v>NO TIENE</v>
      </c>
      <c r="M80" s="70">
        <v>323000</v>
      </c>
      <c r="N80" s="46" t="s">
        <v>9</v>
      </c>
    </row>
    <row r="81" spans="1:20" x14ac:dyDescent="0.25">
      <c r="A81" s="71">
        <v>45731</v>
      </c>
      <c r="B81" s="34">
        <v>0</v>
      </c>
      <c r="D81" s="46">
        <f>IFERROR(VLOOKUP($E81,'BASE DE DATOS'!$A:$I,2,0)," ")</f>
        <v>0</v>
      </c>
      <c r="E81" s="66" t="s">
        <v>72</v>
      </c>
      <c r="F81" s="46">
        <f>IFERROR(VLOOKUP($D81,'BASE DE DATOS'!$B:$I,2,0),0)</f>
        <v>0</v>
      </c>
      <c r="G81" s="46">
        <f>IFERROR(VLOOKUP($D81,'BASE DE DATOS'!$B:$I,3,0),0)</f>
        <v>0</v>
      </c>
      <c r="H81" s="46">
        <f>IFERROR(VLOOKUP($D81,'BASE DE DATOS'!$B:$I,4,0),0)</f>
        <v>0</v>
      </c>
      <c r="I81" s="46">
        <f>IFERROR(VLOOKUP($D81,'BASE DE DATOS'!$B:$I,5,0),0)</f>
        <v>0</v>
      </c>
      <c r="J81" s="46">
        <f>IFERROR(VLOOKUP($D81,'BASE DE DATOS'!$B:$I,6,0),0)</f>
        <v>0</v>
      </c>
      <c r="K81">
        <f>IFERROR(VLOOKUP($D81,'BASE DE DATOS'!$B:$I,7,0),0)</f>
        <v>0</v>
      </c>
      <c r="L81" s="46">
        <f>IFERROR(VLOOKUP($D81,'BASE DE DATOS'!$B:$I,8,0),0)</f>
        <v>0</v>
      </c>
      <c r="M81" s="70">
        <v>25000</v>
      </c>
      <c r="N81" s="46" t="s">
        <v>9</v>
      </c>
    </row>
    <row r="82" spans="1:20" x14ac:dyDescent="0.25">
      <c r="A82" s="71">
        <v>45731</v>
      </c>
      <c r="B82" s="34">
        <v>0</v>
      </c>
      <c r="D82" s="46">
        <f>IFERROR(VLOOKUP($E82,'BASE DE DATOS'!$A:$I,2,0)," ")</f>
        <v>0</v>
      </c>
      <c r="E82" s="66" t="s">
        <v>23</v>
      </c>
      <c r="F82" s="46">
        <f>IFERROR(VLOOKUP($D82,'BASE DE DATOS'!$B:$I,2,0),0)</f>
        <v>0</v>
      </c>
      <c r="G82" s="46">
        <f>IFERROR(VLOOKUP($D82,'BASE DE DATOS'!$B:$I,3,0),0)</f>
        <v>0</v>
      </c>
      <c r="H82" s="46">
        <f>IFERROR(VLOOKUP($D82,'BASE DE DATOS'!$B:$I,4,0),0)</f>
        <v>0</v>
      </c>
      <c r="I82" s="46">
        <f>IFERROR(VLOOKUP($D82,'BASE DE DATOS'!$B:$I,5,0),0)</f>
        <v>0</v>
      </c>
      <c r="J82" s="46">
        <f>IFERROR(VLOOKUP($D82,'BASE DE DATOS'!$B:$I,6,0),0)</f>
        <v>0</v>
      </c>
      <c r="K82">
        <f>IFERROR(VLOOKUP($D82,'BASE DE DATOS'!$B:$I,7,0),0)</f>
        <v>0</v>
      </c>
      <c r="L82" s="46">
        <f>IFERROR(VLOOKUP($D82,'BASE DE DATOS'!$B:$I,8,0),0)</f>
        <v>0</v>
      </c>
      <c r="M82" s="70">
        <v>120000</v>
      </c>
      <c r="N82" s="46" t="s">
        <v>9</v>
      </c>
    </row>
    <row r="83" spans="1:20" x14ac:dyDescent="0.25">
      <c r="A83" s="71">
        <v>45727</v>
      </c>
      <c r="B83" s="34">
        <v>2681451</v>
      </c>
      <c r="D83" s="46">
        <f>IFERROR(VLOOKUP($E83,'BASE DE DATOS'!$A:$I,2,0)," ")</f>
        <v>815003414</v>
      </c>
      <c r="E83" s="66" t="str">
        <f>'BASE DE DATOS'!$A$44</f>
        <v>DISTRIVENTAS SAS</v>
      </c>
      <c r="F83" s="46" t="str">
        <f>IFERROR(VLOOKUP($D83,'BASE DE DATOS'!$B:$I,2,0),0)</f>
        <v>NO TIENE</v>
      </c>
      <c r="G83" s="46" t="str">
        <f>IFERROR(VLOOKUP($D83,'BASE DE DATOS'!$B:$I,3,0),0)</f>
        <v>NO TIENE</v>
      </c>
      <c r="H83" s="46" t="str">
        <f>IFERROR(VLOOKUP($D83,'BASE DE DATOS'!$B:$I,4,0),0)</f>
        <v>NO TIENE</v>
      </c>
      <c r="I83" s="46" t="str">
        <f>IFERROR(VLOOKUP($D83,'BASE DE DATOS'!$B:$I,5,0),0)</f>
        <v>NO TIENE</v>
      </c>
      <c r="J83" s="46" t="str">
        <f>IFERROR(VLOOKUP($D83,'BASE DE DATOS'!$B:$I,6,0),0)</f>
        <v>CL 47 34C 45 B</v>
      </c>
      <c r="K83">
        <f>IFERROR(VLOOKUP($D83,'BASE DE DATOS'!$B:$I,7,0),0)</f>
        <v>3218057166</v>
      </c>
      <c r="L83" s="46">
        <f>IFERROR(VLOOKUP($D83,'BASE DE DATOS'!$B:$I,8,0),0)</f>
        <v>0</v>
      </c>
      <c r="M83" s="70">
        <v>1507264</v>
      </c>
      <c r="N83" s="46" t="s">
        <v>5</v>
      </c>
    </row>
    <row r="84" spans="1:20" x14ac:dyDescent="0.25">
      <c r="A84" s="71">
        <v>45733</v>
      </c>
      <c r="B84" s="34">
        <v>0</v>
      </c>
      <c r="D84" s="46">
        <f>IFERROR(VLOOKUP($E84,'BASE DE DATOS'!$A:$I,2,0)," ")</f>
        <v>0</v>
      </c>
      <c r="E84" s="66" t="str">
        <f>$E$38</f>
        <v xml:space="preserve">MERCAFRUVER LA ECONOMIA demi pradera </v>
      </c>
      <c r="F84" s="46">
        <f>IFERROR(VLOOKUP($D84,'BASE DE DATOS'!$B:$I,2,0),0)</f>
        <v>0</v>
      </c>
      <c r="G84" s="46">
        <f>IFERROR(VLOOKUP($D84,'BASE DE DATOS'!$B:$I,3,0),0)</f>
        <v>0</v>
      </c>
      <c r="H84" s="46">
        <f>IFERROR(VLOOKUP($D84,'BASE DE DATOS'!$B:$I,4,0),0)</f>
        <v>0</v>
      </c>
      <c r="I84" s="46">
        <f>IFERROR(VLOOKUP($D84,'BASE DE DATOS'!$B:$I,5,0),0)</f>
        <v>0</v>
      </c>
      <c r="J84" s="46">
        <f>IFERROR(VLOOKUP($D84,'BASE DE DATOS'!$B:$I,6,0),0)</f>
        <v>0</v>
      </c>
      <c r="K84">
        <f>IFERROR(VLOOKUP($D84,'BASE DE DATOS'!$B:$I,7,0),0)</f>
        <v>0</v>
      </c>
      <c r="L84" s="46">
        <f>IFERROR(VLOOKUP($D84,'BASE DE DATOS'!$B:$I,8,0),0)</f>
        <v>0</v>
      </c>
      <c r="M84" s="70">
        <v>96000</v>
      </c>
      <c r="N84" s="46" t="s">
        <v>5</v>
      </c>
      <c r="O84" s="1"/>
      <c r="P84" s="1"/>
      <c r="Q84" s="1"/>
      <c r="R84" s="1"/>
      <c r="S84" s="1"/>
      <c r="T84" s="1"/>
    </row>
    <row r="85" spans="1:20" x14ac:dyDescent="0.25">
      <c r="A85" s="71">
        <v>45736</v>
      </c>
      <c r="B85" s="34">
        <v>0</v>
      </c>
      <c r="D85" s="46">
        <f>IFERROR(VLOOKUP($E85,'BASE DE DATOS'!$A:$I,2,0)," ")</f>
        <v>0</v>
      </c>
      <c r="E85" s="66" t="s">
        <v>72</v>
      </c>
      <c r="F85" s="46">
        <f>IFERROR(VLOOKUP($D85,'BASE DE DATOS'!$B:$I,2,0),0)</f>
        <v>0</v>
      </c>
      <c r="G85" s="46">
        <f>IFERROR(VLOOKUP($D85,'BASE DE DATOS'!$B:$I,3,0),0)</f>
        <v>0</v>
      </c>
      <c r="H85" s="46">
        <f>IFERROR(VLOOKUP($D85,'BASE DE DATOS'!$B:$I,4,0),0)</f>
        <v>0</v>
      </c>
      <c r="I85" s="46">
        <f>IFERROR(VLOOKUP($D85,'BASE DE DATOS'!$B:$I,5,0),0)</f>
        <v>0</v>
      </c>
      <c r="J85" s="46">
        <f>IFERROR(VLOOKUP($D85,'BASE DE DATOS'!$B:$I,6,0),0)</f>
        <v>0</v>
      </c>
      <c r="K85">
        <f>IFERROR(VLOOKUP($D85,'BASE DE DATOS'!$B:$I,7,0),0)</f>
        <v>0</v>
      </c>
      <c r="L85" s="46">
        <f>IFERROR(VLOOKUP($D85,'BASE DE DATOS'!$B:$I,8,0),0)</f>
        <v>0</v>
      </c>
      <c r="M85" s="70">
        <v>26000</v>
      </c>
      <c r="N85" s="46" t="s">
        <v>9</v>
      </c>
    </row>
    <row r="86" spans="1:20" x14ac:dyDescent="0.25">
      <c r="A86" s="71">
        <v>45735</v>
      </c>
      <c r="B86" s="34">
        <v>250106</v>
      </c>
      <c r="D86" s="46">
        <f>IFERROR(VLOOKUP($E86,'BASE DE DATOS'!$A:$I,2,0)," ")</f>
        <v>815002459</v>
      </c>
      <c r="E86" s="66" t="s">
        <v>24</v>
      </c>
      <c r="F86" s="46" t="str">
        <f>IFERROR(VLOOKUP($D86,'BASE DE DATOS'!$B:$I,2,0),0)</f>
        <v>NO TIENE</v>
      </c>
      <c r="G86" s="46" t="str">
        <f>IFERROR(VLOOKUP($D86,'BASE DE DATOS'!$B:$I,3,0),0)</f>
        <v>NO TIENE</v>
      </c>
      <c r="H86" s="46" t="str">
        <f>IFERROR(VLOOKUP($D86,'BASE DE DATOS'!$B:$I,4,0),0)</f>
        <v>NO TIENE</v>
      </c>
      <c r="I86" s="46" t="str">
        <f>IFERROR(VLOOKUP($D86,'BASE DE DATOS'!$B:$I,5,0),0)</f>
        <v>NO TIENE</v>
      </c>
      <c r="J86" s="46" t="str">
        <f>IFERROR(VLOOKUP($D86,'BASE DE DATOS'!$B:$I,6,0),0)</f>
        <v>CL 7 12 03</v>
      </c>
      <c r="K86">
        <f>IFERROR(VLOOKUP($D86,'BASE DE DATOS'!$B:$I,7,0),0)</f>
        <v>3136831049</v>
      </c>
      <c r="L86" s="46">
        <f>IFERROR(VLOOKUP($D86,'BASE DE DATOS'!$B:$I,8,0),0)</f>
        <v>0</v>
      </c>
      <c r="M86" s="70">
        <v>70000</v>
      </c>
      <c r="N86" s="46" t="s">
        <v>5</v>
      </c>
    </row>
    <row r="87" spans="1:20" x14ac:dyDescent="0.25">
      <c r="A87" s="71">
        <v>45735</v>
      </c>
      <c r="B87" s="34">
        <v>359</v>
      </c>
      <c r="D87" s="46">
        <f>IFERROR(VLOOKUP($E87,'BASE DE DATOS'!$A:$I,2,0)," ")</f>
        <v>1112230545</v>
      </c>
      <c r="E87" s="66" t="s">
        <v>83</v>
      </c>
      <c r="F87" s="46">
        <f>IFERROR(VLOOKUP($D87,'BASE DE DATOS'!$B:$I,2,0),0)</f>
        <v>0</v>
      </c>
      <c r="G87" s="46">
        <f>IFERROR(VLOOKUP($D87,'BASE DE DATOS'!$B:$I,3,0),0)</f>
        <v>0</v>
      </c>
      <c r="H87" s="46">
        <f>IFERROR(VLOOKUP($D87,'BASE DE DATOS'!$B:$I,4,0),0)</f>
        <v>0</v>
      </c>
      <c r="I87" s="46">
        <f>IFERROR(VLOOKUP($D87,'BASE DE DATOS'!$B:$I,5,0),0)</f>
        <v>0</v>
      </c>
      <c r="J87" s="46">
        <f>IFERROR(VLOOKUP($D87,'BASE DE DATOS'!$B:$I,6,0),0)</f>
        <v>0</v>
      </c>
      <c r="K87">
        <f>IFERROR(VLOOKUP($D87,'BASE DE DATOS'!$B:$I,7,0),0)</f>
        <v>3107292255</v>
      </c>
      <c r="L87" s="46" t="str">
        <f>IFERROR(VLOOKUP($D87,'BASE DE DATOS'!$B:$I,8,0),0)</f>
        <v>NO TIENE</v>
      </c>
      <c r="M87" s="70">
        <v>512500</v>
      </c>
      <c r="N87" s="46" t="s">
        <v>9</v>
      </c>
    </row>
    <row r="88" spans="1:20" x14ac:dyDescent="0.25">
      <c r="A88" s="71">
        <v>45735</v>
      </c>
      <c r="B88" s="34">
        <v>0</v>
      </c>
      <c r="D88" s="46">
        <f>IFERROR(VLOOKUP($E88,'BASE DE DATOS'!$A:$I,2,0)," ")</f>
        <v>0</v>
      </c>
      <c r="E88" s="66" t="s">
        <v>23</v>
      </c>
      <c r="F88" s="46">
        <f>IFERROR(VLOOKUP($D88,'BASE DE DATOS'!$B:$I,2,0),0)</f>
        <v>0</v>
      </c>
      <c r="G88" s="46">
        <f>IFERROR(VLOOKUP($D88,'BASE DE DATOS'!$B:$I,3,0),0)</f>
        <v>0</v>
      </c>
      <c r="H88" s="46">
        <f>IFERROR(VLOOKUP($D88,'BASE DE DATOS'!$B:$I,4,0),0)</f>
        <v>0</v>
      </c>
      <c r="I88" s="46">
        <f>IFERROR(VLOOKUP($D88,'BASE DE DATOS'!$B:$I,5,0),0)</f>
        <v>0</v>
      </c>
      <c r="J88" s="46">
        <f>IFERROR(VLOOKUP($D88,'BASE DE DATOS'!$B:$I,6,0),0)</f>
        <v>0</v>
      </c>
      <c r="K88">
        <f>IFERROR(VLOOKUP($D88,'BASE DE DATOS'!$B:$I,7,0),0)</f>
        <v>0</v>
      </c>
      <c r="L88" s="46">
        <f>IFERROR(VLOOKUP($D88,'BASE DE DATOS'!$B:$I,8,0),0)</f>
        <v>0</v>
      </c>
      <c r="M88" s="70">
        <v>10000</v>
      </c>
      <c r="N88" s="46" t="s">
        <v>9</v>
      </c>
    </row>
    <row r="89" spans="1:20" x14ac:dyDescent="0.25">
      <c r="A89" s="71">
        <v>45735</v>
      </c>
      <c r="B89" s="34">
        <v>5153</v>
      </c>
      <c r="D89" s="46">
        <f>IFERROR(VLOOKUP($E89,'BASE DE DATOS'!$A:$I,2,0)," ")</f>
        <v>66929745</v>
      </c>
      <c r="E89" s="66" t="s">
        <v>283</v>
      </c>
      <c r="F89" s="46" t="str">
        <f>IFERROR(VLOOKUP($D89,'BASE DE DATOS'!$B:$I,2,0),0)</f>
        <v>MARTHA</v>
      </c>
      <c r="G89" s="46">
        <f>IFERROR(VLOOKUP($D89,'BASE DE DATOS'!$B:$I,3,0),0)</f>
        <v>0</v>
      </c>
      <c r="H89" s="46">
        <f>IFERROR(VLOOKUP($D89,'BASE DE DATOS'!$B:$I,4,0),0)</f>
        <v>0</v>
      </c>
      <c r="I89" s="46">
        <f>IFERROR(VLOOKUP($D89,'BASE DE DATOS'!$B:$I,5,0),0)</f>
        <v>0</v>
      </c>
      <c r="J89" s="46" t="str">
        <f>IFERROR(VLOOKUP($D89,'BASE DE DATOS'!$B:$I,6,0),0)</f>
        <v>CL 8 12 10</v>
      </c>
      <c r="K89">
        <f>IFERROR(VLOOKUP($D89,'BASE DE DATOS'!$B:$I,7,0),0)</f>
        <v>3017199935</v>
      </c>
      <c r="L89" s="46">
        <f>IFERROR(VLOOKUP($D89,'BASE DE DATOS'!$B:$I,8,0),0)</f>
        <v>0</v>
      </c>
      <c r="M89" s="70">
        <v>483500</v>
      </c>
      <c r="N89" s="46" t="s">
        <v>5</v>
      </c>
      <c r="O89" s="1"/>
      <c r="P89" s="1"/>
      <c r="Q89" s="1"/>
      <c r="R89" s="1"/>
      <c r="S89" s="1"/>
      <c r="T89" s="1"/>
    </row>
    <row r="90" spans="1:20" ht="14.25" customHeight="1" x14ac:dyDescent="0.25">
      <c r="A90" s="71">
        <v>45735</v>
      </c>
      <c r="B90" s="34">
        <v>0</v>
      </c>
      <c r="D90" s="46">
        <f>IFERROR(VLOOKUP($E90,'BASE DE DATOS'!$A:$I,2,0)," ")</f>
        <v>14695845</v>
      </c>
      <c r="E90" s="66" t="s">
        <v>224</v>
      </c>
      <c r="F90" s="46" t="str">
        <f>IFERROR(VLOOKUP($D90,'BASE DE DATOS'!$B:$I,2,0),0)</f>
        <v>EDELMIRA</v>
      </c>
      <c r="G90" s="46">
        <f>IFERROR(VLOOKUP($D90,'BASE DE DATOS'!$B:$I,3,0),0)</f>
        <v>0</v>
      </c>
      <c r="H90" s="46" t="str">
        <f>IFERROR(VLOOKUP($D90,'BASE DE DATOS'!$B:$I,4,0),0)</f>
        <v>MORALES</v>
      </c>
      <c r="I90" s="46" t="str">
        <f>IFERROR(VLOOKUP($D90,'BASE DE DATOS'!$B:$I,5,0),0)</f>
        <v>ACOSTA</v>
      </c>
      <c r="J90" s="46" t="str">
        <f>IFERROR(VLOOKUP($D90,'BASE DE DATOS'!$B:$I,6,0),0)</f>
        <v>ST 1 MZ 19 VILLAMARINA</v>
      </c>
      <c r="K90">
        <f>IFERROR(VLOOKUP($D90,'BASE DE DATOS'!$B:$I,7,0),0)</f>
        <v>3215223609</v>
      </c>
      <c r="L90" s="46">
        <f>IFERROR(VLOOKUP($D90,'BASE DE DATOS'!$B:$I,8,0),0)</f>
        <v>0</v>
      </c>
      <c r="M90" s="70">
        <v>55000</v>
      </c>
      <c r="N90" s="46" t="s">
        <v>5</v>
      </c>
    </row>
    <row r="91" spans="1:20" x14ac:dyDescent="0.25">
      <c r="A91" s="71">
        <v>45734</v>
      </c>
      <c r="B91" s="34">
        <v>0</v>
      </c>
      <c r="D91" s="46">
        <f>IFERROR(VLOOKUP($E91,'BASE DE DATOS'!$A:$I,2,0)," ")</f>
        <v>94303413</v>
      </c>
      <c r="E91" s="66" t="s">
        <v>60</v>
      </c>
      <c r="F91" s="46" t="str">
        <f>IFERROR(VLOOKUP($D91,'BASE DE DATOS'!$B:$I,2,0),0)</f>
        <v>GUSTAVO</v>
      </c>
      <c r="G91" s="46" t="str">
        <f>IFERROR(VLOOKUP($D91,'BASE DE DATOS'!$B:$I,3,0),0)</f>
        <v>ADOLFO</v>
      </c>
      <c r="H91" s="46" t="str">
        <f>IFERROR(VLOOKUP($D91,'BASE DE DATOS'!$B:$I,4,0),0)</f>
        <v>CAMPO</v>
      </c>
      <c r="I91" s="46" t="str">
        <f>IFERROR(VLOOKUP($D91,'BASE DE DATOS'!$B:$I,5,0),0)</f>
        <v>TORRES</v>
      </c>
      <c r="J91" s="46" t="str">
        <f>IFERROR(VLOOKUP($D91,'BASE DE DATOS'!$B:$I,6,0),0)</f>
        <v>CL 6 13 04</v>
      </c>
      <c r="K91">
        <f>IFERROR(VLOOKUP($D91,'BASE DE DATOS'!$B:$I,7,0),0)</f>
        <v>3136595942</v>
      </c>
      <c r="L91" s="46">
        <f>IFERROR(VLOOKUP($D91,'BASE DE DATOS'!$B:$I,8,0),0)</f>
        <v>0</v>
      </c>
      <c r="M91" s="70">
        <v>582000</v>
      </c>
      <c r="N91" s="46" t="s">
        <v>5</v>
      </c>
    </row>
    <row r="92" spans="1:20" x14ac:dyDescent="0.25">
      <c r="A92" s="71">
        <v>45734</v>
      </c>
      <c r="B92" s="34">
        <v>0</v>
      </c>
      <c r="D92" s="46">
        <f>IFERROR(VLOOKUP($E92,'BASE DE DATOS'!$A:$I,2,0)," ")</f>
        <v>0</v>
      </c>
      <c r="E92" s="66" t="s">
        <v>229</v>
      </c>
      <c r="F92" s="46">
        <f>IFERROR(VLOOKUP($D92,'BASE DE DATOS'!$B:$I,2,0),0)</f>
        <v>0</v>
      </c>
      <c r="G92" s="46">
        <f>IFERROR(VLOOKUP($D92,'BASE DE DATOS'!$B:$I,3,0),0)</f>
        <v>0</v>
      </c>
      <c r="H92" s="46">
        <f>IFERROR(VLOOKUP($D92,'BASE DE DATOS'!$B:$I,4,0),0)</f>
        <v>0</v>
      </c>
      <c r="I92" s="46">
        <f>IFERROR(VLOOKUP($D92,'BASE DE DATOS'!$B:$I,5,0),0)</f>
        <v>0</v>
      </c>
      <c r="J92" s="46">
        <f>IFERROR(VLOOKUP($D92,'BASE DE DATOS'!$B:$I,6,0),0)</f>
        <v>0</v>
      </c>
      <c r="K92">
        <f>IFERROR(VLOOKUP($D92,'BASE DE DATOS'!$B:$I,7,0),0)</f>
        <v>0</v>
      </c>
      <c r="L92" s="46">
        <f>IFERROR(VLOOKUP($D92,'BASE DE DATOS'!$B:$I,8,0),0)</f>
        <v>0</v>
      </c>
      <c r="M92" s="70">
        <v>240000</v>
      </c>
      <c r="N92" s="46" t="s">
        <v>5</v>
      </c>
    </row>
    <row r="93" spans="1:20" x14ac:dyDescent="0.25">
      <c r="A93" s="71">
        <v>45736</v>
      </c>
      <c r="B93" s="34">
        <v>0</v>
      </c>
      <c r="D93" s="46">
        <f>IFERROR(VLOOKUP($E93,'BASE DE DATOS'!$A:$I,2,0)," ")</f>
        <v>14695845</v>
      </c>
      <c r="E93" s="66" t="s">
        <v>224</v>
      </c>
      <c r="F93" s="46" t="str">
        <f>IFERROR(VLOOKUP($D93,'BASE DE DATOS'!$B:$I,2,0),0)</f>
        <v>EDELMIRA</v>
      </c>
      <c r="G93" s="46">
        <f>IFERROR(VLOOKUP($D93,'BASE DE DATOS'!$B:$I,3,0),0)</f>
        <v>0</v>
      </c>
      <c r="H93" s="46" t="str">
        <f>IFERROR(VLOOKUP($D93,'BASE DE DATOS'!$B:$I,4,0),0)</f>
        <v>MORALES</v>
      </c>
      <c r="I93" s="46" t="str">
        <f>IFERROR(VLOOKUP($D93,'BASE DE DATOS'!$B:$I,5,0),0)</f>
        <v>ACOSTA</v>
      </c>
      <c r="J93" s="46" t="str">
        <f>IFERROR(VLOOKUP($D93,'BASE DE DATOS'!$B:$I,6,0),0)</f>
        <v>ST 1 MZ 19 VILLAMARINA</v>
      </c>
      <c r="K93">
        <f>IFERROR(VLOOKUP($D93,'BASE DE DATOS'!$B:$I,7,0),0)</f>
        <v>3215223609</v>
      </c>
      <c r="L93" s="46">
        <f>IFERROR(VLOOKUP($D93,'BASE DE DATOS'!$B:$I,8,0),0)</f>
        <v>0</v>
      </c>
      <c r="M93" s="70">
        <v>65000</v>
      </c>
      <c r="N93" s="46" t="s">
        <v>5</v>
      </c>
    </row>
    <row r="94" spans="1:20" x14ac:dyDescent="0.25">
      <c r="A94" s="71">
        <v>45736</v>
      </c>
      <c r="B94" s="34">
        <v>5221</v>
      </c>
      <c r="D94" s="46">
        <f>IFERROR(VLOOKUP($E94,'BASE DE DATOS'!$A:$I,2,0)," ")</f>
        <v>66929745</v>
      </c>
      <c r="E94" s="66" t="s">
        <v>283</v>
      </c>
      <c r="F94" s="46" t="str">
        <f>IFERROR(VLOOKUP($D94,'BASE DE DATOS'!$B:$I,2,0),0)</f>
        <v>MARTHA</v>
      </c>
      <c r="G94" s="46">
        <f>IFERROR(VLOOKUP($D94,'BASE DE DATOS'!$B:$I,3,0),0)</f>
        <v>0</v>
      </c>
      <c r="H94" s="46">
        <f>IFERROR(VLOOKUP($D94,'BASE DE DATOS'!$B:$I,4,0),0)</f>
        <v>0</v>
      </c>
      <c r="I94" s="46">
        <f>IFERROR(VLOOKUP($D94,'BASE DE DATOS'!$B:$I,5,0),0)</f>
        <v>0</v>
      </c>
      <c r="J94" s="46" t="str">
        <f>IFERROR(VLOOKUP($D94,'BASE DE DATOS'!$B:$I,6,0),0)</f>
        <v>CL 8 12 10</v>
      </c>
      <c r="K94">
        <f>IFERROR(VLOOKUP($D94,'BASE DE DATOS'!$B:$I,7,0),0)</f>
        <v>3017199935</v>
      </c>
      <c r="L94" s="46">
        <f>IFERROR(VLOOKUP($D94,'BASE DE DATOS'!$B:$I,8,0),0)</f>
        <v>0</v>
      </c>
      <c r="M94" s="70">
        <v>474000</v>
      </c>
      <c r="N94" s="46" t="s">
        <v>5</v>
      </c>
    </row>
    <row r="95" spans="1:20" x14ac:dyDescent="0.25">
      <c r="A95" s="71">
        <v>45736</v>
      </c>
      <c r="B95" s="34">
        <v>10567</v>
      </c>
      <c r="D95" s="46">
        <f>IFERROR(VLOOKUP($E95,'BASE DE DATOS'!$A:$I,2,0)," ")</f>
        <v>9017363446</v>
      </c>
      <c r="E95" s="66" t="s">
        <v>385</v>
      </c>
      <c r="F95" s="46" t="str">
        <f>IFERROR(VLOOKUP($D95,'BASE DE DATOS'!$B:$I,2,0),0)</f>
        <v>JORGE</v>
      </c>
      <c r="G95" s="46">
        <f>IFERROR(VLOOKUP($D95,'BASE DE DATOS'!$B:$I,3,0),0)</f>
        <v>0</v>
      </c>
      <c r="H95" s="46" t="str">
        <f>IFERROR(VLOOKUP($D95,'BASE DE DATOS'!$B:$I,4,0),0)</f>
        <v>MOSQUERA</v>
      </c>
      <c r="I95" s="46">
        <f>IFERROR(VLOOKUP($D95,'BASE DE DATOS'!$B:$I,5,0),0)</f>
        <v>0</v>
      </c>
      <c r="J95" s="46" t="str">
        <f>IFERROR(VLOOKUP($D95,'BASE DE DATOS'!$B:$I,6,0),0)</f>
        <v>MANZANA T CASA 17 MARIA 2</v>
      </c>
      <c r="K95">
        <f>IFERROR(VLOOKUP($D95,'BASE DE DATOS'!$B:$I,7,0),0)</f>
        <v>3017939209</v>
      </c>
      <c r="L95" s="46" t="str">
        <f>IFERROR(VLOOKUP($D95,'BASE DE DATOS'!$B:$I,8,0),0)</f>
        <v>reporte@seitem.com</v>
      </c>
      <c r="M95" s="70">
        <v>120000</v>
      </c>
      <c r="N95" s="46" t="s">
        <v>5</v>
      </c>
    </row>
    <row r="96" spans="1:20" x14ac:dyDescent="0.25">
      <c r="A96" s="71">
        <v>45736</v>
      </c>
      <c r="B96" s="34">
        <v>197153355</v>
      </c>
      <c r="D96" s="46">
        <f>IFERROR(VLOOKUP($E96,'BASE DE DATOS'!$A:$I,2,0)," ")</f>
        <v>8903990328</v>
      </c>
      <c r="E96" s="66" t="str">
        <f>'BASE DE DATOS'!$A$144</f>
        <v xml:space="preserve">ACUAVALLE S.A E.S.P </v>
      </c>
      <c r="F96" s="46" t="str">
        <f>IFERROR(VLOOKUP($D96,'BASE DE DATOS'!$B:$I,2,0),0)</f>
        <v>JORGE</v>
      </c>
      <c r="G96" s="46">
        <f>IFERROR(VLOOKUP($D96,'BASE DE DATOS'!$B:$I,3,0),0)</f>
        <v>0</v>
      </c>
      <c r="H96" s="46" t="str">
        <f>IFERROR(VLOOKUP($D96,'BASE DE DATOS'!$B:$I,4,0),0)</f>
        <v>RODRIGUEZ</v>
      </c>
      <c r="I96" s="46">
        <f>IFERROR(VLOOKUP($D96,'BASE DE DATOS'!$B:$I,5,0),0)</f>
        <v>0</v>
      </c>
      <c r="J96" s="46">
        <f>IFERROR(VLOOKUP($D96,'BASE DE DATOS'!$B:$I,6,0),0)</f>
        <v>0</v>
      </c>
      <c r="K96">
        <f>IFERROR(VLOOKUP($D96,'BASE DE DATOS'!$B:$I,7,0),0)</f>
        <v>0</v>
      </c>
      <c r="L96" s="46">
        <f>IFERROR(VLOOKUP($D96,'BASE DE DATOS'!$B:$I,8,0),0)</f>
        <v>0</v>
      </c>
      <c r="M96" s="70">
        <v>90160</v>
      </c>
      <c r="N96" s="46" t="s">
        <v>46</v>
      </c>
    </row>
    <row r="97" spans="1:21" x14ac:dyDescent="0.25">
      <c r="A97" s="71">
        <v>45737</v>
      </c>
      <c r="B97" s="34">
        <v>6388</v>
      </c>
      <c r="D97" s="46">
        <f>IFERROR(VLOOKUP($E97,'BASE DE DATOS'!$A:$I,2,0)," ")</f>
        <v>66660257</v>
      </c>
      <c r="E97" s="66" t="s">
        <v>167</v>
      </c>
      <c r="F97" s="46">
        <f>IFERROR(VLOOKUP($D97,'BASE DE DATOS'!$B:$I,2,0),0)</f>
        <v>0</v>
      </c>
      <c r="G97" s="46">
        <f>IFERROR(VLOOKUP($D97,'BASE DE DATOS'!$B:$I,3,0),0)</f>
        <v>0</v>
      </c>
      <c r="H97" s="46">
        <f>IFERROR(VLOOKUP($D97,'BASE DE DATOS'!$B:$I,4,0),0)</f>
        <v>0</v>
      </c>
      <c r="I97" s="46">
        <f>IFERROR(VLOOKUP($D97,'BASE DE DATOS'!$B:$I,5,0),0)</f>
        <v>0</v>
      </c>
      <c r="J97" s="46" t="str">
        <f>IFERROR(VLOOKUP($D97,'BASE DE DATOS'!$B:$I,6,0),0)</f>
        <v>CL 21 31 37</v>
      </c>
      <c r="K97">
        <f>IFERROR(VLOOKUP($D97,'BASE DE DATOS'!$B:$I,7,0),0)</f>
        <v>3005547057</v>
      </c>
      <c r="L97" s="46">
        <f>IFERROR(VLOOKUP($D97,'BASE DE DATOS'!$B:$I,8,0),0)</f>
        <v>0</v>
      </c>
      <c r="M97" s="70">
        <v>438000</v>
      </c>
      <c r="N97" s="46" t="s">
        <v>46</v>
      </c>
    </row>
    <row r="98" spans="1:21" ht="13.5" customHeight="1" x14ac:dyDescent="0.25">
      <c r="A98" s="71">
        <v>45737</v>
      </c>
      <c r="B98" s="34">
        <v>16</v>
      </c>
      <c r="D98" s="46">
        <f>IFERROR(VLOOKUP($E98,'BASE DE DATOS'!$A:$I,2,0)," ")</f>
        <v>14695845</v>
      </c>
      <c r="E98" s="66" t="s">
        <v>224</v>
      </c>
      <c r="F98" s="46" t="str">
        <f>IFERROR(VLOOKUP($D98,'BASE DE DATOS'!$B:$I,2,0),0)</f>
        <v>EDELMIRA</v>
      </c>
      <c r="G98" s="46">
        <f>IFERROR(VLOOKUP($D98,'BASE DE DATOS'!$B:$I,3,0),0)</f>
        <v>0</v>
      </c>
      <c r="H98" s="46" t="str">
        <f>IFERROR(VLOOKUP($D98,'BASE DE DATOS'!$B:$I,4,0),0)</f>
        <v>MORALES</v>
      </c>
      <c r="I98" s="46" t="str">
        <f>IFERROR(VLOOKUP($D98,'BASE DE DATOS'!$B:$I,5,0),0)</f>
        <v>ACOSTA</v>
      </c>
      <c r="J98" s="46" t="str">
        <f>IFERROR(VLOOKUP($D98,'BASE DE DATOS'!$B:$I,6,0),0)</f>
        <v>ST 1 MZ 19 VILLAMARINA</v>
      </c>
      <c r="K98">
        <f>IFERROR(VLOOKUP($D98,'BASE DE DATOS'!$B:$I,7,0),0)</f>
        <v>3215223609</v>
      </c>
      <c r="L98" s="46">
        <f>IFERROR(VLOOKUP($D98,'BASE DE DATOS'!$B:$I,8,0),0)</f>
        <v>0</v>
      </c>
      <c r="M98" s="70">
        <v>70000</v>
      </c>
      <c r="N98" s="46" t="s">
        <v>5</v>
      </c>
    </row>
    <row r="99" spans="1:21" ht="13.5" customHeight="1" x14ac:dyDescent="0.25">
      <c r="A99" s="71">
        <v>45737</v>
      </c>
      <c r="B99" s="34">
        <v>697108</v>
      </c>
      <c r="D99" s="46">
        <f>IFERROR(VLOOKUP($E99,'BASE DE DATOS'!$A:$I,2,0)," ")</f>
        <v>890500726</v>
      </c>
      <c r="E99" s="66" t="s">
        <v>58</v>
      </c>
      <c r="F99" s="46" t="str">
        <f>IFERROR(VLOOKUP($D99,'BASE DE DATOS'!$B:$I,2,0),0)</f>
        <v>NO TIENE</v>
      </c>
      <c r="G99" s="46" t="str">
        <f>IFERROR(VLOOKUP($D99,'BASE DE DATOS'!$B:$I,3,0),0)</f>
        <v>NO TIENE</v>
      </c>
      <c r="H99" s="46" t="str">
        <f>IFERROR(VLOOKUP($D99,'BASE DE DATOS'!$B:$I,4,0),0)</f>
        <v>NO TIENE</v>
      </c>
      <c r="I99" s="46" t="str">
        <f>IFERROR(VLOOKUP($D99,'BASE DE DATOS'!$B:$I,5,0),0)</f>
        <v>NO TIENE</v>
      </c>
      <c r="J99" s="46">
        <f>IFERROR(VLOOKUP($D99,'BASE DE DATOS'!$B:$I,6,0),0)</f>
        <v>0</v>
      </c>
      <c r="K99">
        <f>IFERROR(VLOOKUP($D99,'BASE DE DATOS'!$B:$I,7,0),0)</f>
        <v>3208899901</v>
      </c>
      <c r="L99" s="46">
        <f>IFERROR(VLOOKUP($D99,'BASE DE DATOS'!$B:$I,8,0),0)</f>
        <v>0</v>
      </c>
      <c r="M99" s="70">
        <v>420000</v>
      </c>
      <c r="N99" s="46" t="s">
        <v>46</v>
      </c>
    </row>
    <row r="100" spans="1:21" x14ac:dyDescent="0.25">
      <c r="A100" s="71">
        <v>45737</v>
      </c>
      <c r="B100" s="34">
        <v>0</v>
      </c>
      <c r="D100" s="46">
        <f>IFERROR(VLOOKUP($E100,'BASE DE DATOS'!$A:$I,2,0)," ")</f>
        <v>1112230545</v>
      </c>
      <c r="E100" s="66" t="s">
        <v>83</v>
      </c>
      <c r="F100" s="46">
        <f>IFERROR(VLOOKUP($D100,'BASE DE DATOS'!$B:$I,2,0),0)</f>
        <v>0</v>
      </c>
      <c r="G100" s="46">
        <f>IFERROR(VLOOKUP($D100,'BASE DE DATOS'!$B:$I,3,0),0)</f>
        <v>0</v>
      </c>
      <c r="H100" s="46">
        <f>IFERROR(VLOOKUP($D100,'BASE DE DATOS'!$B:$I,4,0),0)</f>
        <v>0</v>
      </c>
      <c r="I100" s="46">
        <f>IFERROR(VLOOKUP($D100,'BASE DE DATOS'!$B:$I,5,0),0)</f>
        <v>0</v>
      </c>
      <c r="J100" s="46">
        <f>IFERROR(VLOOKUP($D100,'BASE DE DATOS'!$B:$I,6,0),0)</f>
        <v>0</v>
      </c>
      <c r="K100">
        <f>IFERROR(VLOOKUP($D100,'BASE DE DATOS'!$B:$I,7,0),0)</f>
        <v>3107292255</v>
      </c>
      <c r="L100" s="46" t="str">
        <f>IFERROR(VLOOKUP($D100,'BASE DE DATOS'!$B:$I,8,0),0)</f>
        <v>NO TIENE</v>
      </c>
      <c r="M100" s="70">
        <v>11200</v>
      </c>
      <c r="N100" s="46" t="s">
        <v>9</v>
      </c>
    </row>
    <row r="101" spans="1:21" x14ac:dyDescent="0.25">
      <c r="A101" s="71">
        <v>45737</v>
      </c>
      <c r="B101" s="34">
        <v>200142</v>
      </c>
      <c r="D101" s="46">
        <f>IFERROR(VLOOKUP($E101,'BASE DE DATOS'!$A:$I,2,0)," ")</f>
        <v>815002459</v>
      </c>
      <c r="E101" s="66" t="s">
        <v>24</v>
      </c>
      <c r="F101" s="46" t="str">
        <f>IFERROR(VLOOKUP($D101,'BASE DE DATOS'!$B:$I,2,0),0)</f>
        <v>NO TIENE</v>
      </c>
      <c r="G101" s="46" t="str">
        <f>IFERROR(VLOOKUP($D101,'BASE DE DATOS'!$B:$I,3,0),0)</f>
        <v>NO TIENE</v>
      </c>
      <c r="H101" s="46" t="str">
        <f>IFERROR(VLOOKUP($D101,'BASE DE DATOS'!$B:$I,4,0),0)</f>
        <v>NO TIENE</v>
      </c>
      <c r="I101" s="46" t="str">
        <f>IFERROR(VLOOKUP($D101,'BASE DE DATOS'!$B:$I,5,0),0)</f>
        <v>NO TIENE</v>
      </c>
      <c r="J101" s="46" t="str">
        <f>IFERROR(VLOOKUP($D101,'BASE DE DATOS'!$B:$I,6,0),0)</f>
        <v>CL 7 12 03</v>
      </c>
      <c r="K101">
        <f>IFERROR(VLOOKUP($D101,'BASE DE DATOS'!$B:$I,7,0),0)</f>
        <v>3136831049</v>
      </c>
      <c r="L101" s="46">
        <f>IFERROR(VLOOKUP($D101,'BASE DE DATOS'!$B:$I,8,0),0)</f>
        <v>0</v>
      </c>
      <c r="M101" s="70">
        <v>20100</v>
      </c>
      <c r="N101" s="46" t="s">
        <v>9</v>
      </c>
    </row>
    <row r="102" spans="1:21" x14ac:dyDescent="0.25">
      <c r="A102" s="71">
        <v>45737</v>
      </c>
      <c r="B102" s="34">
        <v>1204</v>
      </c>
      <c r="D102" s="46">
        <f>IFERROR(VLOOKUP($E102,'BASE DE DATOS'!$A:$I,2,0)," ")</f>
        <v>0</v>
      </c>
      <c r="E102" s="66" t="str">
        <f>'BASE DE DATOS'!$A$25</f>
        <v>COMERCIALIZADORA SASTOQUE</v>
      </c>
      <c r="F102" s="46">
        <f>IFERROR(VLOOKUP($D102,'BASE DE DATOS'!$B:$I,2,0),0)</f>
        <v>0</v>
      </c>
      <c r="G102" s="46">
        <f>IFERROR(VLOOKUP($D102,'BASE DE DATOS'!$B:$I,3,0),0)</f>
        <v>0</v>
      </c>
      <c r="H102" s="46">
        <f>IFERROR(VLOOKUP($D102,'BASE DE DATOS'!$B:$I,4,0),0)</f>
        <v>0</v>
      </c>
      <c r="I102" s="46">
        <f>IFERROR(VLOOKUP($D102,'BASE DE DATOS'!$B:$I,5,0),0)</f>
        <v>0</v>
      </c>
      <c r="J102" s="46">
        <f>IFERROR(VLOOKUP($D102,'BASE DE DATOS'!$B:$I,6,0),0)</f>
        <v>0</v>
      </c>
      <c r="K102">
        <f>IFERROR(VLOOKUP($D102,'BASE DE DATOS'!$B:$I,7,0),0)</f>
        <v>0</v>
      </c>
      <c r="L102" s="46">
        <f>IFERROR(VLOOKUP($D102,'BASE DE DATOS'!$B:$I,8,0),0)</f>
        <v>0</v>
      </c>
      <c r="M102" s="70">
        <v>81100</v>
      </c>
      <c r="N102" s="46" t="s">
        <v>5</v>
      </c>
      <c r="O102" s="1"/>
      <c r="P102" s="1"/>
      <c r="Q102" s="1"/>
      <c r="R102" s="1"/>
      <c r="S102" s="1"/>
      <c r="T102" s="1"/>
      <c r="U102" s="1"/>
    </row>
    <row r="103" spans="1:21" x14ac:dyDescent="0.25">
      <c r="A103" s="71">
        <v>45737</v>
      </c>
      <c r="B103" s="34">
        <v>5289</v>
      </c>
      <c r="D103" s="46">
        <f>IFERROR(VLOOKUP($E103,'BASE DE DATOS'!$A:$I,2,0)," ")</f>
        <v>66929745</v>
      </c>
      <c r="E103" s="66" t="s">
        <v>283</v>
      </c>
      <c r="F103" s="46" t="str">
        <f>IFERROR(VLOOKUP($D103,'BASE DE DATOS'!$B:$I,2,0),0)</f>
        <v>MARTHA</v>
      </c>
      <c r="G103" s="46">
        <f>IFERROR(VLOOKUP($D103,'BASE DE DATOS'!$B:$I,3,0),0)</f>
        <v>0</v>
      </c>
      <c r="H103" s="46">
        <f>IFERROR(VLOOKUP($D103,'BASE DE DATOS'!$B:$I,4,0),0)</f>
        <v>0</v>
      </c>
      <c r="I103" s="46">
        <f>IFERROR(VLOOKUP($D103,'BASE DE DATOS'!$B:$I,5,0),0)</f>
        <v>0</v>
      </c>
      <c r="J103" s="46" t="str">
        <f>IFERROR(VLOOKUP($D103,'BASE DE DATOS'!$B:$I,6,0),0)</f>
        <v>CL 8 12 10</v>
      </c>
      <c r="K103">
        <f>IFERROR(VLOOKUP($D103,'BASE DE DATOS'!$B:$I,7,0),0)</f>
        <v>3017199935</v>
      </c>
      <c r="L103" s="46">
        <f>IFERROR(VLOOKUP($D103,'BASE DE DATOS'!$B:$I,8,0),0)</f>
        <v>0</v>
      </c>
      <c r="M103" s="70">
        <v>474000</v>
      </c>
      <c r="N103" s="46" t="s">
        <v>5</v>
      </c>
    </row>
    <row r="104" spans="1:21" x14ac:dyDescent="0.25">
      <c r="A104" s="71">
        <v>45738</v>
      </c>
      <c r="B104" s="34">
        <v>5378</v>
      </c>
      <c r="D104" s="46">
        <f>IFERROR(VLOOKUP($E104,'BASE DE DATOS'!$A:$I,2,0)," ")</f>
        <v>66929745</v>
      </c>
      <c r="E104" s="66" t="s">
        <v>283</v>
      </c>
      <c r="F104" s="46" t="str">
        <f>IFERROR(VLOOKUP($D104,'BASE DE DATOS'!$B:$I,2,0),0)</f>
        <v>MARTHA</v>
      </c>
      <c r="G104" s="46">
        <f>IFERROR(VLOOKUP($D104,'BASE DE DATOS'!$B:$I,3,0),0)</f>
        <v>0</v>
      </c>
      <c r="H104" s="46">
        <f>IFERROR(VLOOKUP($D104,'BASE DE DATOS'!$B:$I,4,0),0)</f>
        <v>0</v>
      </c>
      <c r="I104" s="46">
        <f>IFERROR(VLOOKUP($D104,'BASE DE DATOS'!$B:$I,5,0),0)</f>
        <v>0</v>
      </c>
      <c r="J104" s="46" t="str">
        <f>IFERROR(VLOOKUP($D104,'BASE DE DATOS'!$B:$I,6,0),0)</f>
        <v>CL 8 12 10</v>
      </c>
      <c r="K104">
        <f>IFERROR(VLOOKUP($D104,'BASE DE DATOS'!$B:$I,7,0),0)</f>
        <v>3017199935</v>
      </c>
      <c r="L104" s="46">
        <f>IFERROR(VLOOKUP($D104,'BASE DE DATOS'!$B:$I,8,0),0)</f>
        <v>0</v>
      </c>
      <c r="M104" s="70">
        <v>485050</v>
      </c>
      <c r="N104" s="46" t="s">
        <v>5</v>
      </c>
    </row>
    <row r="105" spans="1:21" x14ac:dyDescent="0.25">
      <c r="A105" s="71">
        <v>45734</v>
      </c>
      <c r="B105" s="34">
        <v>2684635</v>
      </c>
      <c r="D105" s="46">
        <f>IFERROR(VLOOKUP($E105,'BASE DE DATOS'!$A:$I,2,0)," ")</f>
        <v>815003414</v>
      </c>
      <c r="E105" s="66" t="s">
        <v>56</v>
      </c>
      <c r="F105" s="46" t="str">
        <f>IFERROR(VLOOKUP($D105,'BASE DE DATOS'!$B:$I,2,0),0)</f>
        <v>NO TIENE</v>
      </c>
      <c r="G105" s="46" t="str">
        <f>IFERROR(VLOOKUP($D105,'BASE DE DATOS'!$B:$I,3,0),0)</f>
        <v>NO TIENE</v>
      </c>
      <c r="H105" s="46" t="str">
        <f>IFERROR(VLOOKUP($D105,'BASE DE DATOS'!$B:$I,4,0),0)</f>
        <v>NO TIENE</v>
      </c>
      <c r="I105" s="46" t="str">
        <f>IFERROR(VLOOKUP($D105,'BASE DE DATOS'!$B:$I,5,0),0)</f>
        <v>NO TIENE</v>
      </c>
      <c r="J105" s="46" t="str">
        <f>IFERROR(VLOOKUP($D105,'BASE DE DATOS'!$B:$I,6,0),0)</f>
        <v>CL 47 34C 45 B</v>
      </c>
      <c r="K105">
        <f>IFERROR(VLOOKUP($D105,'BASE DE DATOS'!$B:$I,7,0),0)</f>
        <v>3218057166</v>
      </c>
      <c r="L105" s="46">
        <f>IFERROR(VLOOKUP($D105,'BASE DE DATOS'!$B:$I,8,0),0)</f>
        <v>0</v>
      </c>
      <c r="M105" s="70">
        <v>1163421</v>
      </c>
      <c r="N105" s="46" t="s">
        <v>5</v>
      </c>
    </row>
    <row r="106" spans="1:21" x14ac:dyDescent="0.25">
      <c r="A106" s="71">
        <v>45736</v>
      </c>
      <c r="B106" s="34">
        <v>6465029</v>
      </c>
      <c r="D106" s="46">
        <f>IFERROR(VLOOKUP($E106,'BASE DE DATOS'!$A:$I,2,0)," ")</f>
        <v>8600137717</v>
      </c>
      <c r="E106" t="s">
        <v>377</v>
      </c>
      <c r="F106" s="46">
        <f>IFERROR(VLOOKUP($D106,'BASE DE DATOS'!$B:$I,2,0),0)</f>
        <v>0</v>
      </c>
      <c r="G106" s="46">
        <f>IFERROR(VLOOKUP($D106,'BASE DE DATOS'!$B:$I,3,0),0)</f>
        <v>0</v>
      </c>
      <c r="H106" s="46">
        <f>IFERROR(VLOOKUP($D106,'BASE DE DATOS'!$B:$I,4,0),0)</f>
        <v>0</v>
      </c>
      <c r="I106" s="46">
        <f>IFERROR(VLOOKUP($D106,'BASE DE DATOS'!$B:$I,5,0),0)</f>
        <v>0</v>
      </c>
      <c r="J106" s="46" t="str">
        <f>IFERROR(VLOOKUP($D106,'BASE DE DATOS'!$B:$I,6,0),0)</f>
        <v>CALLE 65 BIS 91 82</v>
      </c>
      <c r="K106">
        <f>IFERROR(VLOOKUP($D106,'BASE DE DATOS'!$B:$I,7,0),0)</f>
        <v>5949999</v>
      </c>
      <c r="L106" s="46">
        <f>IFERROR(VLOOKUP($D106,'BASE DE DATOS'!$B:$I,8,0),0)</f>
        <v>0</v>
      </c>
      <c r="M106" s="70">
        <v>1459535</v>
      </c>
      <c r="N106" s="46" t="s">
        <v>5</v>
      </c>
    </row>
    <row r="107" spans="1:21" x14ac:dyDescent="0.25">
      <c r="A107" s="71">
        <v>45734</v>
      </c>
      <c r="B107" s="34">
        <v>142412</v>
      </c>
      <c r="D107" s="46">
        <f>IFERROR(VLOOKUP($E107,'BASE DE DATOS'!$A:$I,2,0)," ")</f>
        <v>901158397</v>
      </c>
      <c r="E107" s="66" t="s">
        <v>257</v>
      </c>
      <c r="F107" s="46">
        <f>IFERROR(VLOOKUP($D107,'BASE DE DATOS'!$B:$I,2,0),0)</f>
        <v>0</v>
      </c>
      <c r="G107" s="46">
        <f>IFERROR(VLOOKUP($D107,'BASE DE DATOS'!$B:$I,3,0),0)</f>
        <v>0</v>
      </c>
      <c r="H107" s="46">
        <f>IFERROR(VLOOKUP($D107,'BASE DE DATOS'!$B:$I,4,0),0)</f>
        <v>0</v>
      </c>
      <c r="I107" s="46">
        <f>IFERROR(VLOOKUP($D107,'BASE DE DATOS'!$B:$I,5,0),0)</f>
        <v>0</v>
      </c>
      <c r="J107" s="46" t="str">
        <f>IFERROR(VLOOKUP($D107,'BASE DE DATOS'!$B:$I,6,0),0)</f>
        <v>CR 17 33 D 36</v>
      </c>
      <c r="K107">
        <f>IFERROR(VLOOKUP($D107,'BASE DE DATOS'!$B:$I,7,0),0)</f>
        <v>3108368823</v>
      </c>
      <c r="L107" s="46">
        <f>IFERROR(VLOOKUP($D107,'BASE DE DATOS'!$B:$I,8,0),0)</f>
        <v>0</v>
      </c>
      <c r="M107" s="70">
        <v>459000</v>
      </c>
      <c r="N107" s="46" t="s">
        <v>5</v>
      </c>
    </row>
    <row r="108" spans="1:21" x14ac:dyDescent="0.25">
      <c r="A108" s="71">
        <v>45738</v>
      </c>
      <c r="B108" s="34">
        <v>0</v>
      </c>
      <c r="D108" s="46">
        <f>IFERROR(VLOOKUP($E108,'BASE DE DATOS'!$A:$I,2,0)," ")</f>
        <v>0</v>
      </c>
      <c r="E108" s="66" t="s">
        <v>23</v>
      </c>
      <c r="F108" s="46">
        <f>IFERROR(VLOOKUP($D108,'BASE DE DATOS'!$B:$I,2,0),0)</f>
        <v>0</v>
      </c>
      <c r="G108" s="46">
        <f>IFERROR(VLOOKUP($D108,'BASE DE DATOS'!$B:$I,3,0),0)</f>
        <v>0</v>
      </c>
      <c r="H108" s="46">
        <f>IFERROR(VLOOKUP($D108,'BASE DE DATOS'!$B:$I,4,0),0)</f>
        <v>0</v>
      </c>
      <c r="I108" s="46">
        <f>IFERROR(VLOOKUP($D108,'BASE DE DATOS'!$B:$I,5,0),0)</f>
        <v>0</v>
      </c>
      <c r="J108" s="46">
        <f>IFERROR(VLOOKUP($D108,'BASE DE DATOS'!$B:$I,6,0),0)</f>
        <v>0</v>
      </c>
      <c r="K108">
        <f>IFERROR(VLOOKUP($D108,'BASE DE DATOS'!$B:$I,7,0),0)</f>
        <v>0</v>
      </c>
      <c r="L108" s="46">
        <f>IFERROR(VLOOKUP($D108,'BASE DE DATOS'!$B:$I,8,0),0)</f>
        <v>0</v>
      </c>
      <c r="M108" s="70">
        <v>100000</v>
      </c>
      <c r="N108" s="46" t="s">
        <v>9</v>
      </c>
    </row>
    <row r="109" spans="1:21" x14ac:dyDescent="0.25">
      <c r="A109" s="71">
        <v>45738</v>
      </c>
      <c r="B109" s="34">
        <v>7018787</v>
      </c>
      <c r="D109" s="46">
        <f>IFERROR(VLOOKUP($E109,'BASE DE DATOS'!$A:$I,2,0)," ")</f>
        <v>8150048801</v>
      </c>
      <c r="E109" s="66" t="s">
        <v>390</v>
      </c>
      <c r="F109" s="46" t="str">
        <f>IFERROR(VLOOKUP($D109,'BASE DE DATOS'!$B:$I,2,0),0)</f>
        <v>ELIANA</v>
      </c>
      <c r="G109" s="46" t="str">
        <f>IFERROR(VLOOKUP($D109,'BASE DE DATOS'!$B:$I,3,0),0)</f>
        <v>MARIA</v>
      </c>
      <c r="H109" s="46">
        <f>IFERROR(VLOOKUP($D109,'BASE DE DATOS'!$B:$I,4,0),0)</f>
        <v>0</v>
      </c>
      <c r="I109" s="46">
        <f>IFERROR(VLOOKUP($D109,'BASE DE DATOS'!$B:$I,5,0),0)</f>
        <v>0</v>
      </c>
      <c r="J109" s="46" t="str">
        <f>IFERROR(VLOOKUP($D109,'BASE DE DATOS'!$B:$I,6,0),0)</f>
        <v>CRA 34 31 35 BOD 2 PALMIRA</v>
      </c>
      <c r="K109">
        <f>IFERROR(VLOOKUP($D109,'BASE DE DATOS'!$B:$I,7,0),0)</f>
        <v>3228469553</v>
      </c>
      <c r="L109" s="46">
        <f>IFERROR(VLOOKUP($D109,'BASE DE DATOS'!$B:$I,8,0),0)</f>
        <v>0</v>
      </c>
      <c r="M109" s="70">
        <v>329819</v>
      </c>
      <c r="N109" s="46" t="s">
        <v>9</v>
      </c>
    </row>
    <row r="110" spans="1:21" x14ac:dyDescent="0.25">
      <c r="A110" s="71">
        <v>45738</v>
      </c>
      <c r="B110" s="34">
        <v>0</v>
      </c>
      <c r="D110" s="46">
        <f>IFERROR(VLOOKUP($E110,'BASE DE DATOS'!$A:$I,2,0)," ")</f>
        <v>0</v>
      </c>
      <c r="E110" s="66" t="s">
        <v>517</v>
      </c>
      <c r="F110" s="46">
        <f>IFERROR(VLOOKUP($D110,'BASE DE DATOS'!$B:$I,2,0),0)</f>
        <v>0</v>
      </c>
      <c r="G110" s="46">
        <f>IFERROR(VLOOKUP($D110,'BASE DE DATOS'!$B:$I,3,0),0)</f>
        <v>0</v>
      </c>
      <c r="H110" s="46">
        <f>IFERROR(VLOOKUP($D110,'BASE DE DATOS'!$B:$I,4,0),0)</f>
        <v>0</v>
      </c>
      <c r="I110" s="46">
        <f>IFERROR(VLOOKUP($D110,'BASE DE DATOS'!$B:$I,5,0),0)</f>
        <v>0</v>
      </c>
      <c r="J110" s="46">
        <f>IFERROR(VLOOKUP($D110,'BASE DE DATOS'!$B:$I,6,0),0)</f>
        <v>0</v>
      </c>
      <c r="K110">
        <f>IFERROR(VLOOKUP($D110,'BASE DE DATOS'!$B:$I,7,0),0)</f>
        <v>0</v>
      </c>
      <c r="L110" s="46">
        <f>IFERROR(VLOOKUP($D110,'BASE DE DATOS'!$B:$I,8,0),0)</f>
        <v>0</v>
      </c>
      <c r="M110" s="70">
        <v>15400</v>
      </c>
      <c r="N110" s="46" t="s">
        <v>5</v>
      </c>
    </row>
    <row r="111" spans="1:21" x14ac:dyDescent="0.25">
      <c r="A111" s="71">
        <v>45738</v>
      </c>
      <c r="B111" s="34">
        <v>0</v>
      </c>
      <c r="D111" s="46">
        <f>IFERROR(VLOOKUP($E111,'BASE DE DATOS'!$A:$I,2,0)," ")</f>
        <v>0</v>
      </c>
      <c r="E111" s="66" t="s">
        <v>23</v>
      </c>
      <c r="F111" s="46">
        <f>IFERROR(VLOOKUP($D111,'BASE DE DATOS'!$B:$I,2,0),0)</f>
        <v>0</v>
      </c>
      <c r="G111" s="46">
        <f>IFERROR(VLOOKUP($D111,'BASE DE DATOS'!$B:$I,3,0),0)</f>
        <v>0</v>
      </c>
      <c r="H111" s="46">
        <f>IFERROR(VLOOKUP($D111,'BASE DE DATOS'!$B:$I,4,0),0)</f>
        <v>0</v>
      </c>
      <c r="I111" s="46">
        <f>IFERROR(VLOOKUP($D111,'BASE DE DATOS'!$B:$I,5,0),0)</f>
        <v>0</v>
      </c>
      <c r="J111" s="46">
        <f>IFERROR(VLOOKUP($D111,'BASE DE DATOS'!$B:$I,6,0),0)</f>
        <v>0</v>
      </c>
      <c r="K111">
        <f>IFERROR(VLOOKUP($D111,'BASE DE DATOS'!$B:$I,7,0),0)</f>
        <v>0</v>
      </c>
      <c r="L111" s="46">
        <f>IFERROR(VLOOKUP($D111,'BASE DE DATOS'!$B:$I,8,0),0)</f>
        <v>0</v>
      </c>
      <c r="M111" s="70">
        <v>108000</v>
      </c>
      <c r="N111" s="46" t="s">
        <v>9</v>
      </c>
    </row>
    <row r="112" spans="1:21" x14ac:dyDescent="0.25">
      <c r="A112" s="71">
        <v>45738</v>
      </c>
      <c r="B112" s="34">
        <v>0</v>
      </c>
      <c r="D112" s="46">
        <f>IFERROR(VLOOKUP($E112,'BASE DE DATOS'!$A:$I,2,0)," ")</f>
        <v>13386551</v>
      </c>
      <c r="E112" s="66" t="str">
        <f>'BASE DE DATOS'!$A$137</f>
        <v>DISTRIBUIDORA 7289</v>
      </c>
      <c r="F112" s="46">
        <f>IFERROR(VLOOKUP($D112,'BASE DE DATOS'!$B:$I,2,0),0)</f>
        <v>0</v>
      </c>
      <c r="G112" s="46">
        <f>IFERROR(VLOOKUP($D112,'BASE DE DATOS'!$B:$I,3,0),0)</f>
        <v>0</v>
      </c>
      <c r="H112" s="46">
        <f>IFERROR(VLOOKUP($D112,'BASE DE DATOS'!$B:$I,4,0),0)</f>
        <v>0</v>
      </c>
      <c r="I112" s="46">
        <f>IFERROR(VLOOKUP($D112,'BASE DE DATOS'!$B:$I,5,0),0)</f>
        <v>0</v>
      </c>
      <c r="J112" s="46">
        <f>IFERROR(VLOOKUP($D112,'BASE DE DATOS'!$B:$I,6,0),0)</f>
        <v>0</v>
      </c>
      <c r="K112">
        <f>IFERROR(VLOOKUP($D112,'BASE DE DATOS'!$B:$I,7,0),0)</f>
        <v>0</v>
      </c>
      <c r="L112" s="46">
        <f>IFERROR(VLOOKUP($D112,'BASE DE DATOS'!$B:$I,8,0),0)</f>
        <v>0</v>
      </c>
      <c r="M112" s="70">
        <v>7600</v>
      </c>
      <c r="N112" s="46" t="s">
        <v>9</v>
      </c>
      <c r="O112" s="1"/>
      <c r="P112" s="1"/>
      <c r="Q112" s="1"/>
      <c r="R112" s="1"/>
      <c r="S112" s="1"/>
      <c r="T112" s="1"/>
      <c r="U112" s="1"/>
    </row>
    <row r="113" spans="1:21" x14ac:dyDescent="0.25">
      <c r="A113" s="71">
        <v>45740</v>
      </c>
      <c r="B113" s="34">
        <v>0</v>
      </c>
      <c r="D113" s="46">
        <f>IFERROR(VLOOKUP($E113,'BASE DE DATOS'!$A:$I,2,0)," ")</f>
        <v>0</v>
      </c>
      <c r="E113" s="66" t="s">
        <v>72</v>
      </c>
      <c r="F113" s="46">
        <f>IFERROR(VLOOKUP($D113,'BASE DE DATOS'!$B:$I,2,0),0)</f>
        <v>0</v>
      </c>
      <c r="G113" s="46">
        <f>IFERROR(VLOOKUP($D113,'BASE DE DATOS'!$B:$I,3,0),0)</f>
        <v>0</v>
      </c>
      <c r="H113" s="46">
        <f>IFERROR(VLOOKUP($D113,'BASE DE DATOS'!$B:$I,4,0),0)</f>
        <v>0</v>
      </c>
      <c r="I113" s="46">
        <f>IFERROR(VLOOKUP($D113,'BASE DE DATOS'!$B:$I,5,0),0)</f>
        <v>0</v>
      </c>
      <c r="J113" s="46">
        <f>IFERROR(VLOOKUP($D113,'BASE DE DATOS'!$B:$I,6,0),0)</f>
        <v>0</v>
      </c>
      <c r="K113">
        <f>IFERROR(VLOOKUP($D113,'BASE DE DATOS'!$B:$I,7,0),0)</f>
        <v>0</v>
      </c>
      <c r="L113" s="46">
        <f>IFERROR(VLOOKUP($D113,'BASE DE DATOS'!$B:$I,8,0),0)</f>
        <v>0</v>
      </c>
      <c r="M113" s="70">
        <v>49000</v>
      </c>
      <c r="N113" s="46" t="s">
        <v>9</v>
      </c>
    </row>
    <row r="114" spans="1:21" x14ac:dyDescent="0.25">
      <c r="A114" s="71">
        <v>45738</v>
      </c>
      <c r="B114" s="34">
        <v>0</v>
      </c>
      <c r="D114" s="46">
        <f>IFERROR(VLOOKUP($E114,'BASE DE DATOS'!$A:$I,2,0)," ")</f>
        <v>901473419</v>
      </c>
      <c r="E114" s="66" t="str">
        <f>$E$33</f>
        <v>DISTRIBUCIONES JACOTA ZOMAC SAS</v>
      </c>
      <c r="F114" s="46">
        <f>IFERROR(VLOOKUP($D114,'BASE DE DATOS'!$B:$I,2,0),0)</f>
        <v>0</v>
      </c>
      <c r="G114" s="46">
        <f>IFERROR(VLOOKUP($D114,'BASE DE DATOS'!$B:$I,3,0),0)</f>
        <v>0</v>
      </c>
      <c r="H114" s="46">
        <f>IFERROR(VLOOKUP($D114,'BASE DE DATOS'!$B:$I,4,0),0)</f>
        <v>0</v>
      </c>
      <c r="I114" s="46">
        <f>IFERROR(VLOOKUP($D114,'BASE DE DATOS'!$B:$I,5,0),0)</f>
        <v>0</v>
      </c>
      <c r="J114" s="46" t="str">
        <f>IFERROR(VLOOKUP($D114,'BASE DE DATOS'!$B:$I,6,0),0)</f>
        <v>CR 10 5 32</v>
      </c>
      <c r="K114">
        <f>IFERROR(VLOOKUP($D114,'BASE DE DATOS'!$B:$I,7,0),0)</f>
        <v>3147560646</v>
      </c>
      <c r="L114" s="46" t="str">
        <f>IFERROR(VLOOKUP($D114,'BASE DE DATOS'!$B:$I,8,0),0)</f>
        <v>jacota.distribuciones@outlook.com</v>
      </c>
      <c r="M114" s="70">
        <v>451700</v>
      </c>
      <c r="N114" s="46" t="s">
        <v>5</v>
      </c>
    </row>
    <row r="115" spans="1:21" x14ac:dyDescent="0.25">
      <c r="A115" s="71">
        <v>45741</v>
      </c>
      <c r="B115" s="34">
        <v>163</v>
      </c>
      <c r="D115" s="46">
        <f>IFERROR(VLOOKUP($E115,'BASE DE DATOS'!$A:$I,2,0)," ")</f>
        <v>1112230545</v>
      </c>
      <c r="E115" s="66" t="s">
        <v>83</v>
      </c>
      <c r="F115" s="46">
        <f>IFERROR(VLOOKUP($D115,'BASE DE DATOS'!$B:$I,2,0),0)</f>
        <v>0</v>
      </c>
      <c r="G115" s="46">
        <f>IFERROR(VLOOKUP($D115,'BASE DE DATOS'!$B:$I,3,0),0)</f>
        <v>0</v>
      </c>
      <c r="H115" s="46">
        <f>IFERROR(VLOOKUP($D115,'BASE DE DATOS'!$B:$I,4,0),0)</f>
        <v>0</v>
      </c>
      <c r="I115" s="46">
        <f>IFERROR(VLOOKUP($D115,'BASE DE DATOS'!$B:$I,5,0),0)</f>
        <v>0</v>
      </c>
      <c r="J115" s="46">
        <f>IFERROR(VLOOKUP($D115,'BASE DE DATOS'!$B:$I,6,0),0)</f>
        <v>0</v>
      </c>
      <c r="K115">
        <f>IFERROR(VLOOKUP($D115,'BASE DE DATOS'!$B:$I,7,0),0)</f>
        <v>3107292255</v>
      </c>
      <c r="L115" s="46" t="str">
        <f>IFERROR(VLOOKUP($D115,'BASE DE DATOS'!$B:$I,8,0),0)</f>
        <v>NO TIENE</v>
      </c>
      <c r="M115" s="70">
        <v>401100</v>
      </c>
      <c r="N115" s="46" t="s">
        <v>5</v>
      </c>
    </row>
    <row r="116" spans="1:21" x14ac:dyDescent="0.25">
      <c r="A116" s="71">
        <v>45741</v>
      </c>
      <c r="B116" s="34">
        <v>0</v>
      </c>
      <c r="D116" s="46">
        <f>IFERROR(VLOOKUP($E116,'BASE DE DATOS'!$A:$I,2,0)," ")</f>
        <v>1114311126</v>
      </c>
      <c r="E116" s="66" t="s">
        <v>399</v>
      </c>
      <c r="F116" s="46" t="str">
        <f>IFERROR(VLOOKUP($D116,'BASE DE DATOS'!$B:$I,2,0),0)</f>
        <v xml:space="preserve">CRISTIAN </v>
      </c>
      <c r="G116" s="46" t="str">
        <f>IFERROR(VLOOKUP($D116,'BASE DE DATOS'!$B:$I,3,0),0)</f>
        <v>CAMILO</v>
      </c>
      <c r="H116" s="46" t="str">
        <f>IFERROR(VLOOKUP($D116,'BASE DE DATOS'!$B:$I,4,0),0)</f>
        <v>PORTILLO</v>
      </c>
      <c r="I116" s="46" t="str">
        <f>IFERROR(VLOOKUP($D116,'BASE DE DATOS'!$B:$I,5,0),0)</f>
        <v>LOAIZA</v>
      </c>
      <c r="J116" s="46" t="str">
        <f>IFERROR(VLOOKUP($D116,'BASE DE DATOS'!$B:$I,6,0),0)</f>
        <v>CR 17# 10-27 B- COMUNEROS</v>
      </c>
      <c r="K116">
        <f>IFERROR(VLOOKUP($D116,'BASE DE DATOS'!$B:$I,7,0),0)</f>
        <v>3126574517</v>
      </c>
      <c r="L116" s="46">
        <f>IFERROR(VLOOKUP($D116,'BASE DE DATOS'!$B:$I,8,0),0)</f>
        <v>0</v>
      </c>
      <c r="M116" s="70">
        <v>470000</v>
      </c>
      <c r="N116" s="46" t="str">
        <f t="shared" ref="N116:N123" si="2">$N$143</f>
        <v>COSTO</v>
      </c>
    </row>
    <row r="117" spans="1:21" x14ac:dyDescent="0.25">
      <c r="A117" s="71">
        <v>45741</v>
      </c>
      <c r="B117" s="34">
        <v>0</v>
      </c>
      <c r="D117" s="46">
        <f>IFERROR(VLOOKUP($E117,'BASE DE DATOS'!$A:$I,2,0)," ")</f>
        <v>1114621431</v>
      </c>
      <c r="E117" s="66" t="s">
        <v>350</v>
      </c>
      <c r="F117" s="46" t="str">
        <f>IFERROR(VLOOKUP($D117,'BASE DE DATOS'!$B:$I,2,0),0)</f>
        <v>DANNA</v>
      </c>
      <c r="G117" s="46">
        <f>IFERROR(VLOOKUP($D117,'BASE DE DATOS'!$B:$I,3,0),0)</f>
        <v>0</v>
      </c>
      <c r="H117" s="46" t="str">
        <f>IFERROR(VLOOKUP($D117,'BASE DE DATOS'!$B:$I,4,0),0)</f>
        <v>SOALRTE</v>
      </c>
      <c r="I117" s="46" t="str">
        <f>IFERROR(VLOOKUP($D117,'BASE DE DATOS'!$B:$I,5,0),0)</f>
        <v>ROJAS</v>
      </c>
      <c r="J117" s="46" t="str">
        <f>IFERROR(VLOOKUP($D117,'BASE DE DATOS'!$B:$I,6,0),0)</f>
        <v>CR 3 5 38</v>
      </c>
      <c r="K117">
        <f>IFERROR(VLOOKUP($D117,'BASE DE DATOS'!$B:$I,7,0),0)</f>
        <v>3027634803</v>
      </c>
      <c r="L117" s="46">
        <f>IFERROR(VLOOKUP($D117,'BASE DE DATOS'!$B:$I,8,0),0)</f>
        <v>0</v>
      </c>
      <c r="M117" s="70">
        <v>660000</v>
      </c>
      <c r="N117" s="46" t="str">
        <f t="shared" si="2"/>
        <v>COSTO</v>
      </c>
    </row>
    <row r="118" spans="1:21" x14ac:dyDescent="0.25">
      <c r="A118" s="3" t="s">
        <v>545</v>
      </c>
      <c r="B118" s="34">
        <v>0</v>
      </c>
      <c r="D118" s="46">
        <f>IFERROR(VLOOKUP($E118,'BASE DE DATOS'!$A:$I,2,0)," ")</f>
        <v>1006352061</v>
      </c>
      <c r="E118" s="66" t="s">
        <v>348</v>
      </c>
      <c r="F118" s="46" t="str">
        <f>IFERROR(VLOOKUP($D118,'BASE DE DATOS'!$B:$I,2,0),0)</f>
        <v>HERNAN</v>
      </c>
      <c r="G118" s="46" t="str">
        <f>IFERROR(VLOOKUP($D118,'BASE DE DATOS'!$B:$I,3,0),0)</f>
        <v>DARIO</v>
      </c>
      <c r="H118" s="46" t="str">
        <f>IFERROR(VLOOKUP($D118,'BASE DE DATOS'!$B:$I,4,0),0)</f>
        <v>VARGAS</v>
      </c>
      <c r="I118" s="46" t="str">
        <f>IFERROR(VLOOKUP($D118,'BASE DE DATOS'!$B:$I,5,0),0)</f>
        <v>NUÑEZ</v>
      </c>
      <c r="J118" s="46" t="str">
        <f>IFERROR(VLOOKUP($D118,'BASE DE DATOS'!$B:$I,6,0),0)</f>
        <v>CL 8 2 85</v>
      </c>
      <c r="K118">
        <f>IFERROR(VLOOKUP($D118,'BASE DE DATOS'!$B:$I,7,0),0)</f>
        <v>3127898693</v>
      </c>
      <c r="L118" s="46">
        <f>IFERROR(VLOOKUP($D118,'BASE DE DATOS'!$B:$I,8,0),0)</f>
        <v>0</v>
      </c>
      <c r="M118" s="70">
        <v>473000</v>
      </c>
      <c r="N118" s="46" t="str">
        <f t="shared" si="2"/>
        <v>COSTO</v>
      </c>
      <c r="O118" s="1"/>
      <c r="P118" s="1"/>
      <c r="Q118" s="1"/>
      <c r="R118" s="1"/>
      <c r="S118" s="1"/>
      <c r="T118" s="1"/>
      <c r="U118" s="1"/>
    </row>
    <row r="119" spans="1:21" x14ac:dyDescent="0.25">
      <c r="A119" s="71">
        <v>45741</v>
      </c>
      <c r="B119" s="34">
        <v>72</v>
      </c>
      <c r="D119" s="46">
        <f>IFERROR(VLOOKUP($E119,'BASE DE DATOS'!$A:$I,2,0)," ")</f>
        <v>1007616371</v>
      </c>
      <c r="E119" s="66" t="s">
        <v>339</v>
      </c>
      <c r="F119" s="46" t="str">
        <f>IFERROR(VLOOKUP($D119,'BASE DE DATOS'!$B:$I,2,0),0)</f>
        <v xml:space="preserve">LEIDY </v>
      </c>
      <c r="G119" s="46" t="str">
        <f>IFERROR(VLOOKUP($D119,'BASE DE DATOS'!$B:$I,3,0),0)</f>
        <v>KARINA</v>
      </c>
      <c r="H119" s="46" t="str">
        <f>IFERROR(VLOOKUP($D119,'BASE DE DATOS'!$B:$I,4,0),0)</f>
        <v>HURTADO</v>
      </c>
      <c r="I119" s="46">
        <f>IFERROR(VLOOKUP($D119,'BASE DE DATOS'!$B:$I,5,0),0)</f>
        <v>0</v>
      </c>
      <c r="J119" s="46" t="str">
        <f>IFERROR(VLOOKUP($D119,'BASE DE DATOS'!$B:$I,6,0),0)</f>
        <v>CR 10 1A 57</v>
      </c>
      <c r="K119">
        <f>IFERROR(VLOOKUP($D119,'BASE DE DATOS'!$B:$I,7,0),0)</f>
        <v>3168609680</v>
      </c>
      <c r="L119" s="46">
        <f>IFERROR(VLOOKUP($D119,'BASE DE DATOS'!$B:$I,8,0),0)</f>
        <v>0</v>
      </c>
      <c r="M119" s="70">
        <v>600000</v>
      </c>
      <c r="N119" s="46" t="str">
        <f t="shared" si="2"/>
        <v>COSTO</v>
      </c>
    </row>
    <row r="120" spans="1:21" x14ac:dyDescent="0.25">
      <c r="A120" s="71">
        <v>45741</v>
      </c>
      <c r="B120" s="34">
        <v>7</v>
      </c>
      <c r="D120" s="46">
        <f>IFERROR(VLOOKUP($E120,'BASE DE DATOS'!$A:$I,2,0)," ")</f>
        <v>29530093</v>
      </c>
      <c r="E120" s="66" t="s">
        <v>511</v>
      </c>
      <c r="F120" s="46" t="str">
        <f>IFERROR(VLOOKUP($D120,'BASE DE DATOS'!$B:$I,2,0),0)</f>
        <v>YUGLAXI</v>
      </c>
      <c r="G120" s="46" t="str">
        <f>IFERROR(VLOOKUP($D120,'BASE DE DATOS'!$B:$I,3,0),0)</f>
        <v>YOXIELI</v>
      </c>
      <c r="H120" s="46" t="str">
        <f>IFERROR(VLOOKUP($D120,'BASE DE DATOS'!$B:$I,4,0),0)</f>
        <v>RENGIFO</v>
      </c>
      <c r="I120" s="46" t="str">
        <f>IFERROR(VLOOKUP($D120,'BASE DE DATOS'!$B:$I,5,0),0)</f>
        <v>BARBOZA</v>
      </c>
      <c r="J120" s="46" t="str">
        <f>IFERROR(VLOOKUP($D120,'BASE DE DATOS'!$B:$I,6,0),0)</f>
        <v xml:space="preserve">CARR 15 MAZ C CASA 28 LAS MARGARITAS </v>
      </c>
      <c r="K120">
        <f>IFERROR(VLOOKUP($D120,'BASE DE DATOS'!$B:$I,7,0),0)</f>
        <v>3217261359</v>
      </c>
      <c r="L120" s="46">
        <f>IFERROR(VLOOKUP($D120,'BASE DE DATOS'!$B:$I,8,0),0)</f>
        <v>0</v>
      </c>
      <c r="M120" s="70">
        <v>473000</v>
      </c>
      <c r="N120" s="46" t="str">
        <f t="shared" si="2"/>
        <v>COSTO</v>
      </c>
    </row>
    <row r="121" spans="1:21" x14ac:dyDescent="0.25">
      <c r="A121" s="71">
        <v>45741</v>
      </c>
      <c r="B121" s="34">
        <v>3</v>
      </c>
      <c r="D121" s="46">
        <f>IFERROR(VLOOKUP($E121,'BASE DE DATOS'!$A:$I,2,0)," ")</f>
        <v>1090096266</v>
      </c>
      <c r="E121" s="66" t="s">
        <v>528</v>
      </c>
      <c r="F121" s="46" t="str">
        <f>IFERROR(VLOOKUP($D121,'BASE DE DATOS'!$B:$I,2,0),0)</f>
        <v>ISABELA</v>
      </c>
      <c r="G121" s="46">
        <f>IFERROR(VLOOKUP($D121,'BASE DE DATOS'!$B:$I,3,0),0)</f>
        <v>0</v>
      </c>
      <c r="H121" s="46" t="str">
        <f>IFERROR(VLOOKUP($D121,'BASE DE DATOS'!$B:$I,4,0),0)</f>
        <v>TANGARIFE</v>
      </c>
      <c r="I121" s="46" t="str">
        <f>IFERROR(VLOOKUP($D121,'BASE DE DATOS'!$B:$I,5,0),0)</f>
        <v>MARULANDA</v>
      </c>
      <c r="J121" s="46" t="str">
        <f>IFERROR(VLOOKUP($D121,'BASE DE DATOS'!$B:$I,6,0),0)</f>
        <v xml:space="preserve">CALLE 8 9-49 JORGE ELIECER </v>
      </c>
      <c r="K121">
        <f>IFERROR(VLOOKUP($D121,'BASE DE DATOS'!$B:$I,7,0),0)</f>
        <v>3155015204</v>
      </c>
      <c r="L121" s="46">
        <f>IFERROR(VLOOKUP($D121,'BASE DE DATOS'!$B:$I,8,0),0)</f>
        <v>0</v>
      </c>
      <c r="M121" s="70">
        <v>301000</v>
      </c>
      <c r="N121" s="46" t="str">
        <f t="shared" si="2"/>
        <v>COSTO</v>
      </c>
    </row>
    <row r="122" spans="1:21" x14ac:dyDescent="0.25">
      <c r="A122" s="71">
        <v>45741</v>
      </c>
      <c r="B122" s="34">
        <v>10</v>
      </c>
      <c r="D122" s="46">
        <f>IFERROR(VLOOKUP($E122,'BASE DE DATOS'!$A:$I,2,0)," ")</f>
        <v>1114623352</v>
      </c>
      <c r="E122" s="66" t="s">
        <v>474</v>
      </c>
      <c r="F122" s="46" t="str">
        <f>IFERROR(VLOOKUP($D122,'BASE DE DATOS'!$B:$I,2,0),0)</f>
        <v xml:space="preserve">JUAN </v>
      </c>
      <c r="G122" s="46" t="str">
        <f>IFERROR(VLOOKUP($D122,'BASE DE DATOS'!$B:$I,3,0),0)</f>
        <v>MANUEL</v>
      </c>
      <c r="H122" s="46" t="str">
        <f>IFERROR(VLOOKUP($D122,'BASE DE DATOS'!$B:$I,4,0),0)</f>
        <v>CORREA</v>
      </c>
      <c r="I122" s="46" t="str">
        <f>IFERROR(VLOOKUP($D122,'BASE DE DATOS'!$B:$I,5,0),0)</f>
        <v>ORTIZ</v>
      </c>
      <c r="J122" s="46" t="str">
        <f>IFERROR(VLOOKUP($D122,'BASE DE DATOS'!$B:$I,6,0),0)</f>
        <v>CALLE 8 7-57</v>
      </c>
      <c r="K122">
        <f>IFERROR(VLOOKUP($D122,'BASE DE DATOS'!$B:$I,7,0),0)</f>
        <v>3182626617</v>
      </c>
      <c r="L122" s="46">
        <f>IFERROR(VLOOKUP($D122,'BASE DE DATOS'!$B:$I,8,0),0)</f>
        <v>0</v>
      </c>
      <c r="M122" s="70">
        <v>329000</v>
      </c>
      <c r="N122" s="46" t="str">
        <f t="shared" si="2"/>
        <v>COSTO</v>
      </c>
    </row>
    <row r="123" spans="1:21" x14ac:dyDescent="0.25">
      <c r="A123" s="71">
        <v>45741</v>
      </c>
      <c r="B123" s="34">
        <v>1</v>
      </c>
      <c r="D123" s="46">
        <f>IFERROR(VLOOKUP($E123,'BASE DE DATOS'!$A:$I,2,0)," ")</f>
        <v>1114620468</v>
      </c>
      <c r="E123" s="66" t="str">
        <f>'BASE DE DATOS'!$A$183</f>
        <v xml:space="preserve">NATHALIA PALOMINO GAVIRIA </v>
      </c>
      <c r="F123" s="46" t="str">
        <f>IFERROR(VLOOKUP($D123,'BASE DE DATOS'!$B:$I,2,0),0)</f>
        <v>NATHALIA</v>
      </c>
      <c r="G123" s="46">
        <f>IFERROR(VLOOKUP($D123,'BASE DE DATOS'!$B:$I,3,0),0)</f>
        <v>0</v>
      </c>
      <c r="H123" s="46" t="str">
        <f>IFERROR(VLOOKUP($D123,'BASE DE DATOS'!$B:$I,4,0),0)</f>
        <v>PALOMINO</v>
      </c>
      <c r="I123" s="46" t="str">
        <f>IFERROR(VLOOKUP($D123,'BASE DE DATOS'!$B:$I,5,0),0)</f>
        <v>GAVIRIA</v>
      </c>
      <c r="J123" s="46" t="str">
        <f>IFERROR(VLOOKUP($D123,'BASE DE DATOS'!$B:$I,6,0),0)</f>
        <v xml:space="preserve">CALLE 10 # 15A-04 LIBERTAD </v>
      </c>
      <c r="K123">
        <f>IFERROR(VLOOKUP($D123,'BASE DE DATOS'!$B:$I,7,0),0)</f>
        <v>3145776261</v>
      </c>
      <c r="L123" s="46">
        <f>IFERROR(VLOOKUP($D123,'BASE DE DATOS'!$B:$I,8,0),0)</f>
        <v>0</v>
      </c>
      <c r="M123" s="70">
        <v>172000</v>
      </c>
      <c r="N123" s="46" t="str">
        <f t="shared" si="2"/>
        <v>COSTO</v>
      </c>
    </row>
    <row r="124" spans="1:21" x14ac:dyDescent="0.25">
      <c r="A124" s="71">
        <v>45741</v>
      </c>
      <c r="B124" s="34">
        <v>0</v>
      </c>
      <c r="D124" s="46">
        <f>IFERROR(VLOOKUP($E124,'BASE DE DATOS'!$A:$I,2,0)," ")</f>
        <v>1114623744</v>
      </c>
      <c r="E124" s="66" t="s">
        <v>522</v>
      </c>
      <c r="F124" s="46" t="str">
        <f>IFERROR(VLOOKUP($D124,'BASE DE DATOS'!$B:$I,2,0),0)</f>
        <v>REIMON</v>
      </c>
      <c r="G124" s="46" t="str">
        <f>IFERROR(VLOOKUP($D124,'BASE DE DATOS'!$B:$I,3,0),0)</f>
        <v>DAVID</v>
      </c>
      <c r="H124" s="46" t="str">
        <f>IFERROR(VLOOKUP($D124,'BASE DE DATOS'!$B:$I,4,0),0)</f>
        <v>PIMIENTO</v>
      </c>
      <c r="I124" s="46" t="str">
        <f>IFERROR(VLOOKUP($D124,'BASE DE DATOS'!$B:$I,5,0),0)</f>
        <v>CARDENAS</v>
      </c>
      <c r="J124" s="46">
        <f>IFERROR(VLOOKUP($D124,'BASE DE DATOS'!$B:$I,6,0),0)</f>
        <v>0</v>
      </c>
      <c r="K124">
        <f>IFERROR(VLOOKUP($D124,'BASE DE DATOS'!$B:$I,7,0),0)</f>
        <v>0</v>
      </c>
      <c r="L124" s="46">
        <f>IFERROR(VLOOKUP($D124,'BASE DE DATOS'!$B:$I,8,0),0)</f>
        <v>0</v>
      </c>
      <c r="M124" s="70">
        <v>188000</v>
      </c>
      <c r="N124" s="46" t="str">
        <f t="shared" ref="N124:N125" si="3">$N$123</f>
        <v>COSTO</v>
      </c>
    </row>
    <row r="125" spans="1:21" x14ac:dyDescent="0.25">
      <c r="A125" s="71">
        <v>45741</v>
      </c>
      <c r="B125" s="34">
        <v>16</v>
      </c>
      <c r="D125" s="46">
        <f>IFERROR(VLOOKUP($E125,'BASE DE DATOS'!$A:$I,2,0)," ")</f>
        <v>18652153</v>
      </c>
      <c r="E125" s="66" t="s">
        <v>519</v>
      </c>
      <c r="F125" s="46" t="str">
        <f>IFERROR(VLOOKUP($D125,'BASE DE DATOS'!$B:$I,2,0),0)</f>
        <v xml:space="preserve">YANCARLYS </v>
      </c>
      <c r="G125" s="46" t="str">
        <f>IFERROR(VLOOKUP($D125,'BASE DE DATOS'!$B:$I,3,0),0)</f>
        <v>JOSELIN</v>
      </c>
      <c r="H125" s="46" t="str">
        <f>IFERROR(VLOOKUP($D125,'BASE DE DATOS'!$B:$I,4,0),0)</f>
        <v>RODRIGUEZ</v>
      </c>
      <c r="I125" s="46" t="str">
        <f>IFERROR(VLOOKUP($D125,'BASE DE DATOS'!$B:$I,5,0),0)</f>
        <v>GUEVARA</v>
      </c>
      <c r="J125" s="46" t="str">
        <f>IFERROR(VLOOKUP($D125,'BASE DE DATOS'!$B:$I,6,0),0)</f>
        <v>PRADOS DE LA COLINA MN H CASA 1</v>
      </c>
      <c r="K125">
        <f>IFERROR(VLOOKUP($D125,'BASE DE DATOS'!$B:$I,7,0),0)</f>
        <v>3249778826</v>
      </c>
      <c r="L125" s="46">
        <f>IFERROR(VLOOKUP($D125,'BASE DE DATOS'!$B:$I,8,0),0)</f>
        <v>0</v>
      </c>
      <c r="M125" s="70">
        <v>119000</v>
      </c>
      <c r="N125" s="46" t="str">
        <f t="shared" si="3"/>
        <v>COSTO</v>
      </c>
    </row>
    <row r="126" spans="1:21" x14ac:dyDescent="0.25">
      <c r="A126" s="71">
        <v>45738</v>
      </c>
      <c r="B126" s="34">
        <v>0</v>
      </c>
      <c r="D126" s="46">
        <f>IFERROR(VLOOKUP($E126,'BASE DE DATOS'!$A:$I,2,0)," ")</f>
        <v>900663051</v>
      </c>
      <c r="E126" s="66" t="str">
        <f>'BASE DE DATOS'!$A$98</f>
        <v>MUNDO LED ILUMINACION SAS</v>
      </c>
      <c r="F126" s="46">
        <f>IFERROR(VLOOKUP($D126,'BASE DE DATOS'!$B:$I,2,0),0)</f>
        <v>0</v>
      </c>
      <c r="G126" s="46">
        <f>IFERROR(VLOOKUP($D126,'BASE DE DATOS'!$B:$I,3,0),0)</f>
        <v>0</v>
      </c>
      <c r="H126" s="46">
        <f>IFERROR(VLOOKUP($D126,'BASE DE DATOS'!$B:$I,4,0),0)</f>
        <v>0</v>
      </c>
      <c r="I126" s="46">
        <f>IFERROR(VLOOKUP($D126,'BASE DE DATOS'!$B:$I,5,0),0)</f>
        <v>0</v>
      </c>
      <c r="J126" s="46" t="str">
        <f>IFERROR(VLOOKUP($D126,'BASE DE DATOS'!$B:$I,6,0),0)</f>
        <v>CR 25 30 56</v>
      </c>
      <c r="K126">
        <f>IFERROR(VLOOKUP($D126,'BASE DE DATOS'!$B:$I,7,0),0)</f>
        <v>0</v>
      </c>
      <c r="L126" s="46">
        <f>IFERROR(VLOOKUP($D126,'BASE DE DATOS'!$B:$I,8,0),0)</f>
        <v>0</v>
      </c>
      <c r="M126" s="70">
        <v>10000</v>
      </c>
      <c r="N126" s="46" t="s">
        <v>9</v>
      </c>
    </row>
    <row r="127" spans="1:21" ht="13.5" customHeight="1" x14ac:dyDescent="0.25">
      <c r="A127" s="71">
        <v>45735</v>
      </c>
      <c r="B127" s="34">
        <v>0</v>
      </c>
      <c r="D127" s="46">
        <f>IFERROR(VLOOKUP($E127,'BASE DE DATOS'!$A:$I,2,0)," ")</f>
        <v>900663051</v>
      </c>
      <c r="E127" s="66" t="s">
        <v>291</v>
      </c>
      <c r="F127" s="46">
        <f>IFERROR(VLOOKUP($D127,'BASE DE DATOS'!$B:$I,2,0),0)</f>
        <v>0</v>
      </c>
      <c r="G127" s="46">
        <f>IFERROR(VLOOKUP($D127,'BASE DE DATOS'!$B:$I,3,0),0)</f>
        <v>0</v>
      </c>
      <c r="H127" s="46">
        <f>IFERROR(VLOOKUP($D127,'BASE DE DATOS'!$B:$I,4,0),0)</f>
        <v>0</v>
      </c>
      <c r="I127" s="46">
        <f>IFERROR(VLOOKUP($D127,'BASE DE DATOS'!$B:$I,5,0),0)</f>
        <v>0</v>
      </c>
      <c r="J127" s="46" t="str">
        <f>IFERROR(VLOOKUP($D127,'BASE DE DATOS'!$B:$I,6,0),0)</f>
        <v>CR 25 30 56</v>
      </c>
      <c r="K127">
        <f>IFERROR(VLOOKUP($D127,'BASE DE DATOS'!$B:$I,7,0),0)</f>
        <v>0</v>
      </c>
      <c r="L127" s="46">
        <f>IFERROR(VLOOKUP($D127,'BASE DE DATOS'!$B:$I,8,0),0)</f>
        <v>0</v>
      </c>
      <c r="M127" s="70">
        <v>65000</v>
      </c>
      <c r="N127" s="46" t="s">
        <v>9</v>
      </c>
    </row>
    <row r="128" spans="1:21" ht="13.5" customHeight="1" x14ac:dyDescent="0.25">
      <c r="A128" s="71">
        <v>45741</v>
      </c>
      <c r="B128" s="34">
        <v>26121</v>
      </c>
      <c r="D128" s="46">
        <f>IFERROR(VLOOKUP($E128,'BASE DE DATOS'!$A:$I,2,0)," ")</f>
        <v>66886718</v>
      </c>
      <c r="E128" s="66" t="s">
        <v>41</v>
      </c>
      <c r="F128" s="46" t="str">
        <f>IFERROR(VLOOKUP($D128,'BASE DE DATOS'!$B:$I,2,0),0)</f>
        <v xml:space="preserve">MARIA </v>
      </c>
      <c r="G128" s="46" t="str">
        <f>IFERROR(VLOOKUP($D128,'BASE DE DATOS'!$B:$I,3,0),0)</f>
        <v>ISABEL</v>
      </c>
      <c r="H128" s="46" t="str">
        <f>IFERROR(VLOOKUP($D128,'BASE DE DATOS'!$B:$I,4,0),0)</f>
        <v>GIRON</v>
      </c>
      <c r="I128" s="46" t="str">
        <f>IFERROR(VLOOKUP($D128,'BASE DE DATOS'!$B:$I,5,0),0)</f>
        <v>CERON</v>
      </c>
      <c r="J128" s="46" t="str">
        <f>IFERROR(VLOOKUP($D128,'BASE DE DATOS'!$B:$I,6,0),0)</f>
        <v>CL 6 9 52</v>
      </c>
      <c r="K128">
        <f>IFERROR(VLOOKUP($D128,'BASE DE DATOS'!$B:$I,7,0),0)</f>
        <v>2673706</v>
      </c>
      <c r="L128" s="46" t="str">
        <f>IFERROR(VLOOKUP($D128,'BASE DE DATOS'!$B:$I,8,0),0)</f>
        <v>papeleriajuvenil@gmail.com</v>
      </c>
      <c r="M128" s="70">
        <v>21400</v>
      </c>
      <c r="N128" s="46" t="s">
        <v>9</v>
      </c>
    </row>
    <row r="129" spans="1:21" x14ac:dyDescent="0.25">
      <c r="A129" s="71">
        <v>45740</v>
      </c>
      <c r="B129" s="34">
        <v>0</v>
      </c>
      <c r="D129" s="46">
        <f>IFERROR(VLOOKUP($E129,'BASE DE DATOS'!$A:$I,2,0)," ")</f>
        <v>0</v>
      </c>
      <c r="E129" s="66" t="s">
        <v>518</v>
      </c>
      <c r="F129" s="46">
        <f>IFERROR(VLOOKUP($D129,'BASE DE DATOS'!$B:$I,2,0),0)</f>
        <v>0</v>
      </c>
      <c r="G129" s="46">
        <f>IFERROR(VLOOKUP($D129,'BASE DE DATOS'!$B:$I,3,0),0)</f>
        <v>0</v>
      </c>
      <c r="H129" s="46">
        <f>IFERROR(VLOOKUP($D129,'BASE DE DATOS'!$B:$I,4,0),0)</f>
        <v>0</v>
      </c>
      <c r="I129" s="46">
        <f>IFERROR(VLOOKUP($D129,'BASE DE DATOS'!$B:$I,5,0),0)</f>
        <v>0</v>
      </c>
      <c r="J129" s="46">
        <f>IFERROR(VLOOKUP($D129,'BASE DE DATOS'!$B:$I,6,0),0)</f>
        <v>0</v>
      </c>
      <c r="K129">
        <f>IFERROR(VLOOKUP($D129,'BASE DE DATOS'!$B:$I,7,0),0)</f>
        <v>0</v>
      </c>
      <c r="L129" s="46">
        <f>IFERROR(VLOOKUP($D129,'BASE DE DATOS'!$B:$I,8,0),0)</f>
        <v>0</v>
      </c>
      <c r="M129" s="70">
        <v>98300</v>
      </c>
      <c r="N129" s="46" t="s">
        <v>5</v>
      </c>
    </row>
    <row r="130" spans="1:21" x14ac:dyDescent="0.25">
      <c r="A130" s="71">
        <v>45739</v>
      </c>
      <c r="B130" s="34">
        <v>0</v>
      </c>
      <c r="D130" s="46">
        <f>IFERROR(VLOOKUP($E130,'BASE DE DATOS'!$A:$I,2,0)," ")</f>
        <v>0</v>
      </c>
      <c r="E130" s="66" t="s">
        <v>229</v>
      </c>
      <c r="F130" s="46">
        <f>IFERROR(VLOOKUP($D130,'BASE DE DATOS'!$B:$I,2,0),0)</f>
        <v>0</v>
      </c>
      <c r="G130" s="46">
        <f>IFERROR(VLOOKUP($D130,'BASE DE DATOS'!$B:$I,3,0),0)</f>
        <v>0</v>
      </c>
      <c r="H130" s="46">
        <f>IFERROR(VLOOKUP($D130,'BASE DE DATOS'!$B:$I,4,0),0)</f>
        <v>0</v>
      </c>
      <c r="I130" s="46">
        <f>IFERROR(VLOOKUP($D130,'BASE DE DATOS'!$B:$I,5,0),0)</f>
        <v>0</v>
      </c>
      <c r="J130" s="46">
        <f>IFERROR(VLOOKUP($D130,'BASE DE DATOS'!$B:$I,6,0),0)</f>
        <v>0</v>
      </c>
      <c r="K130">
        <f>IFERROR(VLOOKUP($D130,'BASE DE DATOS'!$B:$I,7,0),0)</f>
        <v>0</v>
      </c>
      <c r="L130" s="46">
        <f>IFERROR(VLOOKUP($D130,'BASE DE DATOS'!$B:$I,8,0),0)</f>
        <v>0</v>
      </c>
      <c r="M130" s="70">
        <v>65000</v>
      </c>
      <c r="N130" s="46" t="s">
        <v>5</v>
      </c>
    </row>
    <row r="131" spans="1:21" x14ac:dyDescent="0.25">
      <c r="A131" s="71">
        <v>45738</v>
      </c>
      <c r="B131" s="34">
        <v>1220</v>
      </c>
      <c r="D131" s="46">
        <f>IFERROR(VLOOKUP($E131,'BASE DE DATOS'!$A:$I,2,0)," ")</f>
        <v>0</v>
      </c>
      <c r="E131" s="66" t="s">
        <v>194</v>
      </c>
      <c r="F131" s="46">
        <f>IFERROR(VLOOKUP($D131,'BASE DE DATOS'!$B:$I,2,0),0)</f>
        <v>0</v>
      </c>
      <c r="G131" s="46">
        <f>IFERROR(VLOOKUP($D131,'BASE DE DATOS'!$B:$I,3,0),0)</f>
        <v>0</v>
      </c>
      <c r="H131" s="46">
        <f>IFERROR(VLOOKUP($D131,'BASE DE DATOS'!$B:$I,4,0),0)</f>
        <v>0</v>
      </c>
      <c r="I131" s="46">
        <f>IFERROR(VLOOKUP($D131,'BASE DE DATOS'!$B:$I,5,0),0)</f>
        <v>0</v>
      </c>
      <c r="J131" s="46">
        <f>IFERROR(VLOOKUP($D131,'BASE DE DATOS'!$B:$I,6,0),0)</f>
        <v>0</v>
      </c>
      <c r="K131">
        <f>IFERROR(VLOOKUP($D131,'BASE DE DATOS'!$B:$I,7,0),0)</f>
        <v>0</v>
      </c>
      <c r="L131" s="46">
        <f>IFERROR(VLOOKUP($D131,'BASE DE DATOS'!$B:$I,8,0),0)</f>
        <v>0</v>
      </c>
      <c r="M131" s="70">
        <v>203600</v>
      </c>
      <c r="N131" s="46" t="s">
        <v>5</v>
      </c>
    </row>
    <row r="132" spans="1:21" x14ac:dyDescent="0.25">
      <c r="A132" s="71">
        <v>45742</v>
      </c>
      <c r="B132" s="34">
        <v>0</v>
      </c>
      <c r="D132" s="46" t="str">
        <f>IFERROR(VLOOKUP($E132,'BASE DE DATOS'!$A:$I,2,0)," ")</f>
        <v>11136655074-1</v>
      </c>
      <c r="E132" s="66" t="str">
        <f>'BASE DE DATOS'!$A$184</f>
        <v>DISTRIBUIDORA LA CABAÑA</v>
      </c>
      <c r="F132" s="46">
        <f>IFERROR(VLOOKUP($D132,'BASE DE DATOS'!$B:$I,2,0),0)</f>
        <v>0</v>
      </c>
      <c r="G132" s="46">
        <f>IFERROR(VLOOKUP($D132,'BASE DE DATOS'!$B:$I,3,0),0)</f>
        <v>0</v>
      </c>
      <c r="H132" s="46">
        <f>IFERROR(VLOOKUP($D132,'BASE DE DATOS'!$B:$I,4,0),0)</f>
        <v>0</v>
      </c>
      <c r="I132" s="46">
        <f>IFERROR(VLOOKUP($D132,'BASE DE DATOS'!$B:$I,5,0),0)</f>
        <v>0</v>
      </c>
      <c r="J132" s="46" t="str">
        <f>IFERROR(VLOOKUP($D132,'BASE DE DATOS'!$B:$I,6,0),0)</f>
        <v>MZNA D CASA 7 LA MARIA 1</v>
      </c>
      <c r="K132">
        <f>IFERROR(VLOOKUP($D132,'BASE DE DATOS'!$B:$I,7,0),0)</f>
        <v>3235847500</v>
      </c>
      <c r="L132" s="46">
        <f>IFERROR(VLOOKUP($D132,'BASE DE DATOS'!$B:$I,8,0),0)</f>
        <v>0</v>
      </c>
      <c r="M132" s="70">
        <v>16500</v>
      </c>
      <c r="N132" s="46" t="s">
        <v>9</v>
      </c>
    </row>
    <row r="133" spans="1:21" x14ac:dyDescent="0.25">
      <c r="A133" s="71">
        <v>45742</v>
      </c>
      <c r="B133" s="34">
        <v>142618</v>
      </c>
      <c r="D133" s="46">
        <f>IFERROR(VLOOKUP($E133,'BASE DE DATOS'!$A:$I,2,0)," ")</f>
        <v>901158397</v>
      </c>
      <c r="E133" s="66" t="s">
        <v>257</v>
      </c>
      <c r="F133" s="46">
        <f>IFERROR(VLOOKUP($D133,'BASE DE DATOS'!$B:$I,2,0),0)</f>
        <v>0</v>
      </c>
      <c r="G133" s="46">
        <f>IFERROR(VLOOKUP($D133,'BASE DE DATOS'!$B:$I,3,0),0)</f>
        <v>0</v>
      </c>
      <c r="H133" s="46">
        <f>IFERROR(VLOOKUP($D133,'BASE DE DATOS'!$B:$I,4,0),0)</f>
        <v>0</v>
      </c>
      <c r="I133" s="46">
        <f>IFERROR(VLOOKUP($D133,'BASE DE DATOS'!$B:$I,5,0),0)</f>
        <v>0</v>
      </c>
      <c r="J133" s="46" t="str">
        <f>IFERROR(VLOOKUP($D133,'BASE DE DATOS'!$B:$I,6,0),0)</f>
        <v>CR 17 33 D 36</v>
      </c>
      <c r="K133">
        <f>IFERROR(VLOOKUP($D133,'BASE DE DATOS'!$B:$I,7,0),0)</f>
        <v>3108368823</v>
      </c>
      <c r="L133" s="46">
        <f>IFERROR(VLOOKUP($D133,'BASE DE DATOS'!$B:$I,8,0),0)</f>
        <v>0</v>
      </c>
      <c r="M133" s="70">
        <v>510000</v>
      </c>
      <c r="N133" s="46" t="s">
        <v>5</v>
      </c>
      <c r="O133" s="1"/>
      <c r="P133" s="1"/>
      <c r="Q133" s="1"/>
      <c r="R133" s="1"/>
      <c r="S133" s="1"/>
      <c r="T133" s="1"/>
      <c r="U133" s="1"/>
    </row>
    <row r="134" spans="1:21" x14ac:dyDescent="0.25">
      <c r="A134" s="71">
        <v>45742</v>
      </c>
      <c r="B134" s="34">
        <v>5677</v>
      </c>
      <c r="D134" s="46">
        <f>IFERROR(VLOOKUP($E134,'BASE DE DATOS'!$A:$I,2,0)," ")</f>
        <v>66929745</v>
      </c>
      <c r="E134" s="66" t="s">
        <v>283</v>
      </c>
      <c r="F134" s="46" t="str">
        <f>IFERROR(VLOOKUP($D134,'BASE DE DATOS'!$B:$I,2,0),0)</f>
        <v>MARTHA</v>
      </c>
      <c r="G134" s="46">
        <f>IFERROR(VLOOKUP($D134,'BASE DE DATOS'!$B:$I,3,0),0)</f>
        <v>0</v>
      </c>
      <c r="H134" s="46">
        <f>IFERROR(VLOOKUP($D134,'BASE DE DATOS'!$B:$I,4,0),0)</f>
        <v>0</v>
      </c>
      <c r="I134" s="46">
        <f>IFERROR(VLOOKUP($D134,'BASE DE DATOS'!$B:$I,5,0),0)</f>
        <v>0</v>
      </c>
      <c r="J134" s="46" t="str">
        <f>IFERROR(VLOOKUP($D134,'BASE DE DATOS'!$B:$I,6,0),0)</f>
        <v>CL 8 12 10</v>
      </c>
      <c r="K134">
        <f>IFERROR(VLOOKUP($D134,'BASE DE DATOS'!$B:$I,7,0),0)</f>
        <v>3017199935</v>
      </c>
      <c r="L134" s="46">
        <f>IFERROR(VLOOKUP($D134,'BASE DE DATOS'!$B:$I,8,0),0)</f>
        <v>0</v>
      </c>
      <c r="M134" s="70">
        <v>480300</v>
      </c>
      <c r="N134" s="46" t="s">
        <v>5</v>
      </c>
      <c r="O134" s="1"/>
      <c r="P134" s="1"/>
      <c r="Q134" s="1"/>
      <c r="R134" s="1"/>
      <c r="S134" s="1"/>
      <c r="T134" s="1"/>
      <c r="U134" s="1"/>
    </row>
    <row r="135" spans="1:21" x14ac:dyDescent="0.25">
      <c r="A135" s="71">
        <v>45741</v>
      </c>
      <c r="B135" s="34">
        <v>2687906</v>
      </c>
      <c r="D135" s="46">
        <f>IFERROR(VLOOKUP($E135,'BASE DE DATOS'!$A:$I,2,0)," ")</f>
        <v>815003414</v>
      </c>
      <c r="E135" s="66" t="s">
        <v>56</v>
      </c>
      <c r="F135" s="46" t="str">
        <f>IFERROR(VLOOKUP($D135,'BASE DE DATOS'!$B:$I,2,0),0)</f>
        <v>NO TIENE</v>
      </c>
      <c r="G135" s="46" t="str">
        <f>IFERROR(VLOOKUP($D135,'BASE DE DATOS'!$B:$I,3,0),0)</f>
        <v>NO TIENE</v>
      </c>
      <c r="H135" s="46" t="str">
        <f>IFERROR(VLOOKUP($D135,'BASE DE DATOS'!$B:$I,4,0),0)</f>
        <v>NO TIENE</v>
      </c>
      <c r="I135" s="46" t="str">
        <f>IFERROR(VLOOKUP($D135,'BASE DE DATOS'!$B:$I,5,0),0)</f>
        <v>NO TIENE</v>
      </c>
      <c r="J135" s="46" t="str">
        <f>IFERROR(VLOOKUP($D135,'BASE DE DATOS'!$B:$I,6,0),0)</f>
        <v>CL 47 34C 45 B</v>
      </c>
      <c r="K135">
        <f>IFERROR(VLOOKUP($D135,'BASE DE DATOS'!$B:$I,7,0),0)</f>
        <v>3218057166</v>
      </c>
      <c r="L135" s="46">
        <f>IFERROR(VLOOKUP($D135,'BASE DE DATOS'!$B:$I,8,0),0)</f>
        <v>0</v>
      </c>
      <c r="M135" s="70">
        <v>1413060</v>
      </c>
      <c r="N135" s="46" t="s">
        <v>5</v>
      </c>
    </row>
    <row r="136" spans="1:21" x14ac:dyDescent="0.25">
      <c r="A136" s="71">
        <v>45741</v>
      </c>
      <c r="B136" s="34">
        <v>68799</v>
      </c>
      <c r="D136" s="46">
        <f>IFERROR(VLOOKUP($E136,'BASE DE DATOS'!$A:$I,2,0)," ")</f>
        <v>66931449</v>
      </c>
      <c r="E136" s="66" t="s">
        <v>10</v>
      </c>
      <c r="F136" s="46" t="str">
        <f>IFERROR(VLOOKUP($D136,'BASE DE DATOS'!$B:$I,2,0),0)</f>
        <v>NO TIENE</v>
      </c>
      <c r="G136" s="46" t="str">
        <f>IFERROR(VLOOKUP($D136,'BASE DE DATOS'!$B:$I,3,0),0)</f>
        <v>NO TIENE</v>
      </c>
      <c r="H136" s="46" t="str">
        <f>IFERROR(VLOOKUP($D136,'BASE DE DATOS'!$B:$I,4,0),0)</f>
        <v>NO TIENE</v>
      </c>
      <c r="I136" s="46" t="str">
        <f>IFERROR(VLOOKUP($D136,'BASE DE DATOS'!$B:$I,5,0),0)</f>
        <v>NO TIENE</v>
      </c>
      <c r="J136" s="46" t="str">
        <f>IFERROR(VLOOKUP($D136,'BASE DE DATOS'!$B:$I,6,0),0)</f>
        <v>CR 12 6 33</v>
      </c>
      <c r="K136">
        <f>IFERROR(VLOOKUP($D136,'BASE DE DATOS'!$B:$I,7,0),0)</f>
        <v>2672346</v>
      </c>
      <c r="L136" s="46" t="str">
        <f>IFERROR(VLOOKUP($D136,'BASE DE DATOS'!$B:$I,8,0),0)</f>
        <v>NO TIENE</v>
      </c>
      <c r="M136" s="70">
        <v>483800</v>
      </c>
      <c r="N136" s="46" t="s">
        <v>9</v>
      </c>
    </row>
    <row r="137" spans="1:21" x14ac:dyDescent="0.25">
      <c r="A137" s="71">
        <v>45735</v>
      </c>
      <c r="B137" s="34">
        <v>67017</v>
      </c>
      <c r="D137" s="46">
        <f>IFERROR(VLOOKUP($E137,'BASE DE DATOS'!$A:$I,2,0)," ")</f>
        <v>66931449</v>
      </c>
      <c r="E137" s="66" t="s">
        <v>10</v>
      </c>
      <c r="F137" s="46" t="str">
        <f>IFERROR(VLOOKUP($D137,'BASE DE DATOS'!$B:$I,2,0),0)</f>
        <v>NO TIENE</v>
      </c>
      <c r="G137" s="46" t="str">
        <f>IFERROR(VLOOKUP($D137,'BASE DE DATOS'!$B:$I,3,0),0)</f>
        <v>NO TIENE</v>
      </c>
      <c r="H137" s="46" t="str">
        <f>IFERROR(VLOOKUP($D137,'BASE DE DATOS'!$B:$I,4,0),0)</f>
        <v>NO TIENE</v>
      </c>
      <c r="I137" s="46" t="str">
        <f>IFERROR(VLOOKUP($D137,'BASE DE DATOS'!$B:$I,5,0),0)</f>
        <v>NO TIENE</v>
      </c>
      <c r="J137" s="46" t="str">
        <f>IFERROR(VLOOKUP($D137,'BASE DE DATOS'!$B:$I,6,0),0)</f>
        <v>CR 12 6 33</v>
      </c>
      <c r="K137">
        <f>IFERROR(VLOOKUP($D137,'BASE DE DATOS'!$B:$I,7,0),0)</f>
        <v>2672346</v>
      </c>
      <c r="L137" s="46" t="str">
        <f>IFERROR(VLOOKUP($D137,'BASE DE DATOS'!$B:$I,8,0),0)</f>
        <v>NO TIENE</v>
      </c>
      <c r="M137" s="70">
        <v>342000</v>
      </c>
      <c r="N137" s="46" t="s">
        <v>9</v>
      </c>
    </row>
    <row r="138" spans="1:21" x14ac:dyDescent="0.25">
      <c r="A138" s="71">
        <v>45737</v>
      </c>
      <c r="B138" s="34">
        <v>5758</v>
      </c>
      <c r="D138" s="46">
        <f>IFERROR(VLOOKUP($E138,'BASE DE DATOS'!$A:$I,2,0)," ")</f>
        <v>66929745</v>
      </c>
      <c r="E138" s="66" t="s">
        <v>283</v>
      </c>
      <c r="F138" s="46" t="str">
        <f>IFERROR(VLOOKUP($D138,'BASE DE DATOS'!$B:$I,2,0),0)</f>
        <v>MARTHA</v>
      </c>
      <c r="G138" s="46">
        <f>IFERROR(VLOOKUP($D138,'BASE DE DATOS'!$B:$I,3,0),0)</f>
        <v>0</v>
      </c>
      <c r="H138" s="46">
        <f>IFERROR(VLOOKUP($D138,'BASE DE DATOS'!$B:$I,4,0),0)</f>
        <v>0</v>
      </c>
      <c r="I138" s="46">
        <f>IFERROR(VLOOKUP($D138,'BASE DE DATOS'!$B:$I,5,0),0)</f>
        <v>0</v>
      </c>
      <c r="J138" s="46" t="str">
        <f>IFERROR(VLOOKUP($D138,'BASE DE DATOS'!$B:$I,6,0),0)</f>
        <v>CL 8 12 10</v>
      </c>
      <c r="K138">
        <f>IFERROR(VLOOKUP($D138,'BASE DE DATOS'!$B:$I,7,0),0)</f>
        <v>3017199935</v>
      </c>
      <c r="L138" s="46">
        <f>IFERROR(VLOOKUP($D138,'BASE DE DATOS'!$B:$I,8,0),0)</f>
        <v>0</v>
      </c>
      <c r="M138" s="70">
        <v>480300</v>
      </c>
      <c r="N138" s="46" t="s">
        <v>5</v>
      </c>
    </row>
    <row r="139" spans="1:21" x14ac:dyDescent="0.25">
      <c r="A139" s="71">
        <v>45743</v>
      </c>
      <c r="B139" s="34">
        <v>0</v>
      </c>
      <c r="D139" s="46">
        <f>IFERROR(VLOOKUP($E139,'BASE DE DATOS'!$A:$I,2,0)," ")</f>
        <v>815002459</v>
      </c>
      <c r="E139" s="66" t="s">
        <v>24</v>
      </c>
      <c r="F139" s="46" t="str">
        <f>IFERROR(VLOOKUP($D139,'BASE DE DATOS'!$B:$I,2,0),0)</f>
        <v>NO TIENE</v>
      </c>
      <c r="G139" s="46" t="str">
        <f>IFERROR(VLOOKUP($D139,'BASE DE DATOS'!$B:$I,3,0),0)</f>
        <v>NO TIENE</v>
      </c>
      <c r="H139" s="46" t="str">
        <f>IFERROR(VLOOKUP($D139,'BASE DE DATOS'!$B:$I,4,0),0)</f>
        <v>NO TIENE</v>
      </c>
      <c r="I139" s="46" t="str">
        <f>IFERROR(VLOOKUP($D139,'BASE DE DATOS'!$B:$I,5,0),0)</f>
        <v>NO TIENE</v>
      </c>
      <c r="J139" s="46" t="str">
        <f>IFERROR(VLOOKUP($D139,'BASE DE DATOS'!$B:$I,6,0),0)</f>
        <v>CL 7 12 03</v>
      </c>
      <c r="K139">
        <f>IFERROR(VLOOKUP($D139,'BASE DE DATOS'!$B:$I,7,0),0)</f>
        <v>3136831049</v>
      </c>
      <c r="L139" s="46">
        <f>IFERROR(VLOOKUP($D139,'BASE DE DATOS'!$B:$I,8,0),0)</f>
        <v>0</v>
      </c>
      <c r="M139" s="70">
        <v>19850</v>
      </c>
      <c r="N139" s="46" t="s">
        <v>9</v>
      </c>
    </row>
    <row r="140" spans="1:21" x14ac:dyDescent="0.25">
      <c r="A140" s="71">
        <v>45743</v>
      </c>
      <c r="B140" s="34">
        <v>0</v>
      </c>
      <c r="D140" s="46">
        <f>IFERROR(VLOOKUP($E140,'BASE DE DATOS'!$A:$I,2,0)," ")</f>
        <v>0</v>
      </c>
      <c r="E140" s="66" t="s">
        <v>23</v>
      </c>
      <c r="F140" s="46">
        <f>IFERROR(VLOOKUP($D140,'BASE DE DATOS'!$B:$I,2,0),0)</f>
        <v>0</v>
      </c>
      <c r="G140" s="46">
        <f>IFERROR(VLOOKUP($D140,'BASE DE DATOS'!$B:$I,3,0),0)</f>
        <v>0</v>
      </c>
      <c r="H140" s="46">
        <f>IFERROR(VLOOKUP($D140,'BASE DE DATOS'!$B:$I,4,0),0)</f>
        <v>0</v>
      </c>
      <c r="I140" s="46">
        <f>IFERROR(VLOOKUP($D140,'BASE DE DATOS'!$B:$I,5,0),0)</f>
        <v>0</v>
      </c>
      <c r="J140" s="46">
        <f>IFERROR(VLOOKUP($D140,'BASE DE DATOS'!$B:$I,6,0),0)</f>
        <v>0</v>
      </c>
      <c r="K140">
        <f>IFERROR(VLOOKUP($D140,'BASE DE DATOS'!$B:$I,7,0),0)</f>
        <v>0</v>
      </c>
      <c r="L140" s="46">
        <f>IFERROR(VLOOKUP($D140,'BASE DE DATOS'!$B:$I,8,0),0)</f>
        <v>0</v>
      </c>
      <c r="M140" s="70">
        <v>3000</v>
      </c>
      <c r="N140" s="46" t="s">
        <v>9</v>
      </c>
    </row>
    <row r="141" spans="1:21" x14ac:dyDescent="0.25">
      <c r="A141" s="71">
        <v>45739</v>
      </c>
      <c r="B141" s="34">
        <v>5490</v>
      </c>
      <c r="D141" s="46">
        <f>IFERROR(VLOOKUP($E141,'BASE DE DATOS'!$A:$I,2,0)," ")</f>
        <v>66929745</v>
      </c>
      <c r="E141" s="66" t="s">
        <v>283</v>
      </c>
      <c r="F141" s="46" t="str">
        <f>IFERROR(VLOOKUP($D141,'BASE DE DATOS'!$B:$I,2,0),0)</f>
        <v>MARTHA</v>
      </c>
      <c r="G141" s="46">
        <f>IFERROR(VLOOKUP($D141,'BASE DE DATOS'!$B:$I,3,0),0)</f>
        <v>0</v>
      </c>
      <c r="H141" s="46">
        <f>IFERROR(VLOOKUP($D141,'BASE DE DATOS'!$B:$I,4,0),0)</f>
        <v>0</v>
      </c>
      <c r="I141" s="46">
        <f>IFERROR(VLOOKUP($D141,'BASE DE DATOS'!$B:$I,5,0),0)</f>
        <v>0</v>
      </c>
      <c r="J141" s="46" t="str">
        <f>IFERROR(VLOOKUP($D141,'BASE DE DATOS'!$B:$I,6,0),0)</f>
        <v>CL 8 12 10</v>
      </c>
      <c r="K141">
        <f>IFERROR(VLOOKUP($D141,'BASE DE DATOS'!$B:$I,7,0),0)</f>
        <v>3017199935</v>
      </c>
      <c r="L141" s="46">
        <f>IFERROR(VLOOKUP($D141,'BASE DE DATOS'!$B:$I,8,0),0)</f>
        <v>0</v>
      </c>
      <c r="M141" s="70">
        <v>464500</v>
      </c>
      <c r="N141" s="46" t="s">
        <v>5</v>
      </c>
      <c r="O141" s="1"/>
      <c r="P141" s="1"/>
      <c r="Q141" s="1"/>
      <c r="R141" s="1"/>
      <c r="S141" s="1"/>
      <c r="T141" s="1"/>
      <c r="U141" s="1"/>
    </row>
    <row r="142" spans="1:21" x14ac:dyDescent="0.25">
      <c r="A142" s="71">
        <v>45744</v>
      </c>
      <c r="B142" s="34">
        <v>697109</v>
      </c>
      <c r="D142" s="46">
        <f>IFERROR(VLOOKUP($E142,'BASE DE DATOS'!$A:$I,2,0)," ")</f>
        <v>890500726</v>
      </c>
      <c r="E142" s="66" t="s">
        <v>58</v>
      </c>
      <c r="F142" s="46" t="str">
        <f>IFERROR(VLOOKUP($D142,'BASE DE DATOS'!$B:$I,2,0),0)</f>
        <v>NO TIENE</v>
      </c>
      <c r="G142" s="46" t="str">
        <f>IFERROR(VLOOKUP($D142,'BASE DE DATOS'!$B:$I,3,0),0)</f>
        <v>NO TIENE</v>
      </c>
      <c r="H142" s="46" t="str">
        <f>IFERROR(VLOOKUP($D142,'BASE DE DATOS'!$B:$I,4,0),0)</f>
        <v>NO TIENE</v>
      </c>
      <c r="I142" s="46" t="str">
        <f>IFERROR(VLOOKUP($D142,'BASE DE DATOS'!$B:$I,5,0),0)</f>
        <v>NO TIENE</v>
      </c>
      <c r="J142" s="46">
        <f>IFERROR(VLOOKUP($D142,'BASE DE DATOS'!$B:$I,6,0),0)</f>
        <v>0</v>
      </c>
      <c r="K142">
        <f>IFERROR(VLOOKUP($D142,'BASE DE DATOS'!$B:$I,7,0),0)</f>
        <v>3208899901</v>
      </c>
      <c r="L142" s="46">
        <f>IFERROR(VLOOKUP($D142,'BASE DE DATOS'!$B:$I,8,0),0)</f>
        <v>0</v>
      </c>
      <c r="M142" s="70">
        <v>315000</v>
      </c>
      <c r="N142" s="46" t="s">
        <v>46</v>
      </c>
    </row>
    <row r="143" spans="1:21" x14ac:dyDescent="0.25">
      <c r="A143" s="71">
        <v>45744</v>
      </c>
      <c r="B143" s="34">
        <v>5826</v>
      </c>
      <c r="D143" s="46">
        <f>IFERROR(VLOOKUP($E143,'BASE DE DATOS'!$A:$I,2,0)," ")</f>
        <v>66929745</v>
      </c>
      <c r="E143" s="66" t="s">
        <v>283</v>
      </c>
      <c r="F143" s="46" t="str">
        <f>IFERROR(VLOOKUP($D143,'BASE DE DATOS'!$B:$I,2,0),0)</f>
        <v>MARTHA</v>
      </c>
      <c r="G143" s="46">
        <f>IFERROR(VLOOKUP($D143,'BASE DE DATOS'!$B:$I,3,0),0)</f>
        <v>0</v>
      </c>
      <c r="H143" s="46">
        <f>IFERROR(VLOOKUP($D143,'BASE DE DATOS'!$B:$I,4,0),0)</f>
        <v>0</v>
      </c>
      <c r="I143" s="46">
        <f>IFERROR(VLOOKUP($D143,'BASE DE DATOS'!$B:$I,5,0),0)</f>
        <v>0</v>
      </c>
      <c r="J143" s="46" t="str">
        <f>IFERROR(VLOOKUP($D143,'BASE DE DATOS'!$B:$I,6,0),0)</f>
        <v>CL 8 12 10</v>
      </c>
      <c r="K143">
        <f>IFERROR(VLOOKUP($D143,'BASE DE DATOS'!$B:$I,7,0),0)</f>
        <v>3017199935</v>
      </c>
      <c r="L143" s="46">
        <f>IFERROR(VLOOKUP($D143,'BASE DE DATOS'!$B:$I,8,0),0)</f>
        <v>0</v>
      </c>
      <c r="M143" s="70">
        <v>486650</v>
      </c>
      <c r="N143" s="46" t="s">
        <v>5</v>
      </c>
    </row>
    <row r="144" spans="1:21" x14ac:dyDescent="0.25">
      <c r="A144" s="71">
        <v>45745</v>
      </c>
      <c r="B144" s="34">
        <v>5926</v>
      </c>
      <c r="D144" s="46">
        <f>IFERROR(VLOOKUP($E144,'BASE DE DATOS'!$A:$I,2,0)," ")</f>
        <v>66929745</v>
      </c>
      <c r="E144" s="66" t="s">
        <v>283</v>
      </c>
      <c r="F144" s="46" t="str">
        <f>IFERROR(VLOOKUP($D144,'BASE DE DATOS'!$B:$I,2,0),0)</f>
        <v>MARTHA</v>
      </c>
      <c r="G144" s="46">
        <f>IFERROR(VLOOKUP($D144,'BASE DE DATOS'!$B:$I,3,0),0)</f>
        <v>0</v>
      </c>
      <c r="H144" s="46">
        <f>IFERROR(VLOOKUP($D144,'BASE DE DATOS'!$B:$I,4,0),0)</f>
        <v>0</v>
      </c>
      <c r="I144" s="46">
        <f>IFERROR(VLOOKUP($D144,'BASE DE DATOS'!$B:$I,5,0),0)</f>
        <v>0</v>
      </c>
      <c r="J144" s="46" t="str">
        <f>IFERROR(VLOOKUP($D144,'BASE DE DATOS'!$B:$I,6,0),0)</f>
        <v>CL 8 12 10</v>
      </c>
      <c r="K144">
        <f>IFERROR(VLOOKUP($D144,'BASE DE DATOS'!$B:$I,7,0),0)</f>
        <v>3017199935</v>
      </c>
      <c r="L144" s="46">
        <f>IFERROR(VLOOKUP($D144,'BASE DE DATOS'!$B:$I,8,0),0)</f>
        <v>0</v>
      </c>
      <c r="M144" s="70">
        <v>474000</v>
      </c>
      <c r="N144" s="46" t="s">
        <v>5</v>
      </c>
    </row>
    <row r="145" spans="1:21" x14ac:dyDescent="0.25">
      <c r="A145" s="71">
        <v>45745</v>
      </c>
      <c r="B145" s="34">
        <v>69813</v>
      </c>
      <c r="D145" s="46">
        <f>IFERROR(VLOOKUP($E145,'BASE DE DATOS'!$A:$I,2,0)," ")</f>
        <v>66931449</v>
      </c>
      <c r="E145" s="66" t="s">
        <v>10</v>
      </c>
      <c r="F145" s="46" t="str">
        <f>IFERROR(VLOOKUP($D145,'BASE DE DATOS'!$B:$I,2,0),0)</f>
        <v>NO TIENE</v>
      </c>
      <c r="G145" s="46" t="str">
        <f>IFERROR(VLOOKUP($D145,'BASE DE DATOS'!$B:$I,3,0),0)</f>
        <v>NO TIENE</v>
      </c>
      <c r="H145" s="46" t="str">
        <f>IFERROR(VLOOKUP($D145,'BASE DE DATOS'!$B:$I,4,0),0)</f>
        <v>NO TIENE</v>
      </c>
      <c r="I145" s="46" t="str">
        <f>IFERROR(VLOOKUP($D145,'BASE DE DATOS'!$B:$I,5,0),0)</f>
        <v>NO TIENE</v>
      </c>
      <c r="J145" s="46" t="str">
        <f>IFERROR(VLOOKUP($D145,'BASE DE DATOS'!$B:$I,6,0),0)</f>
        <v>CR 12 6 33</v>
      </c>
      <c r="K145">
        <f>IFERROR(VLOOKUP($D145,'BASE DE DATOS'!$B:$I,7,0),0)</f>
        <v>2672346</v>
      </c>
      <c r="L145" s="46" t="str">
        <f>IFERROR(VLOOKUP($D145,'BASE DE DATOS'!$B:$I,8,0),0)</f>
        <v>NO TIENE</v>
      </c>
      <c r="M145" s="70">
        <v>158050</v>
      </c>
      <c r="N145" s="46" t="s">
        <v>9</v>
      </c>
    </row>
    <row r="146" spans="1:21" x14ac:dyDescent="0.25">
      <c r="A146" s="71">
        <v>45744</v>
      </c>
      <c r="B146" s="34">
        <v>5122</v>
      </c>
      <c r="D146" s="46">
        <f>IFERROR(VLOOKUP($E146,'BASE DE DATOS'!$A:$I,2,0)," ")</f>
        <v>9017363446</v>
      </c>
      <c r="E146" s="66" t="s">
        <v>385</v>
      </c>
      <c r="F146" s="46" t="str">
        <f>IFERROR(VLOOKUP($D146,'BASE DE DATOS'!$B:$I,2,0),0)</f>
        <v>JORGE</v>
      </c>
      <c r="G146" s="46">
        <f>IFERROR(VLOOKUP($D146,'BASE DE DATOS'!$B:$I,3,0),0)</f>
        <v>0</v>
      </c>
      <c r="H146" s="46" t="str">
        <f>IFERROR(VLOOKUP($D146,'BASE DE DATOS'!$B:$I,4,0),0)</f>
        <v>MOSQUERA</v>
      </c>
      <c r="I146" s="46">
        <f>IFERROR(VLOOKUP($D146,'BASE DE DATOS'!$B:$I,5,0),0)</f>
        <v>0</v>
      </c>
      <c r="J146" s="46" t="str">
        <f>IFERROR(VLOOKUP($D146,'BASE DE DATOS'!$B:$I,6,0),0)</f>
        <v>MANZANA T CASA 17 MARIA 2</v>
      </c>
      <c r="K146">
        <f>IFERROR(VLOOKUP($D146,'BASE DE DATOS'!$B:$I,7,0),0)</f>
        <v>3017939209</v>
      </c>
      <c r="L146" s="46" t="str">
        <f>IFERROR(VLOOKUP($D146,'BASE DE DATOS'!$B:$I,8,0),0)</f>
        <v>reporte@seitem.com</v>
      </c>
      <c r="M146" s="70">
        <v>493400</v>
      </c>
      <c r="N146" s="46" t="s">
        <v>5</v>
      </c>
    </row>
    <row r="147" spans="1:21" x14ac:dyDescent="0.25">
      <c r="A147" s="71">
        <v>45744</v>
      </c>
      <c r="B147" s="34">
        <v>0</v>
      </c>
      <c r="D147" s="46">
        <f>IFERROR(VLOOKUP($E147,'BASE DE DATOS'!$A:$I,2,0)," ")</f>
        <v>0</v>
      </c>
      <c r="E147" s="66" t="s">
        <v>229</v>
      </c>
      <c r="F147" s="46">
        <f>IFERROR(VLOOKUP($D147,'BASE DE DATOS'!$B:$I,2,0),0)</f>
        <v>0</v>
      </c>
      <c r="G147" s="46">
        <f>IFERROR(VLOOKUP($D147,'BASE DE DATOS'!$B:$I,3,0),0)</f>
        <v>0</v>
      </c>
      <c r="H147" s="46">
        <f>IFERROR(VLOOKUP($D147,'BASE DE DATOS'!$B:$I,4,0),0)</f>
        <v>0</v>
      </c>
      <c r="I147" s="46">
        <f>IFERROR(VLOOKUP($D147,'BASE DE DATOS'!$B:$I,5,0),0)</f>
        <v>0</v>
      </c>
      <c r="J147" s="46">
        <f>IFERROR(VLOOKUP($D147,'BASE DE DATOS'!$B:$I,6,0),0)</f>
        <v>0</v>
      </c>
      <c r="K147">
        <f>IFERROR(VLOOKUP($D147,'BASE DE DATOS'!$B:$I,7,0),0)</f>
        <v>0</v>
      </c>
      <c r="L147" s="46">
        <f>IFERROR(VLOOKUP($D147,'BASE DE DATOS'!$B:$I,8,0),0)</f>
        <v>0</v>
      </c>
      <c r="M147" s="70">
        <v>238500</v>
      </c>
      <c r="N147" s="46" t="s">
        <v>5</v>
      </c>
    </row>
    <row r="148" spans="1:21" x14ac:dyDescent="0.25">
      <c r="A148" s="71">
        <v>45745</v>
      </c>
      <c r="B148" s="34">
        <v>128288764</v>
      </c>
      <c r="D148" s="46">
        <f>IFERROR(VLOOKUP($E148,'BASE DE DATOS'!$A:$I,2,0)," ")</f>
        <v>800249860</v>
      </c>
      <c r="E148" s="66" t="str">
        <f>'BASE DE DATOS'!$A$13</f>
        <v>CELSIA COLOMBIA SA ESP</v>
      </c>
      <c r="F148" s="46" t="str">
        <f>IFERROR(VLOOKUP($D148,'BASE DE DATOS'!$B:$I,2,0),0)</f>
        <v>NO TIENE</v>
      </c>
      <c r="G148" s="46" t="str">
        <f>IFERROR(VLOOKUP($D148,'BASE DE DATOS'!$B:$I,3,0),0)</f>
        <v>NO TIENE</v>
      </c>
      <c r="H148" s="46" t="str">
        <f>IFERROR(VLOOKUP($D148,'BASE DE DATOS'!$B:$I,4,0),0)</f>
        <v>NO TIENE</v>
      </c>
      <c r="I148" s="46" t="str">
        <f>IFERROR(VLOOKUP($D148,'BASE DE DATOS'!$B:$I,5,0),0)</f>
        <v>NO TIENE</v>
      </c>
      <c r="J148" s="46" t="str">
        <f>IFERROR(VLOOKUP($D148,'BASE DE DATOS'!$B:$I,6,0),0)</f>
        <v>CL 15 29 30</v>
      </c>
      <c r="K148">
        <f>IFERROR(VLOOKUP($D148,'BASE DE DATOS'!$B:$I,7,0),0)</f>
        <v>3210000</v>
      </c>
      <c r="L148" s="46" t="str">
        <f>IFERROR(VLOOKUP($D148,'BASE DE DATOS'!$B:$I,8,0),0)</f>
        <v>servicioalcliente@celsia.com</v>
      </c>
      <c r="M148" s="70">
        <v>508180</v>
      </c>
      <c r="N148" s="46" t="s">
        <v>46</v>
      </c>
    </row>
    <row r="149" spans="1:21" x14ac:dyDescent="0.25">
      <c r="A149" s="71">
        <v>45744</v>
      </c>
      <c r="B149" s="34">
        <v>0</v>
      </c>
      <c r="D149" s="46">
        <f>IFERROR(VLOOKUP($E149,'BASE DE DATOS'!$A:$I,2,0)," ")</f>
        <v>0</v>
      </c>
      <c r="E149" s="66" t="s">
        <v>23</v>
      </c>
      <c r="F149" s="46">
        <f>IFERROR(VLOOKUP($D149,'BASE DE DATOS'!$B:$I,2,0),0)</f>
        <v>0</v>
      </c>
      <c r="G149" s="46">
        <f>IFERROR(VLOOKUP($D149,'BASE DE DATOS'!$B:$I,3,0),0)</f>
        <v>0</v>
      </c>
      <c r="H149" s="46">
        <f>IFERROR(VLOOKUP($D149,'BASE DE DATOS'!$B:$I,4,0),0)</f>
        <v>0</v>
      </c>
      <c r="I149" s="46">
        <f>IFERROR(VLOOKUP($D149,'BASE DE DATOS'!$B:$I,5,0),0)</f>
        <v>0</v>
      </c>
      <c r="J149" s="46">
        <f>IFERROR(VLOOKUP($D149,'BASE DE DATOS'!$B:$I,6,0),0)</f>
        <v>0</v>
      </c>
      <c r="K149">
        <f>IFERROR(VLOOKUP($D149,'BASE DE DATOS'!$B:$I,7,0),0)</f>
        <v>0</v>
      </c>
      <c r="L149" s="46">
        <f>IFERROR(VLOOKUP($D149,'BASE DE DATOS'!$B:$I,8,0),0)</f>
        <v>0</v>
      </c>
      <c r="M149" s="70">
        <v>130000</v>
      </c>
      <c r="N149" s="46" t="s">
        <v>9</v>
      </c>
      <c r="O149" s="1"/>
      <c r="P149" s="1"/>
      <c r="Q149" s="1"/>
      <c r="R149" s="1"/>
      <c r="S149" s="1"/>
      <c r="T149" s="1"/>
      <c r="U149" s="1"/>
    </row>
    <row r="150" spans="1:21" x14ac:dyDescent="0.25">
      <c r="A150" s="71">
        <v>45742</v>
      </c>
      <c r="B150" s="34">
        <v>975</v>
      </c>
      <c r="D150" s="46" t="str">
        <f>IFERROR(VLOOKUP($E150,'BASE DE DATOS'!$A:$I,2,0)," ")</f>
        <v>1143988610-3</v>
      </c>
      <c r="E150" s="66" t="str">
        <f>'BASE DE DATOS'!$A$185</f>
        <v>FUTURAMA PUBLICIDAD</v>
      </c>
      <c r="F150" s="46">
        <f>IFERROR(VLOOKUP($D150,'BASE DE DATOS'!$B:$I,2,0),0)</f>
        <v>0</v>
      </c>
      <c r="G150" s="46">
        <f>IFERROR(VLOOKUP($D150,'BASE DE DATOS'!$B:$I,3,0),0)</f>
        <v>0</v>
      </c>
      <c r="H150" s="46">
        <f>IFERROR(VLOOKUP($D150,'BASE DE DATOS'!$B:$I,4,0),0)</f>
        <v>0</v>
      </c>
      <c r="I150" s="46">
        <f>IFERROR(VLOOKUP($D150,'BASE DE DATOS'!$B:$I,5,0),0)</f>
        <v>0</v>
      </c>
      <c r="J150" s="46" t="str">
        <f>IFERROR(VLOOKUP($D150,'BASE DE DATOS'!$B:$I,6,0),0)</f>
        <v>CALLE 20 6-39 SAN NICOLAS</v>
      </c>
      <c r="K150">
        <f>IFERROR(VLOOKUP($D150,'BASE DE DATOS'!$B:$I,7,0),0)</f>
        <v>3168399366</v>
      </c>
      <c r="L150" s="46" t="str">
        <f>IFERROR(VLOOKUP($D150,'BASE DE DATOS'!$B:$I,8,0),0)</f>
        <v>FUTURAMAPUBLICICDAD23@GMAIL.COM</v>
      </c>
      <c r="M150" s="70">
        <v>220000</v>
      </c>
      <c r="N150" s="46" t="s">
        <v>9</v>
      </c>
    </row>
    <row r="151" spans="1:21" x14ac:dyDescent="0.25">
      <c r="A151" s="71">
        <v>45742</v>
      </c>
      <c r="B151" s="34">
        <v>974</v>
      </c>
      <c r="D151" s="46" t="str">
        <f>IFERROR(VLOOKUP($E151,'BASE DE DATOS'!$A:$I,2,0)," ")</f>
        <v>1143988610-3</v>
      </c>
      <c r="E151" s="66" t="s">
        <v>553</v>
      </c>
      <c r="F151" s="46">
        <f>IFERROR(VLOOKUP($D151,'BASE DE DATOS'!$B:$I,2,0),0)</f>
        <v>0</v>
      </c>
      <c r="G151" s="46">
        <f>IFERROR(VLOOKUP($D151,'BASE DE DATOS'!$B:$I,3,0),0)</f>
        <v>0</v>
      </c>
      <c r="H151" s="46">
        <f>IFERROR(VLOOKUP($D151,'BASE DE DATOS'!$B:$I,4,0),0)</f>
        <v>0</v>
      </c>
      <c r="I151" s="46">
        <f>IFERROR(VLOOKUP($D151,'BASE DE DATOS'!$B:$I,5,0),0)</f>
        <v>0</v>
      </c>
      <c r="J151" s="46" t="str">
        <f>IFERROR(VLOOKUP($D151,'BASE DE DATOS'!$B:$I,6,0),0)</f>
        <v>CALLE 20 6-39 SAN NICOLAS</v>
      </c>
      <c r="K151">
        <f>IFERROR(VLOOKUP($D151,'BASE DE DATOS'!$B:$I,7,0),0)</f>
        <v>3168399366</v>
      </c>
      <c r="L151" s="46" t="str">
        <f>IFERROR(VLOOKUP($D151,'BASE DE DATOS'!$B:$I,8,0),0)</f>
        <v>FUTURAMAPUBLICICDAD23@GMAIL.COM</v>
      </c>
      <c r="M151" s="70">
        <v>260000</v>
      </c>
      <c r="N151" s="46" t="s">
        <v>9</v>
      </c>
    </row>
    <row r="152" spans="1:21" x14ac:dyDescent="0.25">
      <c r="A152" s="71">
        <v>45742</v>
      </c>
      <c r="B152" s="34">
        <v>0</v>
      </c>
      <c r="D152" s="46">
        <f>IFERROR(VLOOKUP($E152,'BASE DE DATOS'!$A:$I,2,0)," ")</f>
        <v>0</v>
      </c>
      <c r="E152" s="66" t="s">
        <v>23</v>
      </c>
      <c r="F152" s="46">
        <f>IFERROR(VLOOKUP($D152,'BASE DE DATOS'!$B:$I,2,0),0)</f>
        <v>0</v>
      </c>
      <c r="G152" s="46">
        <f>IFERROR(VLOOKUP($D152,'BASE DE DATOS'!$B:$I,3,0),0)</f>
        <v>0</v>
      </c>
      <c r="H152" s="46">
        <f>IFERROR(VLOOKUP($D152,'BASE DE DATOS'!$B:$I,4,0),0)</f>
        <v>0</v>
      </c>
      <c r="I152" s="46">
        <f>IFERROR(VLOOKUP($D152,'BASE DE DATOS'!$B:$I,5,0),0)</f>
        <v>0</v>
      </c>
      <c r="J152" s="46">
        <f>IFERROR(VLOOKUP($D152,'BASE DE DATOS'!$B:$I,6,0),0)</f>
        <v>0</v>
      </c>
      <c r="K152">
        <f>IFERROR(VLOOKUP($D152,'BASE DE DATOS'!$B:$I,7,0),0)</f>
        <v>0</v>
      </c>
      <c r="L152" s="46">
        <f>IFERROR(VLOOKUP($D152,'BASE DE DATOS'!$B:$I,8,0),0)</f>
        <v>0</v>
      </c>
      <c r="M152" s="70">
        <v>885000</v>
      </c>
      <c r="N152" s="46" t="s">
        <v>9</v>
      </c>
    </row>
    <row r="153" spans="1:21" x14ac:dyDescent="0.25">
      <c r="A153" s="71">
        <v>45742</v>
      </c>
      <c r="B153" s="34">
        <v>0</v>
      </c>
      <c r="D153" s="46">
        <f>IFERROR(VLOOKUP($E153,'BASE DE DATOS'!$A:$I,2,0)," ")</f>
        <v>0</v>
      </c>
      <c r="E153" s="66" t="s">
        <v>23</v>
      </c>
      <c r="F153" s="46">
        <f>IFERROR(VLOOKUP($D153,'BASE DE DATOS'!$B:$I,2,0),0)</f>
        <v>0</v>
      </c>
      <c r="G153" s="46">
        <f>IFERROR(VLOOKUP($D153,'BASE DE DATOS'!$B:$I,3,0),0)</f>
        <v>0</v>
      </c>
      <c r="H153" s="46"/>
      <c r="I153" s="46">
        <f>IFERROR(VLOOKUP($D153,'BASE DE DATOS'!$B:$I,5,0),0)</f>
        <v>0</v>
      </c>
      <c r="J153" s="46">
        <f>IFERROR(VLOOKUP($D153,'BASE DE DATOS'!$B:$I,6,0),0)</f>
        <v>0</v>
      </c>
      <c r="K153">
        <f>IFERROR(VLOOKUP($D153,'BASE DE DATOS'!$B:$I,7,0),0)</f>
        <v>0</v>
      </c>
      <c r="L153" s="46">
        <f>IFERROR(VLOOKUP($D153,'BASE DE DATOS'!$B:$I,8,0),0)</f>
        <v>0</v>
      </c>
      <c r="M153" s="70">
        <v>220000</v>
      </c>
      <c r="N153" s="46" t="s">
        <v>9</v>
      </c>
      <c r="O153" s="1"/>
      <c r="P153" s="1"/>
      <c r="Q153" s="1"/>
      <c r="R153" s="1"/>
      <c r="S153" s="1"/>
      <c r="T153" s="1"/>
      <c r="U153" s="1"/>
    </row>
    <row r="154" spans="1:21" x14ac:dyDescent="0.25">
      <c r="A154" s="71">
        <v>45744</v>
      </c>
      <c r="B154" s="34">
        <v>0</v>
      </c>
      <c r="D154" s="46">
        <f>IFERROR(VLOOKUP($E154,'BASE DE DATOS'!$A:$I,2,0)," ")</f>
        <v>900480569</v>
      </c>
      <c r="E154" s="66" t="str">
        <f>'BASE DE DATOS'!$A$68</f>
        <v>JERONIMO MARTINS COLOMBIA SAS</v>
      </c>
      <c r="F154" s="46" t="str">
        <f>IFERROR(VLOOKUP($D154,'BASE DE DATOS'!$B:$I,2,0),0)</f>
        <v>NO TIENE</v>
      </c>
      <c r="G154" s="46" t="str">
        <f>IFERROR(VLOOKUP($D154,'BASE DE DATOS'!$B:$I,3,0),0)</f>
        <v>NO TIENE</v>
      </c>
      <c r="H154" s="46" t="str">
        <f>IFERROR(VLOOKUP($D154,'BASE DE DATOS'!$B:$I,4,0),0)</f>
        <v>NO TIENE</v>
      </c>
      <c r="I154" s="46" t="str">
        <f>IFERROR(VLOOKUP($D154,'BASE DE DATOS'!$B:$I,5,0),0)</f>
        <v>NO TIENE</v>
      </c>
      <c r="J154" s="46" t="str">
        <f>IFERROR(VLOOKUP($D154,'BASE DE DATOS'!$B:$I,6,0),0)</f>
        <v>CL 7 11 21</v>
      </c>
      <c r="K154">
        <f>IFERROR(VLOOKUP($D154,'BASE DE DATOS'!$B:$I,7,0),0)</f>
        <v>0</v>
      </c>
      <c r="L154" s="46">
        <f>IFERROR(VLOOKUP($D154,'BASE DE DATOS'!$B:$I,8,0),0)</f>
        <v>0</v>
      </c>
      <c r="M154" s="70">
        <v>6800</v>
      </c>
      <c r="N154" s="46" t="s">
        <v>9</v>
      </c>
    </row>
    <row r="155" spans="1:21" x14ac:dyDescent="0.25">
      <c r="A155" s="71">
        <v>45744</v>
      </c>
      <c r="B155" s="34">
        <v>23219</v>
      </c>
      <c r="D155" s="46">
        <f>IFERROR(VLOOKUP($E155,'BASE DE DATOS'!$A:$I,2,0)," ")</f>
        <v>10085753</v>
      </c>
      <c r="E155" s="66" t="str">
        <f>'BASE DE DATOS'!$A$26</f>
        <v>CRISTALERIA EL REMATE DE LA 11</v>
      </c>
      <c r="F155" s="46">
        <f>IFERROR(VLOOKUP($D155,'BASE DE DATOS'!$B:$I,2,0),0)</f>
        <v>0</v>
      </c>
      <c r="G155" s="46">
        <f>IFERROR(VLOOKUP($D155,'BASE DE DATOS'!$B:$I,3,0),0)</f>
        <v>0</v>
      </c>
      <c r="H155" s="46">
        <f>IFERROR(VLOOKUP($D155,'BASE DE DATOS'!$B:$I,4,0),0)</f>
        <v>0</v>
      </c>
      <c r="I155" s="46">
        <f>IFERROR(VLOOKUP($D155,'BASE DE DATOS'!$B:$I,5,0),0)</f>
        <v>0</v>
      </c>
      <c r="J155" s="46" t="str">
        <f>IFERROR(VLOOKUP($D155,'BASE DE DATOS'!$B:$I,6,0),0)</f>
        <v>CR 11 7 08</v>
      </c>
      <c r="K155">
        <f>IFERROR(VLOOKUP($D155,'BASE DE DATOS'!$B:$I,7,0),0)</f>
        <v>3163314926</v>
      </c>
      <c r="L155" s="46">
        <f>IFERROR(VLOOKUP($D155,'BASE DE DATOS'!$B:$I,8,0),0)</f>
        <v>0</v>
      </c>
      <c r="M155" s="70">
        <v>13200</v>
      </c>
      <c r="N155" s="46" t="s">
        <v>9</v>
      </c>
    </row>
    <row r="156" spans="1:21" x14ac:dyDescent="0.25">
      <c r="A156" s="71">
        <v>45744</v>
      </c>
      <c r="B156" s="34">
        <v>464600</v>
      </c>
      <c r="D156" s="46">
        <f>IFERROR(VLOOKUP($E156,'BASE DE DATOS'!$A:$I,2,0)," ")</f>
        <v>815002459</v>
      </c>
      <c r="E156" s="66" t="s">
        <v>24</v>
      </c>
      <c r="F156" s="46" t="str">
        <f>IFERROR(VLOOKUP($D156,'BASE DE DATOS'!$B:$I,2,0),0)</f>
        <v>NO TIENE</v>
      </c>
      <c r="G156" s="46" t="str">
        <f>IFERROR(VLOOKUP($D156,'BASE DE DATOS'!$B:$I,3,0),0)</f>
        <v>NO TIENE</v>
      </c>
      <c r="H156" s="46" t="str">
        <f>IFERROR(VLOOKUP($D156,'BASE DE DATOS'!$B:$I,4,0),0)</f>
        <v>NO TIENE</v>
      </c>
      <c r="I156" s="46" t="str">
        <f>IFERROR(VLOOKUP($D156,'BASE DE DATOS'!$B:$I,5,0),0)</f>
        <v>NO TIENE</v>
      </c>
      <c r="J156" s="46" t="str">
        <f>IFERROR(VLOOKUP($D156,'BASE DE DATOS'!$B:$I,6,0),0)</f>
        <v>CL 7 12 03</v>
      </c>
      <c r="K156">
        <f>IFERROR(VLOOKUP($D156,'BASE DE DATOS'!$B:$I,7,0),0)</f>
        <v>3136831049</v>
      </c>
      <c r="L156" s="46">
        <f>IFERROR(VLOOKUP($D156,'BASE DE DATOS'!$B:$I,8,0),0)</f>
        <v>0</v>
      </c>
      <c r="M156" s="70">
        <v>52500</v>
      </c>
      <c r="N156" s="46" t="s">
        <v>5</v>
      </c>
      <c r="O156" s="1"/>
      <c r="P156" s="1"/>
      <c r="Q156" s="1"/>
      <c r="R156" s="1"/>
      <c r="S156" s="1"/>
      <c r="T156" s="1"/>
      <c r="U156" s="1"/>
    </row>
    <row r="157" spans="1:21" x14ac:dyDescent="0.25">
      <c r="A157" s="71">
        <v>45742</v>
      </c>
      <c r="B157" s="34">
        <v>0</v>
      </c>
      <c r="D157" s="46">
        <f>IFERROR(VLOOKUP($E157,'BASE DE DATOS'!$A:$I,2,0)," ")</f>
        <v>0</v>
      </c>
      <c r="E157" s="66" t="s">
        <v>23</v>
      </c>
      <c r="F157" s="46">
        <f>IFERROR(VLOOKUP($D157,'BASE DE DATOS'!$B:$I,2,0),0)</f>
        <v>0</v>
      </c>
      <c r="G157" s="46">
        <f>IFERROR(VLOOKUP($D157,'BASE DE DATOS'!$B:$I,3,0),0)</f>
        <v>0</v>
      </c>
      <c r="H157" s="46">
        <f>IFERROR(VLOOKUP($D157,'BASE DE DATOS'!$B:$I,4,0),0)</f>
        <v>0</v>
      </c>
      <c r="I157" s="46">
        <f>IFERROR(VLOOKUP($D157,'BASE DE DATOS'!$B:$I,5,0),0)</f>
        <v>0</v>
      </c>
      <c r="J157" s="46">
        <f>IFERROR(VLOOKUP($D157,'BASE DE DATOS'!$B:$I,6,0),0)</f>
        <v>0</v>
      </c>
      <c r="K157">
        <f>IFERROR(VLOOKUP($D157,'BASE DE DATOS'!$B:$I,7,0),0)</f>
        <v>0</v>
      </c>
      <c r="L157" s="46">
        <f>IFERROR(VLOOKUP($D157,'BASE DE DATOS'!$B:$I,8,0),0)</f>
        <v>0</v>
      </c>
      <c r="M157" s="70">
        <v>20800</v>
      </c>
      <c r="N157" s="46" t="s">
        <v>9</v>
      </c>
    </row>
    <row r="158" spans="1:21" x14ac:dyDescent="0.25">
      <c r="A158" s="71">
        <v>45744</v>
      </c>
      <c r="B158" s="34">
        <v>27181</v>
      </c>
      <c r="D158" s="46" t="str">
        <f>IFERROR(VLOOKUP($E158,'BASE DE DATOS'!$A:$I,2,0)," ")</f>
        <v>900615557-5</v>
      </c>
      <c r="E158" s="66" t="str">
        <f>'BASE DE DATOS'!$A$186</f>
        <v>DISTRIBUIDORA DE CARNES ET LOS MONOS SAS</v>
      </c>
      <c r="F158" s="46" t="str">
        <f>IFERROR(VLOOKUP($D158,'BASE DE DATOS'!$B:$I,2,0),0)</f>
        <v>NATALIA</v>
      </c>
      <c r="G158" s="46">
        <f>IFERROR(VLOOKUP($D158,'BASE DE DATOS'!$B:$I,3,0),0)</f>
        <v>0</v>
      </c>
      <c r="H158" s="46" t="str">
        <f>IFERROR(VLOOKUP($D158,'BASE DE DATOS'!$B:$I,4,0),0)</f>
        <v>LOPEZ</v>
      </c>
      <c r="I158" s="46">
        <f>IFERROR(VLOOKUP($D158,'BASE DE DATOS'!$B:$I,5,0),0)</f>
        <v>0</v>
      </c>
      <c r="J158" s="46" t="str">
        <f>IFERROR(VLOOKUP($D158,'BASE DE DATOS'!$B:$I,6,0),0)</f>
        <v xml:space="preserve">CR 38 57 113 CAIMITOS PALMIRA </v>
      </c>
      <c r="K158">
        <f>IFERROR(VLOOKUP($D158,'BASE DE DATOS'!$B:$I,7,0),0)</f>
        <v>3144304855</v>
      </c>
      <c r="L158" s="46">
        <f>IFERROR(VLOOKUP($D158,'BASE DE DATOS'!$B:$I,8,0),0)</f>
        <v>0</v>
      </c>
      <c r="M158" s="70">
        <v>199581</v>
      </c>
      <c r="N158" s="46" t="s">
        <v>5</v>
      </c>
      <c r="O158" s="1"/>
      <c r="P158" s="1"/>
      <c r="Q158" s="1"/>
      <c r="R158" s="1"/>
      <c r="S158" s="1"/>
      <c r="T158" s="1"/>
      <c r="U158" s="1"/>
    </row>
    <row r="159" spans="1:21" x14ac:dyDescent="0.25">
      <c r="A159" s="71">
        <v>45744</v>
      </c>
      <c r="B159" s="34">
        <v>0</v>
      </c>
      <c r="D159" s="46">
        <f>IFERROR(VLOOKUP($E159,'BASE DE DATOS'!$A:$I,2,0)," ")</f>
        <v>0</v>
      </c>
      <c r="E159" s="66" t="s">
        <v>23</v>
      </c>
      <c r="F159" s="46">
        <f>IFERROR(VLOOKUP($D159,'BASE DE DATOS'!$B:$I,2,0),0)</f>
        <v>0</v>
      </c>
      <c r="G159" s="46">
        <f>IFERROR(VLOOKUP($D159,'BASE DE DATOS'!$B:$I,3,0),0)</f>
        <v>0</v>
      </c>
      <c r="H159" s="46">
        <f>IFERROR(VLOOKUP($D159,'BASE DE DATOS'!$B:$I,4,0),0)</f>
        <v>0</v>
      </c>
      <c r="I159" s="46">
        <f>IFERROR(VLOOKUP($D159,'BASE DE DATOS'!$B:$I,5,0),0)</f>
        <v>0</v>
      </c>
      <c r="J159" s="46">
        <f>IFERROR(VLOOKUP($D159,'BASE DE DATOS'!$B:$I,6,0),0)</f>
        <v>0</v>
      </c>
      <c r="K159">
        <f>IFERROR(VLOOKUP($D159,'BASE DE DATOS'!$B:$I,7,0),0)</f>
        <v>0</v>
      </c>
      <c r="L159" s="46">
        <f>IFERROR(VLOOKUP($D159,'BASE DE DATOS'!$B:$I,8,0),0)</f>
        <v>0</v>
      </c>
      <c r="M159" s="70">
        <v>20000</v>
      </c>
      <c r="N159" s="46" t="s">
        <v>9</v>
      </c>
    </row>
    <row r="160" spans="1:21" x14ac:dyDescent="0.25">
      <c r="A160" s="71">
        <v>45745</v>
      </c>
      <c r="B160" s="34">
        <v>45745</v>
      </c>
      <c r="D160" s="46">
        <f>IFERROR(VLOOKUP($E160,'BASE DE DATOS'!$A:$I,2,0)," ")</f>
        <v>0</v>
      </c>
      <c r="E160" s="66" t="str">
        <f>'BASE DE DATOS'!$A$187</f>
        <v>FRUTAS Y VERDURAS LA FINCA</v>
      </c>
      <c r="F160" s="46">
        <f>IFERROR(VLOOKUP($D160,'BASE DE DATOS'!$B:$I,2,0),0)</f>
        <v>0</v>
      </c>
      <c r="G160" s="46">
        <f>IFERROR(VLOOKUP($D160,'BASE DE DATOS'!$B:$I,3,0),0)</f>
        <v>0</v>
      </c>
      <c r="H160" s="46">
        <f>IFERROR(VLOOKUP($D160,'BASE DE DATOS'!$B:$I,4,0),0)</f>
        <v>0</v>
      </c>
      <c r="I160" s="46">
        <f>IFERROR(VLOOKUP($D160,'BASE DE DATOS'!$B:$I,5,0),0)</f>
        <v>0</v>
      </c>
      <c r="J160" s="46">
        <f>IFERROR(VLOOKUP($D160,'BASE DE DATOS'!$B:$I,6,0),0)</f>
        <v>0</v>
      </c>
      <c r="K160">
        <f>IFERROR(VLOOKUP($D160,'BASE DE DATOS'!$B:$I,7,0),0)</f>
        <v>0</v>
      </c>
      <c r="L160" s="46">
        <f>IFERROR(VLOOKUP($D160,'BASE DE DATOS'!$B:$I,8,0),0)</f>
        <v>0</v>
      </c>
      <c r="M160" s="70">
        <v>41355</v>
      </c>
      <c r="N160" s="46" t="s">
        <v>5</v>
      </c>
    </row>
    <row r="161" spans="1:21" x14ac:dyDescent="0.25">
      <c r="A161" s="71">
        <v>45745</v>
      </c>
      <c r="B161" s="34">
        <v>0</v>
      </c>
      <c r="D161" s="46">
        <f>IFERROR(VLOOKUP($E161,'BASE DE DATOS'!$A:$I,2,0)," ")</f>
        <v>0</v>
      </c>
      <c r="E161" s="66" t="s">
        <v>561</v>
      </c>
      <c r="F161" s="46">
        <f>IFERROR(VLOOKUP($D161,'BASE DE DATOS'!$B:$I,2,0),0)</f>
        <v>0</v>
      </c>
      <c r="G161" s="46">
        <f>IFERROR(VLOOKUP($D161,'BASE DE DATOS'!$B:$I,3,0),0)</f>
        <v>0</v>
      </c>
      <c r="H161" s="46">
        <f>IFERROR(VLOOKUP($D161,'BASE DE DATOS'!$B:$I,4,0),0)</f>
        <v>0</v>
      </c>
      <c r="I161" s="46">
        <f>IFERROR(VLOOKUP($D161,'BASE DE DATOS'!$B:$I,5,0),0)</f>
        <v>0</v>
      </c>
      <c r="J161" s="46">
        <f>IFERROR(VLOOKUP($D161,'BASE DE DATOS'!$B:$I,6,0),0)</f>
        <v>0</v>
      </c>
      <c r="K161">
        <f>IFERROR(VLOOKUP($D161,'BASE DE DATOS'!$B:$I,7,0),0)</f>
        <v>0</v>
      </c>
      <c r="L161" s="46">
        <f>IFERROR(VLOOKUP($D161,'BASE DE DATOS'!$B:$I,8,0),0)</f>
        <v>0</v>
      </c>
      <c r="M161" s="70">
        <v>9360</v>
      </c>
      <c r="N161" s="46" t="s">
        <v>9</v>
      </c>
    </row>
    <row r="162" spans="1:21" x14ac:dyDescent="0.25">
      <c r="A162" s="71">
        <v>45744</v>
      </c>
      <c r="B162" s="34">
        <v>6424</v>
      </c>
      <c r="D162" s="46">
        <f>IFERROR(VLOOKUP($E162,'BASE DE DATOS'!$A:$I,2,0)," ")</f>
        <v>66660257</v>
      </c>
      <c r="E162" s="66" t="s">
        <v>167</v>
      </c>
      <c r="F162" s="46">
        <f>IFERROR(VLOOKUP($D162,'BASE DE DATOS'!$B:$I,2,0),0)</f>
        <v>0</v>
      </c>
      <c r="G162" s="46">
        <f>IFERROR(VLOOKUP($D162,'BASE DE DATOS'!$B:$I,3,0),0)</f>
        <v>0</v>
      </c>
      <c r="H162" s="46">
        <f>IFERROR(VLOOKUP($D162,'BASE DE DATOS'!$B:$I,4,0),0)</f>
        <v>0</v>
      </c>
      <c r="I162" s="46">
        <f>IFERROR(VLOOKUP($D162,'BASE DE DATOS'!$B:$I,5,0),0)</f>
        <v>0</v>
      </c>
      <c r="J162" s="46" t="str">
        <f>IFERROR(VLOOKUP($D162,'BASE DE DATOS'!$B:$I,6,0),0)</f>
        <v>CL 21 31 37</v>
      </c>
      <c r="K162">
        <f>IFERROR(VLOOKUP($D162,'BASE DE DATOS'!$B:$I,7,0),0)</f>
        <v>3005547057</v>
      </c>
      <c r="L162" s="46">
        <f>IFERROR(VLOOKUP($D162,'BASE DE DATOS'!$B:$I,8,0),0)</f>
        <v>0</v>
      </c>
      <c r="M162" s="70">
        <v>438000</v>
      </c>
      <c r="N162" s="46" t="s">
        <v>46</v>
      </c>
    </row>
    <row r="163" spans="1:21" x14ac:dyDescent="0.25">
      <c r="A163" s="71">
        <v>45745</v>
      </c>
      <c r="B163" s="34">
        <v>497898</v>
      </c>
      <c r="D163" s="46">
        <f>IFERROR(VLOOKUP($E163,'BASE DE DATOS'!$A:$I,2,0)," ")</f>
        <v>0</v>
      </c>
      <c r="E163" s="66" t="s">
        <v>561</v>
      </c>
      <c r="F163" s="46">
        <f>IFERROR(VLOOKUP($D163,'BASE DE DATOS'!$B:$I,2,0),0)</f>
        <v>0</v>
      </c>
      <c r="G163" s="46">
        <f>IFERROR(VLOOKUP($D163,'BASE DE DATOS'!$B:$I,3,0),0)</f>
        <v>0</v>
      </c>
      <c r="H163" s="46">
        <f>IFERROR(VLOOKUP($D163,'BASE DE DATOS'!$B:$I,4,0),0)</f>
        <v>0</v>
      </c>
      <c r="I163" s="46">
        <f>IFERROR(VLOOKUP($D163,'BASE DE DATOS'!$B:$I,5,0),0)</f>
        <v>0</v>
      </c>
      <c r="J163" s="46">
        <f>IFERROR(VLOOKUP($D163,'BASE DE DATOS'!$B:$I,6,0),0)</f>
        <v>0</v>
      </c>
      <c r="K163">
        <f>IFERROR(VLOOKUP($D163,'BASE DE DATOS'!$B:$I,7,0),0)</f>
        <v>0</v>
      </c>
      <c r="L163" s="46">
        <f>IFERROR(VLOOKUP($D163,'BASE DE DATOS'!$B:$I,8,0),0)</f>
        <v>0</v>
      </c>
      <c r="M163" s="70">
        <v>125000</v>
      </c>
      <c r="N163" s="46" t="s">
        <v>9</v>
      </c>
    </row>
    <row r="164" spans="1:21" x14ac:dyDescent="0.25">
      <c r="A164" s="71">
        <v>45745</v>
      </c>
      <c r="B164" s="34">
        <v>18988</v>
      </c>
      <c r="D164" s="46" t="str">
        <f>IFERROR(VLOOKUP($E164,'BASE DE DATOS'!$A:$I,2,0)," ")</f>
        <v>900615557-5</v>
      </c>
      <c r="E164" s="66" t="s">
        <v>557</v>
      </c>
      <c r="F164" s="46" t="str">
        <f>IFERROR(VLOOKUP($D164,'BASE DE DATOS'!$B:$I,2,0),0)</f>
        <v>NATALIA</v>
      </c>
      <c r="G164" s="46">
        <f>IFERROR(VLOOKUP($D164,'BASE DE DATOS'!$B:$I,3,0),0)</f>
        <v>0</v>
      </c>
      <c r="H164" s="46" t="str">
        <f>IFERROR(VLOOKUP($D164,'BASE DE DATOS'!$B:$I,4,0),0)</f>
        <v>LOPEZ</v>
      </c>
      <c r="I164" s="46">
        <f>IFERROR(VLOOKUP($D164,'BASE DE DATOS'!$B:$I,5,0),0)</f>
        <v>0</v>
      </c>
      <c r="J164" s="46" t="str">
        <f>IFERROR(VLOOKUP($D164,'BASE DE DATOS'!$B:$I,6,0),0)</f>
        <v xml:space="preserve">CR 38 57 113 CAIMITOS PALMIRA </v>
      </c>
      <c r="K164">
        <f>IFERROR(VLOOKUP($D164,'BASE DE DATOS'!$B:$I,7,0),0)</f>
        <v>3144304855</v>
      </c>
      <c r="L164" s="46">
        <f>IFERROR(VLOOKUP($D164,'BASE DE DATOS'!$B:$I,8,0),0)</f>
        <v>0</v>
      </c>
      <c r="M164" s="70">
        <v>582266</v>
      </c>
      <c r="N164" s="46" t="s">
        <v>5</v>
      </c>
    </row>
    <row r="165" spans="1:21" x14ac:dyDescent="0.25">
      <c r="A165" s="71">
        <v>45923</v>
      </c>
      <c r="B165" s="34">
        <v>0</v>
      </c>
      <c r="D165" s="46">
        <f>IFERROR(VLOOKUP($E165,'BASE DE DATOS'!$A:$I,2,0)," ")</f>
        <v>8909006089</v>
      </c>
      <c r="E165" s="66" t="str">
        <f>'BASE DE DATOS'!$A$188</f>
        <v>ALMACENES ÉXITO S.A</v>
      </c>
      <c r="F165" s="46">
        <f>IFERROR(VLOOKUP($D165,'BASE DE DATOS'!$B:$I,2,0),0)</f>
        <v>0</v>
      </c>
      <c r="G165" s="46">
        <f>IFERROR(VLOOKUP($D165,'BASE DE DATOS'!$B:$I,3,0),0)</f>
        <v>0</v>
      </c>
      <c r="H165" s="46">
        <f>IFERROR(VLOOKUP($D165,'BASE DE DATOS'!$B:$I,4,0),0)</f>
        <v>0</v>
      </c>
      <c r="I165" s="46">
        <f>IFERROR(VLOOKUP($D165,'BASE DE DATOS'!$B:$I,5,0),0)</f>
        <v>0</v>
      </c>
      <c r="J165" s="46">
        <f>IFERROR(VLOOKUP($D165,'BASE DE DATOS'!$B:$I,6,0),0)</f>
        <v>0</v>
      </c>
      <c r="K165">
        <f>IFERROR(VLOOKUP($D165,'BASE DE DATOS'!$B:$I,7,0),0)</f>
        <v>0</v>
      </c>
      <c r="L165" s="46">
        <f>IFERROR(VLOOKUP($D165,'BASE DE DATOS'!$B:$I,8,0),0)</f>
        <v>0</v>
      </c>
      <c r="M165" s="70">
        <v>40200</v>
      </c>
      <c r="N165" s="46" t="s">
        <v>5</v>
      </c>
      <c r="O165" s="1"/>
      <c r="P165" s="1"/>
      <c r="Q165" s="1"/>
      <c r="R165" s="1"/>
      <c r="S165" s="1"/>
      <c r="T165" s="1"/>
      <c r="U165" s="1"/>
    </row>
    <row r="166" spans="1:21" x14ac:dyDescent="0.25">
      <c r="A166" s="71">
        <v>45739</v>
      </c>
      <c r="B166" s="34">
        <v>0</v>
      </c>
      <c r="D166" s="46">
        <f>IFERROR(VLOOKUP($E166,'BASE DE DATOS'!$A:$I,2,0)," ")</f>
        <v>8909006089</v>
      </c>
      <c r="E166" s="66" t="s">
        <v>562</v>
      </c>
      <c r="F166" s="46">
        <f>IFERROR(VLOOKUP($D166,'BASE DE DATOS'!$B:$I,2,0),0)</f>
        <v>0</v>
      </c>
      <c r="G166" s="46">
        <f>IFERROR(VLOOKUP($D166,'BASE DE DATOS'!$B:$I,3,0),0)</f>
        <v>0</v>
      </c>
      <c r="H166" s="46">
        <f>IFERROR(VLOOKUP($D166,'BASE DE DATOS'!$B:$I,4,0),0)</f>
        <v>0</v>
      </c>
      <c r="I166" s="46">
        <f>IFERROR(VLOOKUP($D166,'BASE DE DATOS'!$B:$I,5,0),0)</f>
        <v>0</v>
      </c>
      <c r="J166" s="46">
        <f>IFERROR(VLOOKUP($D166,'BASE DE DATOS'!$B:$I,6,0),0)</f>
        <v>0</v>
      </c>
      <c r="K166">
        <f>IFERROR(VLOOKUP($D166,'BASE DE DATOS'!$B:$I,7,0),0)</f>
        <v>0</v>
      </c>
      <c r="L166" s="46">
        <f>IFERROR(VLOOKUP($D166,'BASE DE DATOS'!$B:$I,8,0),0)</f>
        <v>0</v>
      </c>
      <c r="M166" s="70">
        <v>10500</v>
      </c>
      <c r="N166" s="46" t="s">
        <v>9</v>
      </c>
    </row>
    <row r="167" spans="1:21" x14ac:dyDescent="0.25">
      <c r="A167" s="71">
        <v>45745</v>
      </c>
      <c r="B167" s="34">
        <v>0</v>
      </c>
      <c r="D167" s="46">
        <f>IFERROR(VLOOKUP($E167,'BASE DE DATOS'!$A:$I,2,0)," ")</f>
        <v>0</v>
      </c>
      <c r="E167" s="66" t="s">
        <v>23</v>
      </c>
      <c r="F167" s="46">
        <f>IFERROR(VLOOKUP($D167,'BASE DE DATOS'!$B:$I,2,0),0)</f>
        <v>0</v>
      </c>
      <c r="G167" s="46">
        <f>IFERROR(VLOOKUP($D167,'BASE DE DATOS'!$B:$I,3,0),0)</f>
        <v>0</v>
      </c>
      <c r="H167" s="46">
        <f>IFERROR(VLOOKUP($D167,'BASE DE DATOS'!$B:$I,4,0),0)</f>
        <v>0</v>
      </c>
      <c r="I167" s="46">
        <f>IFERROR(VLOOKUP($D167,'BASE DE DATOS'!$B:$I,5,0),0)</f>
        <v>0</v>
      </c>
      <c r="J167" s="46">
        <f>IFERROR(VLOOKUP($D167,'BASE DE DATOS'!$B:$I,6,0),0)</f>
        <v>0</v>
      </c>
      <c r="K167">
        <f>IFERROR(VLOOKUP($D167,'BASE DE DATOS'!$B:$I,7,0),0)</f>
        <v>0</v>
      </c>
      <c r="L167" s="46">
        <f>IFERROR(VLOOKUP($D167,'BASE DE DATOS'!$B:$I,8,0),0)</f>
        <v>0</v>
      </c>
      <c r="M167" s="70">
        <v>30000</v>
      </c>
      <c r="N167" s="46" t="s">
        <v>9</v>
      </c>
    </row>
    <row r="168" spans="1:21" x14ac:dyDescent="0.25">
      <c r="A168" s="71">
        <v>45745</v>
      </c>
      <c r="B168" s="34">
        <v>0</v>
      </c>
      <c r="D168" s="46">
        <f>IFERROR(VLOOKUP($E168,'BASE DE DATOS'!$A:$I,2,0)," ")</f>
        <v>0</v>
      </c>
      <c r="E168" s="66" t="s">
        <v>23</v>
      </c>
      <c r="F168" s="46">
        <f>IFERROR(VLOOKUP($D168,'BASE DE DATOS'!$B:$I,2,0),0)</f>
        <v>0</v>
      </c>
      <c r="G168" s="46">
        <f>IFERROR(VLOOKUP($D168,'BASE DE DATOS'!$B:$I,3,0),0)</f>
        <v>0</v>
      </c>
      <c r="H168" s="46">
        <f>IFERROR(VLOOKUP($D168,'BASE DE DATOS'!$B:$I,4,0),0)</f>
        <v>0</v>
      </c>
      <c r="I168" s="46">
        <f>IFERROR(VLOOKUP($D168,'BASE DE DATOS'!$B:$I,5,0),0)</f>
        <v>0</v>
      </c>
      <c r="J168" s="46">
        <f>IFERROR(VLOOKUP($D168,'BASE DE DATOS'!$B:$I,6,0),0)</f>
        <v>0</v>
      </c>
      <c r="K168">
        <f>IFERROR(VLOOKUP($D168,'BASE DE DATOS'!$B:$I,7,0),0)</f>
        <v>0</v>
      </c>
      <c r="L168" s="46">
        <f>IFERROR(VLOOKUP($D168,'BASE DE DATOS'!$B:$I,8,0),0)</f>
        <v>0</v>
      </c>
      <c r="M168" s="70">
        <v>25000</v>
      </c>
      <c r="N168" s="3" t="s">
        <v>9</v>
      </c>
    </row>
    <row r="169" spans="1:21" x14ac:dyDescent="0.25">
      <c r="A169" s="71">
        <v>45745</v>
      </c>
      <c r="B169" s="34">
        <v>22504</v>
      </c>
      <c r="D169" s="46">
        <f>IFERROR(VLOOKUP($E169,'BASE DE DATOS'!$A:$I,2,0)," ")</f>
        <v>66929932</v>
      </c>
      <c r="E169" s="66" t="str">
        <f>'BASE DE DATOS'!$A$108</f>
        <v>PAPELERIA Y LIBRERÍA ESCOLAR</v>
      </c>
      <c r="F169" s="46">
        <f>IFERROR(VLOOKUP($D169,'BASE DE DATOS'!$B:$I,2,0),0)</f>
        <v>0</v>
      </c>
      <c r="G169" s="46">
        <f>IFERROR(VLOOKUP($D169,'BASE DE DATOS'!$B:$I,3,0),0)</f>
        <v>0</v>
      </c>
      <c r="H169" s="46">
        <f>IFERROR(VLOOKUP($D169,'BASE DE DATOS'!$B:$I,4,0),0)</f>
        <v>0</v>
      </c>
      <c r="I169" s="46">
        <f>IFERROR(VLOOKUP($D169,'BASE DE DATOS'!$B:$I,5,0),0)</f>
        <v>0</v>
      </c>
      <c r="J169" s="46" t="str">
        <f>IFERROR(VLOOKUP($D169,'BASE DE DATOS'!$B:$I,6,0),0)</f>
        <v>CR 10 8 74</v>
      </c>
      <c r="K169">
        <f>IFERROR(VLOOKUP($D169,'BASE DE DATOS'!$B:$I,7,0),0)</f>
        <v>3187620379</v>
      </c>
      <c r="L169" s="46">
        <f>IFERROR(VLOOKUP($D169,'BASE DE DATOS'!$B:$I,8,0),0)</f>
        <v>0</v>
      </c>
      <c r="M169" s="70">
        <v>45000</v>
      </c>
      <c r="N169" s="3" t="s">
        <v>9</v>
      </c>
    </row>
    <row r="170" spans="1:21" x14ac:dyDescent="0.25">
      <c r="A170" s="71">
        <v>45745</v>
      </c>
      <c r="B170" s="34">
        <v>0</v>
      </c>
      <c r="D170" s="46">
        <f>IFERROR(VLOOKUP($E170,'BASE DE DATOS'!$A:$I,2,0)," ")</f>
        <v>94303413</v>
      </c>
      <c r="E170" s="66" t="s">
        <v>60</v>
      </c>
      <c r="F170" s="46" t="str">
        <f>IFERROR(VLOOKUP($D170,'BASE DE DATOS'!$B:$I,2,0),0)</f>
        <v>GUSTAVO</v>
      </c>
      <c r="G170" s="46" t="str">
        <f>IFERROR(VLOOKUP($D170,'BASE DE DATOS'!$B:$I,3,0),0)</f>
        <v>ADOLFO</v>
      </c>
      <c r="H170" s="46" t="str">
        <f>IFERROR(VLOOKUP($D170,'BASE DE DATOS'!$B:$I,4,0),0)</f>
        <v>CAMPO</v>
      </c>
      <c r="I170" s="46" t="str">
        <f>IFERROR(VLOOKUP($D170,'BASE DE DATOS'!$B:$I,5,0),0)</f>
        <v>TORRES</v>
      </c>
      <c r="J170" s="46" t="str">
        <f>IFERROR(VLOOKUP($D170,'BASE DE DATOS'!$B:$I,6,0),0)</f>
        <v>CL 6 13 04</v>
      </c>
      <c r="K170">
        <f>IFERROR(VLOOKUP($D170,'BASE DE DATOS'!$B:$I,7,0),0)</f>
        <v>3136595942</v>
      </c>
      <c r="L170" s="46">
        <f>IFERROR(VLOOKUP($D170,'BASE DE DATOS'!$B:$I,8,0),0)</f>
        <v>0</v>
      </c>
      <c r="M170" s="70">
        <v>748000</v>
      </c>
      <c r="N170" s="3" t="s">
        <v>5</v>
      </c>
    </row>
    <row r="171" spans="1:21" x14ac:dyDescent="0.25">
      <c r="A171" s="71">
        <v>45745</v>
      </c>
      <c r="B171" s="34">
        <v>0</v>
      </c>
      <c r="D171" s="46">
        <f>IFERROR(VLOOKUP($E171,'BASE DE DATOS'!$A:$I,2,0)," ")</f>
        <v>0</v>
      </c>
      <c r="E171" s="66" t="s">
        <v>23</v>
      </c>
      <c r="F171" s="46">
        <f>IFERROR(VLOOKUP($D171,'BASE DE DATOS'!$B:$I,2,0),0)</f>
        <v>0</v>
      </c>
      <c r="G171" s="46">
        <f>IFERROR(VLOOKUP($D171,'BASE DE DATOS'!$B:$I,3,0),0)</f>
        <v>0</v>
      </c>
      <c r="H171" s="46">
        <f>IFERROR(VLOOKUP($D171,'BASE DE DATOS'!$B:$I,4,0),0)</f>
        <v>0</v>
      </c>
      <c r="I171" s="46">
        <f>IFERROR(VLOOKUP($D171,'BASE DE DATOS'!$B:$I,5,0),0)</f>
        <v>0</v>
      </c>
      <c r="J171" s="46">
        <f>IFERROR(VLOOKUP($D171,'BASE DE DATOS'!$B:$I,6,0),0)</f>
        <v>0</v>
      </c>
      <c r="K171">
        <f>IFERROR(VLOOKUP($D171,'BASE DE DATOS'!$B:$I,7,0),0)</f>
        <v>0</v>
      </c>
      <c r="L171" s="46">
        <f>IFERROR(VLOOKUP($D171,'BASE DE DATOS'!$B:$I,8,0),0)</f>
        <v>0</v>
      </c>
      <c r="M171" s="70">
        <v>2500</v>
      </c>
      <c r="N171" s="3" t="s">
        <v>9</v>
      </c>
    </row>
    <row r="172" spans="1:21" x14ac:dyDescent="0.25">
      <c r="A172" s="71">
        <v>45745</v>
      </c>
      <c r="B172" s="34">
        <v>0</v>
      </c>
      <c r="D172" s="46">
        <f>IFERROR(VLOOKUP($E172,'BASE DE DATOS'!$A:$I,2,0)," ")</f>
        <v>0</v>
      </c>
      <c r="E172" s="66" t="s">
        <v>23</v>
      </c>
      <c r="F172" s="46">
        <f>IFERROR(VLOOKUP($D172,'BASE DE DATOS'!$B:$I,2,0),0)</f>
        <v>0</v>
      </c>
      <c r="G172" s="46">
        <f>IFERROR(VLOOKUP($D172,'BASE DE DATOS'!$B:$I,3,0),0)</f>
        <v>0</v>
      </c>
      <c r="H172" s="46">
        <f>IFERROR(VLOOKUP($D172,'BASE DE DATOS'!$B:$I,4,0),0)</f>
        <v>0</v>
      </c>
      <c r="I172" s="46">
        <f>IFERROR(VLOOKUP($D172,'BASE DE DATOS'!$B:$I,5,0),0)</f>
        <v>0</v>
      </c>
      <c r="J172" s="46">
        <f>IFERROR(VLOOKUP($D172,'BASE DE DATOS'!$B:$I,6,0),0)</f>
        <v>0</v>
      </c>
      <c r="K172">
        <f>IFERROR(VLOOKUP($D172,'BASE DE DATOS'!$B:$I,7,0),0)</f>
        <v>0</v>
      </c>
      <c r="L172" s="46">
        <f>IFERROR(VLOOKUP($D172,'BASE DE DATOS'!$B:$I,8,0),0)</f>
        <v>0</v>
      </c>
      <c r="M172" s="70">
        <v>5500</v>
      </c>
      <c r="N172" s="3" t="s">
        <v>9</v>
      </c>
    </row>
    <row r="173" spans="1:21" ht="14.25" customHeight="1" x14ac:dyDescent="0.25">
      <c r="A173" s="71">
        <v>45746</v>
      </c>
      <c r="B173" s="34">
        <v>0</v>
      </c>
      <c r="D173" s="46">
        <f>IFERROR(VLOOKUP($E173,'BASE DE DATOS'!$A:$I,2,0)," ")</f>
        <v>0</v>
      </c>
      <c r="E173" s="66" t="s">
        <v>518</v>
      </c>
      <c r="F173" s="46">
        <f>IFERROR(VLOOKUP($D173,'BASE DE DATOS'!$B:$I,2,0),0)</f>
        <v>0</v>
      </c>
      <c r="G173" s="46">
        <f>IFERROR(VLOOKUP($D173,'BASE DE DATOS'!$B:$I,3,0),0)</f>
        <v>0</v>
      </c>
      <c r="H173" s="46">
        <f>IFERROR(VLOOKUP($D173,'BASE DE DATOS'!$B:$I,4,0),0)</f>
        <v>0</v>
      </c>
      <c r="I173" s="46">
        <f>IFERROR(VLOOKUP($D173,'BASE DE DATOS'!$B:$I,5,0),0)</f>
        <v>0</v>
      </c>
      <c r="J173" s="46">
        <f>IFERROR(VLOOKUP($D173,'BASE DE DATOS'!$B:$I,6,0),0)</f>
        <v>0</v>
      </c>
      <c r="K173">
        <f>IFERROR(VLOOKUP($D173,'BASE DE DATOS'!$B:$I,7,0),0)</f>
        <v>0</v>
      </c>
      <c r="L173" s="46">
        <f>IFERROR(VLOOKUP($D173,'BASE DE DATOS'!$B:$I,8,0),0)</f>
        <v>0</v>
      </c>
      <c r="M173" s="70">
        <v>120000</v>
      </c>
      <c r="N173" s="3" t="s">
        <v>5</v>
      </c>
    </row>
    <row r="174" spans="1:21" x14ac:dyDescent="0.25">
      <c r="A174" s="71">
        <v>45746</v>
      </c>
      <c r="B174" s="34">
        <v>0</v>
      </c>
      <c r="D174" s="46">
        <f>IFERROR(VLOOKUP($E174,'BASE DE DATOS'!$A:$I,2,0)," ")</f>
        <v>1112230545</v>
      </c>
      <c r="E174" s="66" t="s">
        <v>83</v>
      </c>
      <c r="F174" s="46">
        <f>IFERROR(VLOOKUP($D174,'BASE DE DATOS'!$B:$I,2,0),0)</f>
        <v>0</v>
      </c>
      <c r="G174" s="46">
        <f>IFERROR(VLOOKUP($D174,'BASE DE DATOS'!$B:$I,3,0),0)</f>
        <v>0</v>
      </c>
      <c r="H174" s="46">
        <f>IFERROR(VLOOKUP($D174,'BASE DE DATOS'!$B:$I,4,0),0)</f>
        <v>0</v>
      </c>
      <c r="I174" s="46">
        <f>IFERROR(VLOOKUP($D174,'BASE DE DATOS'!$B:$I,5,0),0)</f>
        <v>0</v>
      </c>
      <c r="J174" s="46">
        <f>IFERROR(VLOOKUP($D174,'BASE DE DATOS'!$B:$I,6,0),0)</f>
        <v>0</v>
      </c>
      <c r="K174">
        <f>IFERROR(VLOOKUP($D174,'BASE DE DATOS'!$B:$I,7,0),0)</f>
        <v>3107292255</v>
      </c>
      <c r="L174" s="46" t="str">
        <f>IFERROR(VLOOKUP($D174,'BASE DE DATOS'!$B:$I,8,0),0)</f>
        <v>NO TIENE</v>
      </c>
      <c r="M174" s="70">
        <v>52500</v>
      </c>
      <c r="N174" s="3" t="s">
        <v>9</v>
      </c>
    </row>
    <row r="175" spans="1:21" x14ac:dyDescent="0.25">
      <c r="A175" s="71">
        <v>45746</v>
      </c>
      <c r="B175" s="34">
        <v>6126</v>
      </c>
      <c r="D175" s="46">
        <f>IFERROR(VLOOKUP($E175,'BASE DE DATOS'!$A:$I,2,0)," ")</f>
        <v>66929745</v>
      </c>
      <c r="E175" s="66" t="s">
        <v>283</v>
      </c>
      <c r="F175" s="46" t="str">
        <f>IFERROR(VLOOKUP($D175,'BASE DE DATOS'!$B:$I,2,0),0)</f>
        <v>MARTHA</v>
      </c>
      <c r="G175" s="46">
        <f>IFERROR(VLOOKUP($D175,'BASE DE DATOS'!$B:$I,3,0),0)</f>
        <v>0</v>
      </c>
      <c r="H175" s="46">
        <f>IFERROR(VLOOKUP($D175,'BASE DE DATOS'!$B:$I,4,0),0)</f>
        <v>0</v>
      </c>
      <c r="I175" s="46">
        <f>IFERROR(VLOOKUP($D175,'BASE DE DATOS'!$B:$I,5,0),0)</f>
        <v>0</v>
      </c>
      <c r="J175" s="46" t="str">
        <f>IFERROR(VLOOKUP($D175,'BASE DE DATOS'!$B:$I,6,0),0)</f>
        <v>CL 8 12 10</v>
      </c>
      <c r="K175">
        <f>IFERROR(VLOOKUP($D175,'BASE DE DATOS'!$B:$I,7,0),0)</f>
        <v>3017199935</v>
      </c>
      <c r="L175" s="46">
        <f>IFERROR(VLOOKUP($D175,'BASE DE DATOS'!$B:$I,8,0),0)</f>
        <v>0</v>
      </c>
      <c r="M175" s="70">
        <v>363400</v>
      </c>
      <c r="N175" s="3" t="s">
        <v>5</v>
      </c>
    </row>
    <row r="176" spans="1:21" x14ac:dyDescent="0.25">
      <c r="A176" s="3" t="s">
        <v>563</v>
      </c>
      <c r="B176" s="34">
        <v>6124</v>
      </c>
      <c r="D176" s="46">
        <f>IFERROR(VLOOKUP($E176,'BASE DE DATOS'!$A:$I,2,0)," ")</f>
        <v>900458942</v>
      </c>
      <c r="E176" s="66" t="str">
        <f>'BASE DE DATOS'!$A$116</f>
        <v>SALSAMENTARIA FYS SAS</v>
      </c>
      <c r="F176" s="46">
        <f>IFERROR(VLOOKUP($D176,'BASE DE DATOS'!$B:$I,2,0),0)</f>
        <v>0</v>
      </c>
      <c r="G176" s="46">
        <f>IFERROR(VLOOKUP($D176,'BASE DE DATOS'!$B:$I,3,0),0)</f>
        <v>0</v>
      </c>
      <c r="H176" s="46">
        <f>IFERROR(VLOOKUP($D176,'BASE DE DATOS'!$B:$I,4,0),0)</f>
        <v>0</v>
      </c>
      <c r="I176" s="46">
        <f>IFERROR(VLOOKUP($D176,'BASE DE DATOS'!$B:$I,5,0),0)</f>
        <v>0</v>
      </c>
      <c r="J176" s="46" t="str">
        <f>IFERROR(VLOOKUP($D176,'BASE DE DATOS'!$B:$I,6,0),0)</f>
        <v>CR 32 30 30</v>
      </c>
      <c r="K176">
        <f>IFERROR(VLOOKUP($D176,'BASE DE DATOS'!$B:$I,7,0),0)</f>
        <v>2810023</v>
      </c>
      <c r="L176" s="46" t="str">
        <f>IFERROR(VLOOKUP($D176,'BASE DE DATOS'!$B:$I,8,0),0)</f>
        <v>NO TIENE</v>
      </c>
      <c r="M176" s="70">
        <v>60000</v>
      </c>
      <c r="N176" s="1" t="s">
        <v>5</v>
      </c>
    </row>
    <row r="177" spans="1:20" x14ac:dyDescent="0.25">
      <c r="A177" s="71">
        <v>45746</v>
      </c>
      <c r="B177" s="34">
        <v>52244</v>
      </c>
      <c r="D177" s="46">
        <f>IFERROR(VLOOKUP($E177,'BASE DE DATOS'!$A:$I,2,0)," ")</f>
        <v>805028041</v>
      </c>
      <c r="E177" s="66" t="str">
        <f>'BASE DE DATOS'!$A$155</f>
        <v>SUPERTIENDAS CAÑAVERAL S.A.S</v>
      </c>
      <c r="F177" s="46" t="str">
        <f>IFERROR(VLOOKUP($D177,'BASE DE DATOS'!$B:$I,2,0),0)</f>
        <v>VALERIA</v>
      </c>
      <c r="G177" s="46">
        <f>IFERROR(VLOOKUP($D177,'BASE DE DATOS'!$B:$I,3,0),0)</f>
        <v>0</v>
      </c>
      <c r="H177" s="46" t="str">
        <f>IFERROR(VLOOKUP($D177,'BASE DE DATOS'!$B:$I,4,0),0)</f>
        <v>PAEZ</v>
      </c>
      <c r="I177" s="46" t="str">
        <f>IFERROR(VLOOKUP($D177,'BASE DE DATOS'!$B:$I,5,0),0)</f>
        <v>OREJUELA</v>
      </c>
      <c r="J177" s="46" t="str">
        <f>IFERROR(VLOOKUP($D177,'BASE DE DATOS'!$B:$I,6,0),0)</f>
        <v>CL 28 N0 24-76</v>
      </c>
      <c r="K177">
        <f>IFERROR(VLOOKUP($D177,'BASE DE DATOS'!$B:$I,7,0),0)</f>
        <v>4850175</v>
      </c>
      <c r="L177" s="46">
        <f>IFERROR(VLOOKUP($D177,'BASE DE DATOS'!$B:$I,8,0),0)</f>
        <v>0</v>
      </c>
      <c r="M177" s="70">
        <v>50600</v>
      </c>
      <c r="N177" s="3" t="s">
        <v>5</v>
      </c>
    </row>
    <row r="178" spans="1:20" x14ac:dyDescent="0.25">
      <c r="A178" s="71">
        <v>45746</v>
      </c>
      <c r="B178" s="34">
        <v>0</v>
      </c>
      <c r="D178" s="46">
        <f>IFERROR(VLOOKUP($E178,'BASE DE DATOS'!$A:$I,2,0)," ")</f>
        <v>0</v>
      </c>
      <c r="E178" s="66" t="s">
        <v>561</v>
      </c>
      <c r="F178" s="46">
        <f>IFERROR(VLOOKUP($D178,'BASE DE DATOS'!$B:$I,2,0),0)</f>
        <v>0</v>
      </c>
      <c r="G178" s="46">
        <f>IFERROR(VLOOKUP($D178,'BASE DE DATOS'!$B:$I,3,0),0)</f>
        <v>0</v>
      </c>
      <c r="H178" s="46">
        <f>IFERROR(VLOOKUP($D178,'BASE DE DATOS'!$B:$I,4,0),0)</f>
        <v>0</v>
      </c>
      <c r="I178" s="46">
        <f>IFERROR(VLOOKUP($D178,'BASE DE DATOS'!$B:$I,5,0),0)</f>
        <v>0</v>
      </c>
      <c r="J178" s="46">
        <f>IFERROR(VLOOKUP($D178,'BASE DE DATOS'!$B:$I,6,0),0)</f>
        <v>0</v>
      </c>
      <c r="K178">
        <f>IFERROR(VLOOKUP($D178,'BASE DE DATOS'!$B:$I,7,0),0)</f>
        <v>0</v>
      </c>
      <c r="L178" s="46">
        <f>IFERROR(VLOOKUP($D178,'BASE DE DATOS'!$B:$I,8,0),0)</f>
        <v>0</v>
      </c>
      <c r="M178" s="70">
        <v>70000</v>
      </c>
      <c r="N178" s="3" t="s">
        <v>5</v>
      </c>
    </row>
    <row r="179" spans="1:20" x14ac:dyDescent="0.25">
      <c r="A179" s="71">
        <v>45743</v>
      </c>
      <c r="B179" s="34">
        <v>0</v>
      </c>
      <c r="D179" s="46">
        <f>IFERROR(VLOOKUP($E179,'BASE DE DATOS'!$A:$I,2,0)," ")</f>
        <v>14695845</v>
      </c>
      <c r="E179" s="66" t="s">
        <v>224</v>
      </c>
      <c r="F179" s="46" t="str">
        <f>IFERROR(VLOOKUP($D179,'BASE DE DATOS'!$B:$I,2,0),0)</f>
        <v>EDELMIRA</v>
      </c>
      <c r="G179" s="46">
        <f>IFERROR(VLOOKUP($D179,'BASE DE DATOS'!$B:$I,3,0),0)</f>
        <v>0</v>
      </c>
      <c r="H179" s="46" t="str">
        <f>IFERROR(VLOOKUP($D179,'BASE DE DATOS'!$B:$I,4,0),0)</f>
        <v>MORALES</v>
      </c>
      <c r="I179" s="46" t="str">
        <f>IFERROR(VLOOKUP($D179,'BASE DE DATOS'!$B:$I,5,0),0)</f>
        <v>ACOSTA</v>
      </c>
      <c r="J179" s="46" t="str">
        <f>IFERROR(VLOOKUP($D179,'BASE DE DATOS'!$B:$I,6,0),0)</f>
        <v>ST 1 MZ 19 VILLAMARINA</v>
      </c>
      <c r="K179">
        <f>IFERROR(VLOOKUP($D179,'BASE DE DATOS'!$B:$I,7,0),0)</f>
        <v>3215223609</v>
      </c>
      <c r="L179" s="46">
        <f>IFERROR(VLOOKUP($D179,'BASE DE DATOS'!$B:$I,8,0),0)</f>
        <v>0</v>
      </c>
      <c r="M179" s="70">
        <v>83338</v>
      </c>
      <c r="N179" s="3" t="s">
        <v>5</v>
      </c>
    </row>
    <row r="180" spans="1:20" x14ac:dyDescent="0.25">
      <c r="A180" s="71">
        <v>45744</v>
      </c>
      <c r="B180" s="34">
        <v>0</v>
      </c>
      <c r="D180" s="46">
        <f>IFERROR(VLOOKUP($E180,'BASE DE DATOS'!$A:$I,2,0)," ")</f>
        <v>14695845</v>
      </c>
      <c r="E180" s="66" t="s">
        <v>224</v>
      </c>
      <c r="F180" s="46" t="str">
        <f>IFERROR(VLOOKUP($D180,'BASE DE DATOS'!$B:$I,2,0),0)</f>
        <v>EDELMIRA</v>
      </c>
      <c r="G180" s="46">
        <f>IFERROR(VLOOKUP($D180,'BASE DE DATOS'!$B:$I,3,0),0)</f>
        <v>0</v>
      </c>
      <c r="H180" s="46" t="str">
        <f>IFERROR(VLOOKUP($D180,'BASE DE DATOS'!$B:$I,4,0),0)</f>
        <v>MORALES</v>
      </c>
      <c r="I180" s="46" t="str">
        <f>IFERROR(VLOOKUP($D180,'BASE DE DATOS'!$B:$I,5,0),0)</f>
        <v>ACOSTA</v>
      </c>
      <c r="J180" s="46" t="str">
        <f>IFERROR(VLOOKUP($D180,'BASE DE DATOS'!$B:$I,6,0),0)</f>
        <v>ST 1 MZ 19 VILLAMARINA</v>
      </c>
      <c r="K180">
        <f>IFERROR(VLOOKUP($D180,'BASE DE DATOS'!$B:$I,7,0),0)</f>
        <v>3215223609</v>
      </c>
      <c r="L180" s="46">
        <f>IFERROR(VLOOKUP($D180,'BASE DE DATOS'!$B:$I,8,0),0)</f>
        <v>0</v>
      </c>
      <c r="M180" s="70">
        <v>75000</v>
      </c>
      <c r="N180" s="3" t="s">
        <v>5</v>
      </c>
      <c r="O180" s="1"/>
      <c r="P180" s="1"/>
      <c r="Q180" s="1"/>
      <c r="R180" s="1"/>
      <c r="S180" s="1"/>
      <c r="T180" s="1"/>
    </row>
    <row r="181" spans="1:20" x14ac:dyDescent="0.25">
      <c r="A181" s="71">
        <v>45747</v>
      </c>
      <c r="B181" s="34">
        <v>0</v>
      </c>
      <c r="D181" s="46">
        <f>IFERROR(VLOOKUP($E181,'BASE DE DATOS'!$A:$I,2,0)," ")</f>
        <v>0</v>
      </c>
      <c r="E181" s="66" t="s">
        <v>23</v>
      </c>
      <c r="F181" s="46">
        <f>IFERROR(VLOOKUP($D181,'BASE DE DATOS'!$B:$I,2,0),0)</f>
        <v>0</v>
      </c>
      <c r="G181" s="46">
        <f>IFERROR(VLOOKUP($D181,'BASE DE DATOS'!$B:$I,3,0),0)</f>
        <v>0</v>
      </c>
      <c r="H181" s="46">
        <f>IFERROR(VLOOKUP($D181,'BASE DE DATOS'!$B:$I,4,0),0)</f>
        <v>0</v>
      </c>
      <c r="I181" s="46">
        <f>IFERROR(VLOOKUP($D181,'BASE DE DATOS'!$B:$I,5,0),0)</f>
        <v>0</v>
      </c>
      <c r="J181" s="46">
        <f>IFERROR(VLOOKUP($D181,'BASE DE DATOS'!$B:$I,6,0),0)</f>
        <v>0</v>
      </c>
      <c r="K181">
        <f>IFERROR(VLOOKUP($D181,'BASE DE DATOS'!$B:$I,7,0),0)</f>
        <v>0</v>
      </c>
      <c r="L181" s="46">
        <f>IFERROR(VLOOKUP($D181,'BASE DE DATOS'!$B:$I,8,0),0)</f>
        <v>0</v>
      </c>
      <c r="M181" s="70">
        <v>80000</v>
      </c>
      <c r="N181" s="3" t="s">
        <v>9</v>
      </c>
    </row>
    <row r="182" spans="1:20" x14ac:dyDescent="0.25">
      <c r="A182" s="71">
        <v>45745</v>
      </c>
      <c r="B182" s="34">
        <v>0</v>
      </c>
      <c r="D182" s="46">
        <f>IFERROR(VLOOKUP($E182,'BASE DE DATOS'!$A:$I,2,0)," ")</f>
        <v>901473419</v>
      </c>
      <c r="E182" s="66" t="str">
        <f>$E$114</f>
        <v>DISTRIBUCIONES JACOTA ZOMAC SAS</v>
      </c>
      <c r="F182" s="46">
        <f>IFERROR(VLOOKUP($D182,'BASE DE DATOS'!$B:$I,2,0),0)</f>
        <v>0</v>
      </c>
      <c r="G182" s="46">
        <f>IFERROR(VLOOKUP($D182,'BASE DE DATOS'!$B:$I,3,0),0)</f>
        <v>0</v>
      </c>
      <c r="H182" s="46">
        <f>IFERROR(VLOOKUP($D182,'BASE DE DATOS'!$B:$I,4,0),0)</f>
        <v>0</v>
      </c>
      <c r="I182" s="46">
        <f>IFERROR(VLOOKUP($D182,'BASE DE DATOS'!$B:$I,5,0),0)</f>
        <v>0</v>
      </c>
      <c r="J182" s="46" t="str">
        <f>IFERROR(VLOOKUP($D182,'BASE DE DATOS'!$B:$I,6,0),0)</f>
        <v>CR 10 5 32</v>
      </c>
      <c r="K182">
        <f>IFERROR(VLOOKUP($D182,'BASE DE DATOS'!$B:$I,7,0),0)</f>
        <v>3147560646</v>
      </c>
      <c r="L182" s="46" t="str">
        <f>IFERROR(VLOOKUP($D182,'BASE DE DATOS'!$B:$I,8,0),0)</f>
        <v>jacota.distribuciones@outlook.com</v>
      </c>
      <c r="M182" s="70">
        <v>1300500</v>
      </c>
      <c r="N182" s="1" t="s">
        <v>5</v>
      </c>
    </row>
    <row r="183" spans="1:20" x14ac:dyDescent="0.25">
      <c r="A183" s="71">
        <v>45747</v>
      </c>
      <c r="B183" s="34">
        <v>0</v>
      </c>
      <c r="D183" s="46">
        <f>IFERROR(VLOOKUP($E183,'BASE DE DATOS'!$A:$I,2,0)," ")</f>
        <v>0</v>
      </c>
      <c r="E183" s="66" t="s">
        <v>23</v>
      </c>
      <c r="F183" s="46">
        <f>IFERROR(VLOOKUP($D183,'BASE DE DATOS'!$B:$I,2,0),0)</f>
        <v>0</v>
      </c>
      <c r="G183" s="46">
        <f>IFERROR(VLOOKUP($D183,'BASE DE DATOS'!$B:$I,3,0),0)</f>
        <v>0</v>
      </c>
      <c r="H183" s="46">
        <f>IFERROR(VLOOKUP($D183,'BASE DE DATOS'!$B:$I,4,0),0)</f>
        <v>0</v>
      </c>
      <c r="I183" s="46">
        <f>IFERROR(VLOOKUP($D183,'BASE DE DATOS'!$B:$I,5,0),0)</f>
        <v>0</v>
      </c>
      <c r="J183" s="46">
        <f>IFERROR(VLOOKUP($D183,'BASE DE DATOS'!$B:$I,6,0),0)</f>
        <v>0</v>
      </c>
      <c r="K183">
        <f>IFERROR(VLOOKUP($D183,'BASE DE DATOS'!$B:$I,7,0),0)</f>
        <v>0</v>
      </c>
      <c r="L183" s="46">
        <f>IFERROR(VLOOKUP($D183,'BASE DE DATOS'!$B:$I,8,0),0)</f>
        <v>0</v>
      </c>
      <c r="M183" s="70">
        <v>30000</v>
      </c>
      <c r="N183" s="3" t="s">
        <v>9</v>
      </c>
    </row>
    <row r="184" spans="1:20" x14ac:dyDescent="0.25">
      <c r="A184" s="71">
        <v>45747</v>
      </c>
      <c r="B184" s="34">
        <v>0</v>
      </c>
      <c r="D184" s="46">
        <f>IFERROR(VLOOKUP($E184,'BASE DE DATOS'!$A:$I,2,0)," ")</f>
        <v>0</v>
      </c>
      <c r="E184" s="66" t="s">
        <v>561</v>
      </c>
      <c r="F184" s="46">
        <f>IFERROR(VLOOKUP($D184,'BASE DE DATOS'!$B:$I,2,0),0)</f>
        <v>0</v>
      </c>
      <c r="G184" s="46">
        <f>IFERROR(VLOOKUP($D184,'BASE DE DATOS'!$B:$I,3,0),0)</f>
        <v>0</v>
      </c>
      <c r="H184" s="46">
        <f>IFERROR(VLOOKUP($D184,'BASE DE DATOS'!$B:$I,4,0),0)</f>
        <v>0</v>
      </c>
      <c r="I184" s="46">
        <f>IFERROR(VLOOKUP($D184,'BASE DE DATOS'!$B:$I,5,0),0)</f>
        <v>0</v>
      </c>
      <c r="J184" s="46">
        <f>IFERROR(VLOOKUP($D184,'BASE DE DATOS'!$B:$I,6,0),0)</f>
        <v>0</v>
      </c>
      <c r="K184">
        <f>IFERROR(VLOOKUP($D184,'BASE DE DATOS'!$B:$I,7,0),0)</f>
        <v>0</v>
      </c>
      <c r="L184" s="46">
        <f>IFERROR(VLOOKUP($D184,'BASE DE DATOS'!$B:$I,8,0),0)</f>
        <v>0</v>
      </c>
      <c r="M184" s="70">
        <v>21360</v>
      </c>
      <c r="N184" s="3" t="s">
        <v>5</v>
      </c>
    </row>
    <row r="185" spans="1:20" x14ac:dyDescent="0.25">
      <c r="A185" s="71">
        <v>45747</v>
      </c>
      <c r="B185" s="34">
        <v>0</v>
      </c>
      <c r="D185" s="46">
        <f>IFERROR(VLOOKUP($E185,'BASE DE DATOS'!$A:$I,2,0)," ")</f>
        <v>94303413</v>
      </c>
      <c r="E185" s="66" t="s">
        <v>60</v>
      </c>
      <c r="F185" s="46" t="str">
        <f>IFERROR(VLOOKUP($D185,'BASE DE DATOS'!$B:$I,2,0),0)</f>
        <v>GUSTAVO</v>
      </c>
      <c r="G185" s="46" t="str">
        <f>IFERROR(VLOOKUP($D185,'BASE DE DATOS'!$B:$I,3,0),0)</f>
        <v>ADOLFO</v>
      </c>
      <c r="H185" s="46" t="str">
        <f>IFERROR(VLOOKUP($D185,'BASE DE DATOS'!$B:$I,4,0),0)</f>
        <v>CAMPO</v>
      </c>
      <c r="I185" s="46" t="str">
        <f>IFERROR(VLOOKUP($D185,'BASE DE DATOS'!$B:$I,5,0),0)</f>
        <v>TORRES</v>
      </c>
      <c r="J185" s="46" t="str">
        <f>IFERROR(VLOOKUP($D185,'BASE DE DATOS'!$B:$I,6,0),0)</f>
        <v>CL 6 13 04</v>
      </c>
      <c r="K185">
        <f>IFERROR(VLOOKUP($D185,'BASE DE DATOS'!$B:$I,7,0),0)</f>
        <v>3136595942</v>
      </c>
      <c r="L185" s="46">
        <f>IFERROR(VLOOKUP($D185,'BASE DE DATOS'!$B:$I,8,0),0)</f>
        <v>0</v>
      </c>
      <c r="M185" s="70">
        <v>803000</v>
      </c>
      <c r="N185" s="3" t="s">
        <v>5</v>
      </c>
      <c r="O185" s="1"/>
      <c r="P185" s="1"/>
      <c r="Q185" s="1"/>
      <c r="R185" s="1"/>
      <c r="S185" s="1"/>
      <c r="T185" s="1"/>
    </row>
    <row r="186" spans="1:20" ht="15" customHeight="1" x14ac:dyDescent="0.25">
      <c r="A186" s="71">
        <v>45719</v>
      </c>
      <c r="B186" s="34">
        <v>6153</v>
      </c>
      <c r="D186" s="46">
        <f>IFERROR(VLOOKUP($E186,'BASE DE DATOS'!$A:$I,2,0)," ")</f>
        <v>900458942</v>
      </c>
      <c r="E186" s="66" t="s">
        <v>163</v>
      </c>
      <c r="F186" s="46">
        <f>IFERROR(VLOOKUP($D186,'BASE DE DATOS'!$B:$I,2,0),0)</f>
        <v>0</v>
      </c>
      <c r="G186" s="46">
        <f>IFERROR(VLOOKUP($D186,'BASE DE DATOS'!$B:$I,3,0),0)</f>
        <v>0</v>
      </c>
      <c r="H186" s="46">
        <f>IFERROR(VLOOKUP($D186,'BASE DE DATOS'!$B:$I,4,0),0)</f>
        <v>0</v>
      </c>
      <c r="I186" s="46">
        <f>IFERROR(VLOOKUP($D186,'BASE DE DATOS'!$B:$I,5,0),0)</f>
        <v>0</v>
      </c>
      <c r="J186" s="46" t="str">
        <f>IFERROR(VLOOKUP($D186,'BASE DE DATOS'!$B:$I,6,0),0)</f>
        <v>CR 32 30 30</v>
      </c>
      <c r="K186">
        <f>IFERROR(VLOOKUP($D186,'BASE DE DATOS'!$B:$I,7,0),0)</f>
        <v>2810023</v>
      </c>
      <c r="L186" s="46" t="str">
        <f>IFERROR(VLOOKUP($D186,'BASE DE DATOS'!$B:$I,8,0),0)</f>
        <v>NO TIENE</v>
      </c>
      <c r="M186" s="70">
        <v>140000</v>
      </c>
      <c r="N186" s="3" t="s">
        <v>5</v>
      </c>
    </row>
    <row r="187" spans="1:20" x14ac:dyDescent="0.25">
      <c r="A187" s="71">
        <v>45747</v>
      </c>
      <c r="B187" s="34">
        <v>52386</v>
      </c>
      <c r="D187" s="46">
        <f>IFERROR(VLOOKUP($E187,'BASE DE DATOS'!$A:$I,2,0)," ")</f>
        <v>805028041</v>
      </c>
      <c r="E187" s="66" t="s">
        <v>435</v>
      </c>
      <c r="F187" s="46" t="str">
        <f>IFERROR(VLOOKUP($D187,'BASE DE DATOS'!$B:$I,2,0),0)</f>
        <v>VALERIA</v>
      </c>
      <c r="G187" s="46">
        <f>IFERROR(VLOOKUP($D187,'BASE DE DATOS'!$B:$I,3,0),0)</f>
        <v>0</v>
      </c>
      <c r="H187" s="46" t="str">
        <f>IFERROR(VLOOKUP($D187,'BASE DE DATOS'!$B:$I,4,0),0)</f>
        <v>PAEZ</v>
      </c>
      <c r="I187" s="46" t="str">
        <f>IFERROR(VLOOKUP($D187,'BASE DE DATOS'!$B:$I,5,0),0)</f>
        <v>OREJUELA</v>
      </c>
      <c r="J187" s="46" t="str">
        <f>IFERROR(VLOOKUP($D187,'BASE DE DATOS'!$B:$I,6,0),0)</f>
        <v>CL 28 N0 24-76</v>
      </c>
      <c r="K187">
        <f>IFERROR(VLOOKUP($D187,'BASE DE DATOS'!$B:$I,7,0),0)</f>
        <v>4850175</v>
      </c>
      <c r="L187" s="46">
        <f>IFERROR(VLOOKUP($D187,'BASE DE DATOS'!$B:$I,8,0),0)</f>
        <v>0</v>
      </c>
      <c r="M187" s="70">
        <v>57900</v>
      </c>
      <c r="N187" s="14" t="s">
        <v>5</v>
      </c>
    </row>
    <row r="188" spans="1:20" x14ac:dyDescent="0.25">
      <c r="A188" s="71">
        <v>45747</v>
      </c>
      <c r="B188" s="34">
        <v>0</v>
      </c>
      <c r="D188" s="46">
        <f>IFERROR(VLOOKUP($E188,'BASE DE DATOS'!$A:$I,2,0)," ")</f>
        <v>1006218066</v>
      </c>
      <c r="E188" s="66" t="s">
        <v>341</v>
      </c>
      <c r="F188" s="46" t="str">
        <f>IFERROR(VLOOKUP($D188,'BASE DE DATOS'!$B:$I,2,0),0)</f>
        <v>CRISTIAN</v>
      </c>
      <c r="G188" s="46" t="str">
        <f>IFERROR(VLOOKUP($D188,'BASE DE DATOS'!$B:$I,3,0),0)</f>
        <v>YAHIR</v>
      </c>
      <c r="H188" s="46" t="str">
        <f>IFERROR(VLOOKUP($D188,'BASE DE DATOS'!$B:$I,4,0),0)</f>
        <v>GUERRERO</v>
      </c>
      <c r="I188" s="46" t="str">
        <f>IFERROR(VLOOKUP($D188,'BASE DE DATOS'!$B:$I,5,0),0)</f>
        <v>GIRON</v>
      </c>
      <c r="J188" s="46" t="str">
        <f>IFERROR(VLOOKUP($D188,'BASE DE DATOS'!$B:$I,6,0),0)</f>
        <v>CL 10 14 63</v>
      </c>
      <c r="K188">
        <f>IFERROR(VLOOKUP($D188,'BASE DE DATOS'!$B:$I,7,0),0)</f>
        <v>3215272745</v>
      </c>
      <c r="L188" s="46">
        <f>IFERROR(VLOOKUP($D188,'BASE DE DATOS'!$B:$I,8,0),0)</f>
        <v>0</v>
      </c>
      <c r="M188" s="70">
        <v>660000</v>
      </c>
      <c r="N188" s="3" t="s">
        <v>510</v>
      </c>
    </row>
    <row r="189" spans="1:20" x14ac:dyDescent="0.25">
      <c r="A189" s="71">
        <v>45747</v>
      </c>
      <c r="B189" s="34">
        <v>12</v>
      </c>
      <c r="D189" s="46">
        <f>IFERROR(VLOOKUP($E189,'BASE DE DATOS'!$A:$I,2,0)," ")</f>
        <v>1006216897</v>
      </c>
      <c r="E189" s="66" t="s">
        <v>469</v>
      </c>
      <c r="F189" s="46" t="str">
        <f>IFERROR(VLOOKUP($D189,'BASE DE DATOS'!$B:$I,2,0),0)</f>
        <v>JOSE</v>
      </c>
      <c r="G189" s="46" t="str">
        <f>IFERROR(VLOOKUP($D189,'BASE DE DATOS'!$B:$I,3,0),0)</f>
        <v>MANUEL</v>
      </c>
      <c r="H189" s="46" t="str">
        <f>IFERROR(VLOOKUP($D189,'BASE DE DATOS'!$B:$I,4,0),0)</f>
        <v>OCAMPO</v>
      </c>
      <c r="I189" s="46" t="str">
        <f>IFERROR(VLOOKUP($D189,'BASE DE DATOS'!$B:$I,5,0),0)</f>
        <v>VILLADA</v>
      </c>
      <c r="J189" s="46" t="str">
        <f>IFERROR(VLOOKUP($D189,'BASE DE DATOS'!$B:$I,6,0),0)</f>
        <v>MZN H CASA 7 P/MAYO</v>
      </c>
      <c r="K189">
        <f>IFERROR(VLOOKUP($D189,'BASE DE DATOS'!$B:$I,7,0),0)</f>
        <v>3148828370</v>
      </c>
      <c r="L189" s="46">
        <f>IFERROR(VLOOKUP($D189,'BASE DE DATOS'!$B:$I,8,0),0)</f>
        <v>0</v>
      </c>
      <c r="M189" s="70">
        <v>1230800</v>
      </c>
      <c r="N189" s="3" t="s">
        <v>510</v>
      </c>
    </row>
    <row r="190" spans="1:20" x14ac:dyDescent="0.25">
      <c r="A190" s="71">
        <v>45747</v>
      </c>
      <c r="B190" s="34">
        <v>0</v>
      </c>
      <c r="D190" s="46">
        <f>IFERROR(VLOOKUP($E190,'BASE DE DATOS'!$A:$I,2,0)," ")</f>
        <v>0</v>
      </c>
      <c r="E190" s="66" t="s">
        <v>72</v>
      </c>
      <c r="F190" s="46">
        <f>IFERROR(VLOOKUP($D190,'BASE DE DATOS'!$B:$I,2,0),0)</f>
        <v>0</v>
      </c>
      <c r="G190" s="46">
        <f>IFERROR(VLOOKUP($D190,'BASE DE DATOS'!$B:$I,3,0),0)</f>
        <v>0</v>
      </c>
      <c r="H190" s="46">
        <f>IFERROR(VLOOKUP($D190,'BASE DE DATOS'!$B:$I,4,0),0)</f>
        <v>0</v>
      </c>
      <c r="I190" s="46">
        <f>IFERROR(VLOOKUP($D190,'BASE DE DATOS'!$B:$I,5,0),0)</f>
        <v>0</v>
      </c>
      <c r="J190" s="46">
        <f>IFERROR(VLOOKUP($D190,'BASE DE DATOS'!$B:$I,6,0),0)</f>
        <v>0</v>
      </c>
      <c r="K190">
        <f>IFERROR(VLOOKUP($D190,'BASE DE DATOS'!$B:$I,7,0),0)</f>
        <v>0</v>
      </c>
      <c r="L190" s="46">
        <f>IFERROR(VLOOKUP($D190,'BASE DE DATOS'!$B:$I,8,0),0)</f>
        <v>0</v>
      </c>
      <c r="M190" s="70">
        <v>50000</v>
      </c>
      <c r="N190" s="3" t="s">
        <v>9</v>
      </c>
    </row>
    <row r="191" spans="1:20" x14ac:dyDescent="0.25">
      <c r="D191" s="46" t="str">
        <f>IFERROR(VLOOKUP($E191,'BASE DE DATOS'!$A:$I,2,0)," ")</f>
        <v xml:space="preserve"> </v>
      </c>
      <c r="F191" s="46">
        <f>IFERROR(VLOOKUP($D191,'BASE DE DATOS'!$B:$I,2,0),0)</f>
        <v>0</v>
      </c>
      <c r="G191" s="46">
        <f>IFERROR(VLOOKUP($D191,'BASE DE DATOS'!$B:$I,3,0),0)</f>
        <v>0</v>
      </c>
      <c r="H191" s="46">
        <f>IFERROR(VLOOKUP($D191,'BASE DE DATOS'!$B:$I,4,0),0)</f>
        <v>0</v>
      </c>
      <c r="I191" s="46">
        <f>IFERROR(VLOOKUP($D191,'BASE DE DATOS'!$B:$I,5,0),0)</f>
        <v>0</v>
      </c>
      <c r="J191" s="46">
        <f>IFERROR(VLOOKUP($D191,'BASE DE DATOS'!$B:$I,6,0),0)</f>
        <v>0</v>
      </c>
      <c r="K191">
        <f>IFERROR(VLOOKUP($D191,'BASE DE DATOS'!$B:$I,7,0),0)</f>
        <v>0</v>
      </c>
      <c r="L191" s="46">
        <f>IFERROR(VLOOKUP($D191,'BASE DE DATOS'!$B:$I,8,0),0)</f>
        <v>0</v>
      </c>
      <c r="M191" s="70"/>
      <c r="N191" s="3"/>
    </row>
    <row r="192" spans="1:20" x14ac:dyDescent="0.25">
      <c r="D192" s="46" t="str">
        <f>IFERROR(VLOOKUP($E192,'BASE DE DATOS'!$A:$I,2,0)," ")</f>
        <v xml:space="preserve"> </v>
      </c>
      <c r="F192" s="46">
        <f>IFERROR(VLOOKUP($D192,'BASE DE DATOS'!$B:$I,2,0),0)</f>
        <v>0</v>
      </c>
      <c r="G192" s="46">
        <f>IFERROR(VLOOKUP($D192,'BASE DE DATOS'!$B:$I,3,0),0)</f>
        <v>0</v>
      </c>
      <c r="H192" s="46">
        <f>IFERROR(VLOOKUP($D192,'BASE DE DATOS'!$B:$I,4,0),0)</f>
        <v>0</v>
      </c>
      <c r="I192" s="46">
        <f>IFERROR(VLOOKUP($D192,'BASE DE DATOS'!$B:$I,5,0),0)</f>
        <v>0</v>
      </c>
      <c r="J192" s="46">
        <f>IFERROR(VLOOKUP($D192,'BASE DE DATOS'!$B:$I,6,0),0)</f>
        <v>0</v>
      </c>
      <c r="K192">
        <f>IFERROR(VLOOKUP($D192,'BASE DE DATOS'!$B:$I,7,0),0)</f>
        <v>0</v>
      </c>
      <c r="L192" s="46">
        <f>IFERROR(VLOOKUP($D192,'BASE DE DATOS'!$B:$I,8,0),0)</f>
        <v>0</v>
      </c>
      <c r="M192" s="70"/>
      <c r="N192" s="3"/>
    </row>
    <row r="193" spans="4:19" x14ac:dyDescent="0.25">
      <c r="D193" s="46" t="str">
        <f>IFERROR(VLOOKUP($E193,'BASE DE DATOS'!$A:$I,2,0)," ")</f>
        <v xml:space="preserve"> </v>
      </c>
      <c r="F193" s="46">
        <f>IFERROR(VLOOKUP($D193,'BASE DE DATOS'!$B:$I,2,0),0)</f>
        <v>0</v>
      </c>
      <c r="G193" s="46">
        <f>IFERROR(VLOOKUP($D193,'BASE DE DATOS'!$B:$I,3,0),0)</f>
        <v>0</v>
      </c>
      <c r="H193" s="46">
        <f>IFERROR(VLOOKUP($D193,'BASE DE DATOS'!$B:$I,4,0),0)</f>
        <v>0</v>
      </c>
      <c r="I193" s="46">
        <f>IFERROR(VLOOKUP($D193,'BASE DE DATOS'!$B:$I,5,0),0)</f>
        <v>0</v>
      </c>
      <c r="J193" s="46">
        <f>IFERROR(VLOOKUP($D193,'BASE DE DATOS'!$B:$I,6,0),0)</f>
        <v>0</v>
      </c>
      <c r="K193">
        <f>IFERROR(VLOOKUP($D193,'BASE DE DATOS'!$B:$I,7,0),0)</f>
        <v>0</v>
      </c>
      <c r="L193" s="46">
        <f>IFERROR(VLOOKUP($D193,'BASE DE DATOS'!$B:$I,8,0),0)</f>
        <v>0</v>
      </c>
      <c r="M193" s="70"/>
      <c r="N193" s="3"/>
    </row>
    <row r="194" spans="4:19" x14ac:dyDescent="0.25">
      <c r="D194" s="46" t="str">
        <f>IFERROR(VLOOKUP($E194,'BASE DE DATOS'!$A:$I,2,0)," ")</f>
        <v xml:space="preserve"> </v>
      </c>
      <c r="F194" s="46">
        <f>IFERROR(VLOOKUP($D194,'BASE DE DATOS'!$B:$I,2,0),0)</f>
        <v>0</v>
      </c>
      <c r="G194" s="46">
        <f>IFERROR(VLOOKUP($D194,'BASE DE DATOS'!$B:$I,3,0),0)</f>
        <v>0</v>
      </c>
      <c r="H194" s="46">
        <f>IFERROR(VLOOKUP($D194,'BASE DE DATOS'!$B:$I,4,0),0)</f>
        <v>0</v>
      </c>
      <c r="I194" s="46">
        <f>IFERROR(VLOOKUP($D194,'BASE DE DATOS'!$B:$I,5,0),0)</f>
        <v>0</v>
      </c>
      <c r="J194" s="46">
        <f>IFERROR(VLOOKUP($D194,'BASE DE DATOS'!$B:$I,6,0),0)</f>
        <v>0</v>
      </c>
      <c r="K194">
        <f>IFERROR(VLOOKUP($D194,'BASE DE DATOS'!$B:$I,7,0),0)</f>
        <v>0</v>
      </c>
      <c r="L194" s="46">
        <f>IFERROR(VLOOKUP($D194,'BASE DE DATOS'!$B:$I,8,0),0)</f>
        <v>0</v>
      </c>
      <c r="M194" s="70"/>
      <c r="N194" s="3"/>
      <c r="O194" s="1"/>
      <c r="P194" s="1"/>
      <c r="Q194" s="1"/>
      <c r="R194" s="1"/>
      <c r="S194" s="1"/>
    </row>
    <row r="195" spans="4:19" x14ac:dyDescent="0.25">
      <c r="D195" s="46" t="str">
        <f>IFERROR(VLOOKUP($E195,'BASE DE DATOS'!$A:$I,2,0)," ")</f>
        <v xml:space="preserve"> </v>
      </c>
      <c r="F195" s="46">
        <f>IFERROR(VLOOKUP($D195,'BASE DE DATOS'!$B:$I,2,0),0)</f>
        <v>0</v>
      </c>
      <c r="G195" s="46">
        <f>IFERROR(VLOOKUP($D195,'BASE DE DATOS'!$B:$I,3,0),0)</f>
        <v>0</v>
      </c>
      <c r="H195" s="46">
        <f>IFERROR(VLOOKUP($D195,'BASE DE DATOS'!$B:$I,4,0),0)</f>
        <v>0</v>
      </c>
      <c r="I195" s="46">
        <f>IFERROR(VLOOKUP($D195,'BASE DE DATOS'!$B:$I,5,0),0)</f>
        <v>0</v>
      </c>
      <c r="J195" s="46">
        <f>IFERROR(VLOOKUP($D195,'BASE DE DATOS'!$B:$I,6,0),0)</f>
        <v>0</v>
      </c>
      <c r="K195">
        <f>IFERROR(VLOOKUP($D195,'BASE DE DATOS'!$B:$I,7,0),0)</f>
        <v>0</v>
      </c>
      <c r="L195" s="46">
        <f>IFERROR(VLOOKUP($D195,'BASE DE DATOS'!$B:$I,8,0),0)</f>
        <v>0</v>
      </c>
      <c r="M195" s="70"/>
      <c r="N195" s="3"/>
    </row>
    <row r="196" spans="4:19" x14ac:dyDescent="0.25">
      <c r="D196" s="46" t="str">
        <f>IFERROR(VLOOKUP($E196,'BASE DE DATOS'!$A:$I,2,0)," ")</f>
        <v xml:space="preserve"> </v>
      </c>
      <c r="F196" s="46">
        <f>IFERROR(VLOOKUP($D196,'BASE DE DATOS'!$B:$I,2,0),0)</f>
        <v>0</v>
      </c>
      <c r="G196" s="46">
        <f>IFERROR(VLOOKUP($D196,'BASE DE DATOS'!$B:$I,3,0),0)</f>
        <v>0</v>
      </c>
      <c r="H196" s="46">
        <f>IFERROR(VLOOKUP($D196,'BASE DE DATOS'!$B:$I,4,0),0)</f>
        <v>0</v>
      </c>
      <c r="I196" s="46">
        <f>IFERROR(VLOOKUP($D196,'BASE DE DATOS'!$B:$I,5,0),0)</f>
        <v>0</v>
      </c>
      <c r="J196" s="46">
        <f>IFERROR(VLOOKUP($D196,'BASE DE DATOS'!$B:$I,6,0),0)</f>
        <v>0</v>
      </c>
      <c r="K196">
        <f>IFERROR(VLOOKUP($D196,'BASE DE DATOS'!$B:$I,7,0),0)</f>
        <v>0</v>
      </c>
      <c r="L196" s="46">
        <f>IFERROR(VLOOKUP($D196,'BASE DE DATOS'!$B:$I,8,0),0)</f>
        <v>0</v>
      </c>
      <c r="M196" s="70"/>
      <c r="N196" s="3"/>
    </row>
    <row r="197" spans="4:19" x14ac:dyDescent="0.25">
      <c r="D197" s="46" t="str">
        <f>IFERROR(VLOOKUP($E197,'BASE DE DATOS'!$A:$I,2,0)," ")</f>
        <v xml:space="preserve"> </v>
      </c>
      <c r="F197" s="46">
        <f>IFERROR(VLOOKUP($D197,'BASE DE DATOS'!$B:$I,2,0),0)</f>
        <v>0</v>
      </c>
      <c r="G197" s="46">
        <f>IFERROR(VLOOKUP($D197,'BASE DE DATOS'!$B:$I,3,0),0)</f>
        <v>0</v>
      </c>
      <c r="H197" s="46">
        <f>IFERROR(VLOOKUP($D197,'BASE DE DATOS'!$B:$I,4,0),0)</f>
        <v>0</v>
      </c>
      <c r="I197" s="46">
        <f>IFERROR(VLOOKUP($D197,'BASE DE DATOS'!$B:$I,5,0),0)</f>
        <v>0</v>
      </c>
      <c r="J197" s="46">
        <f>IFERROR(VLOOKUP($D197,'BASE DE DATOS'!$B:$I,6,0),0)</f>
        <v>0</v>
      </c>
      <c r="K197">
        <f>IFERROR(VLOOKUP($D197,'BASE DE DATOS'!$B:$I,7,0),0)</f>
        <v>0</v>
      </c>
      <c r="L197" s="46">
        <f>IFERROR(VLOOKUP($D197,'BASE DE DATOS'!$B:$I,8,0),0)</f>
        <v>0</v>
      </c>
      <c r="M197" s="70"/>
      <c r="N197" s="3"/>
    </row>
    <row r="198" spans="4:19" x14ac:dyDescent="0.25">
      <c r="D198" s="46" t="str">
        <f>IFERROR(VLOOKUP($E198,'BASE DE DATOS'!$A:$I,2,0)," ")</f>
        <v xml:space="preserve"> </v>
      </c>
      <c r="F198" s="46">
        <f>IFERROR(VLOOKUP($D198,'BASE DE DATOS'!$B:$I,2,0),0)</f>
        <v>0</v>
      </c>
      <c r="G198" s="46">
        <f>IFERROR(VLOOKUP($D198,'BASE DE DATOS'!$B:$I,3,0),0)</f>
        <v>0</v>
      </c>
      <c r="H198" s="46">
        <f>IFERROR(VLOOKUP($D198,'BASE DE DATOS'!$B:$I,4,0),0)</f>
        <v>0</v>
      </c>
      <c r="I198" s="46">
        <f>IFERROR(VLOOKUP($D198,'BASE DE DATOS'!$B:$I,5,0),0)</f>
        <v>0</v>
      </c>
      <c r="J198" s="46">
        <f>IFERROR(VLOOKUP($D198,'BASE DE DATOS'!$B:$I,6,0),0)</f>
        <v>0</v>
      </c>
      <c r="K198">
        <f>IFERROR(VLOOKUP($D198,'BASE DE DATOS'!$B:$I,7,0),0)</f>
        <v>0</v>
      </c>
      <c r="L198" s="46">
        <f>IFERROR(VLOOKUP($D198,'BASE DE DATOS'!$B:$I,8,0),0)</f>
        <v>0</v>
      </c>
      <c r="M198" s="70"/>
      <c r="N198" s="3"/>
    </row>
    <row r="199" spans="4:19" x14ac:dyDescent="0.25">
      <c r="D199" s="46" t="str">
        <f>IFERROR(VLOOKUP($E199,'BASE DE DATOS'!$A:$I,2,0)," ")</f>
        <v xml:space="preserve"> </v>
      </c>
      <c r="F199" s="46">
        <f>IFERROR(VLOOKUP($D199,'BASE DE DATOS'!$B:$I,2,0),0)</f>
        <v>0</v>
      </c>
      <c r="G199" s="46">
        <f>IFERROR(VLOOKUP($D199,'BASE DE DATOS'!$B:$I,3,0),0)</f>
        <v>0</v>
      </c>
      <c r="H199" s="46">
        <f>IFERROR(VLOOKUP($D199,'BASE DE DATOS'!$B:$I,4,0),0)</f>
        <v>0</v>
      </c>
      <c r="I199" s="46">
        <f>IFERROR(VLOOKUP($D199,'BASE DE DATOS'!$B:$I,5,0),0)</f>
        <v>0</v>
      </c>
      <c r="J199" s="46">
        <f>IFERROR(VLOOKUP($D199,'BASE DE DATOS'!$B:$I,6,0),0)</f>
        <v>0</v>
      </c>
      <c r="K199">
        <f>IFERROR(VLOOKUP($D199,'BASE DE DATOS'!$B:$I,7,0),0)</f>
        <v>0</v>
      </c>
      <c r="L199" s="46">
        <f>IFERROR(VLOOKUP($D199,'BASE DE DATOS'!$B:$I,8,0),0)</f>
        <v>0</v>
      </c>
      <c r="M199" s="70"/>
      <c r="N199" s="3"/>
    </row>
    <row r="200" spans="4:19" x14ac:dyDescent="0.25">
      <c r="D200" s="46" t="str">
        <f>IFERROR(VLOOKUP($E200,'BASE DE DATOS'!$A:$I,2,0)," ")</f>
        <v xml:space="preserve"> </v>
      </c>
      <c r="F200" s="46">
        <f>IFERROR(VLOOKUP($E213,'BASE DE DATOS'!$A:$I,3,0),0)</f>
        <v>0</v>
      </c>
      <c r="G200" s="46">
        <f>IFERROR(VLOOKUP($E200,'BASE DE DATOS'!$A:$I,3,0),0)</f>
        <v>0</v>
      </c>
      <c r="H200" s="46">
        <f>IFERROR(VLOOKUP($E200,'BASE DE DATOS'!$A:$I,3,0),0)</f>
        <v>0</v>
      </c>
      <c r="I200" s="46">
        <f>IFERROR(VLOOKUP($E200,'BASE DE DATOS'!$A:$I,3,0),0)</f>
        <v>0</v>
      </c>
      <c r="J200" s="46">
        <f>IFERROR(VLOOKUP($E200,'BASE DE DATOS'!$A:$I,3,0),0)</f>
        <v>0</v>
      </c>
      <c r="K200" s="46">
        <f>IFERROR(VLOOKUP($E459,'BASE DE DATOS'!$A:$I,3,0),0)</f>
        <v>0</v>
      </c>
      <c r="L200" s="46">
        <f>IFERROR(VLOOKUP($E200,'BASE DE DATOS'!$A:$I,3,0),0)</f>
        <v>0</v>
      </c>
      <c r="M200" s="70"/>
      <c r="N200" s="3"/>
      <c r="O200" s="1"/>
      <c r="P200" s="1"/>
      <c r="Q200" s="1"/>
      <c r="R200" s="1"/>
      <c r="S200" s="1"/>
    </row>
    <row r="201" spans="4:19" x14ac:dyDescent="0.25">
      <c r="D201" s="46" t="str">
        <f>IFERROR(VLOOKUP($E201,'BASE DE DATOS'!$A:$I,2,0)," ")</f>
        <v xml:space="preserve"> </v>
      </c>
      <c r="F201" s="46">
        <f>IFERROR(VLOOKUP($E214,'BASE DE DATOS'!$A:$I,3,0),0)</f>
        <v>0</v>
      </c>
      <c r="G201" s="46">
        <f>IFERROR(VLOOKUP($E201,'BASE DE DATOS'!$A:$I,3,0),0)</f>
        <v>0</v>
      </c>
      <c r="H201" s="46">
        <f>IFERROR(VLOOKUP($E201,'BASE DE DATOS'!$A:$I,3,0),0)</f>
        <v>0</v>
      </c>
      <c r="I201" s="46">
        <f>IFERROR(VLOOKUP($E201,'BASE DE DATOS'!$A:$I,3,0),0)</f>
        <v>0</v>
      </c>
      <c r="J201" s="46">
        <f>IFERROR(VLOOKUP($E201,'BASE DE DATOS'!$A:$I,3,0),0)</f>
        <v>0</v>
      </c>
      <c r="K201" s="46">
        <f>IFERROR(VLOOKUP($E460,'BASE DE DATOS'!$A:$I,3,0),0)</f>
        <v>0</v>
      </c>
      <c r="L201" s="46">
        <f>IFERROR(VLOOKUP($E201,'BASE DE DATOS'!$A:$I,3,0),0)</f>
        <v>0</v>
      </c>
      <c r="M201" s="70"/>
      <c r="N201" s="3"/>
    </row>
    <row r="202" spans="4:19" x14ac:dyDescent="0.25">
      <c r="D202" s="46" t="str">
        <f>IFERROR(VLOOKUP($E202,'BASE DE DATOS'!$A:$I,2,0)," ")</f>
        <v xml:space="preserve"> </v>
      </c>
      <c r="F202" s="46">
        <f>IFERROR(VLOOKUP($E215,'BASE DE DATOS'!$A:$I,3,0),0)</f>
        <v>0</v>
      </c>
      <c r="G202" s="46">
        <f>IFERROR(VLOOKUP($E202,'BASE DE DATOS'!$A:$I,3,0),0)</f>
        <v>0</v>
      </c>
      <c r="H202" s="46">
        <f>IFERROR(VLOOKUP($E202,'BASE DE DATOS'!$A:$I,3,0),0)</f>
        <v>0</v>
      </c>
      <c r="I202" s="46">
        <f>IFERROR(VLOOKUP($E202,'BASE DE DATOS'!$A:$I,3,0),0)</f>
        <v>0</v>
      </c>
      <c r="J202" s="46">
        <f>IFERROR(VLOOKUP($E202,'BASE DE DATOS'!$A:$I,3,0),0)</f>
        <v>0</v>
      </c>
      <c r="K202" s="46">
        <f>IFERROR(VLOOKUP($E461,'BASE DE DATOS'!$A:$I,3,0),0)</f>
        <v>0</v>
      </c>
      <c r="L202" s="46">
        <f>IFERROR(VLOOKUP($E202,'BASE DE DATOS'!$A:$I,3,0),0)</f>
        <v>0</v>
      </c>
      <c r="M202" s="70"/>
      <c r="N202" s="3"/>
    </row>
    <row r="203" spans="4:19" x14ac:dyDescent="0.25">
      <c r="D203" s="46" t="str">
        <f>IFERROR(VLOOKUP($E203,'BASE DE DATOS'!$A:$I,2,0)," ")</f>
        <v xml:space="preserve"> </v>
      </c>
      <c r="F203" s="46">
        <f>IFERROR(VLOOKUP($E216,'BASE DE DATOS'!$A:$I,3,0),0)</f>
        <v>0</v>
      </c>
      <c r="G203" s="46">
        <f>IFERROR(VLOOKUP($E203,'BASE DE DATOS'!$A:$I,3,0),0)</f>
        <v>0</v>
      </c>
      <c r="H203" s="46">
        <f>IFERROR(VLOOKUP($E203,'BASE DE DATOS'!$A:$I,3,0),0)</f>
        <v>0</v>
      </c>
      <c r="I203" s="46">
        <f>IFERROR(VLOOKUP($E203,'BASE DE DATOS'!$A:$I,3,0),0)</f>
        <v>0</v>
      </c>
      <c r="J203" s="46">
        <f>IFERROR(VLOOKUP($E203,'BASE DE DATOS'!$A:$I,3,0),0)</f>
        <v>0</v>
      </c>
      <c r="K203" s="46">
        <f>IFERROR(VLOOKUP($E462,'BASE DE DATOS'!$A:$I,3,0),0)</f>
        <v>0</v>
      </c>
      <c r="L203" s="46">
        <f>IFERROR(VLOOKUP($E203,'BASE DE DATOS'!$A:$I,3,0),0)</f>
        <v>0</v>
      </c>
      <c r="M203" s="70"/>
      <c r="N203" s="3"/>
    </row>
    <row r="204" spans="4:19" x14ac:dyDescent="0.25">
      <c r="D204" s="46" t="str">
        <f>IFERROR(VLOOKUP($E204,'BASE DE DATOS'!$A:$I,2,0)," ")</f>
        <v xml:space="preserve"> </v>
      </c>
      <c r="F204" s="46">
        <f>IFERROR(VLOOKUP($E217,'BASE DE DATOS'!$A:$I,3,0),0)</f>
        <v>0</v>
      </c>
      <c r="G204" s="46">
        <f>IFERROR(VLOOKUP($E204,'BASE DE DATOS'!$A:$I,3,0),0)</f>
        <v>0</v>
      </c>
      <c r="H204" s="46">
        <f>IFERROR(VLOOKUP($E204,'BASE DE DATOS'!$A:$I,3,0),0)</f>
        <v>0</v>
      </c>
      <c r="I204" s="46">
        <f>IFERROR(VLOOKUP($E204,'BASE DE DATOS'!$A:$I,3,0),0)</f>
        <v>0</v>
      </c>
      <c r="J204" s="46">
        <f>IFERROR(VLOOKUP($E204,'BASE DE DATOS'!$A:$I,3,0),0)</f>
        <v>0</v>
      </c>
      <c r="K204" s="46">
        <f>IFERROR(VLOOKUP($E463,'BASE DE DATOS'!$A:$I,3,0),0)</f>
        <v>0</v>
      </c>
      <c r="L204" s="46">
        <f>IFERROR(VLOOKUP($E204,'BASE DE DATOS'!$A:$I,3,0),0)</f>
        <v>0</v>
      </c>
      <c r="M204" s="70"/>
      <c r="N204" s="3"/>
    </row>
    <row r="205" spans="4:19" x14ac:dyDescent="0.25">
      <c r="D205" s="46" t="str">
        <f>IFERROR(VLOOKUP($E205,'BASE DE DATOS'!$A:$I,2,0)," ")</f>
        <v xml:space="preserve"> </v>
      </c>
      <c r="F205" s="46">
        <f>IFERROR(VLOOKUP($E218,'BASE DE DATOS'!$A:$I,3,0),0)</f>
        <v>0</v>
      </c>
      <c r="G205" s="46">
        <f>IFERROR(VLOOKUP($E205,'BASE DE DATOS'!$A:$I,3,0),0)</f>
        <v>0</v>
      </c>
      <c r="H205" s="46">
        <f>IFERROR(VLOOKUP($E205,'BASE DE DATOS'!$A:$I,3,0),0)</f>
        <v>0</v>
      </c>
      <c r="I205" s="46">
        <f>IFERROR(VLOOKUP($E205,'BASE DE DATOS'!$A:$I,3,0),0)</f>
        <v>0</v>
      </c>
      <c r="J205" s="46">
        <f>IFERROR(VLOOKUP($E205,'BASE DE DATOS'!$A:$I,3,0),0)</f>
        <v>0</v>
      </c>
      <c r="K205" s="46">
        <f>IFERROR(VLOOKUP($E464,'BASE DE DATOS'!$A:$I,3,0),0)</f>
        <v>0</v>
      </c>
      <c r="L205" s="46">
        <f>IFERROR(VLOOKUP($E205,'BASE DE DATOS'!$A:$I,3,0),0)</f>
        <v>0</v>
      </c>
      <c r="M205" s="70"/>
      <c r="N205" s="3"/>
      <c r="O205" s="14"/>
      <c r="P205" s="14"/>
      <c r="Q205" s="14"/>
      <c r="R205" s="14"/>
      <c r="S205" s="14"/>
    </row>
    <row r="206" spans="4:19" ht="23.25" customHeight="1" x14ac:dyDescent="0.25">
      <c r="D206" s="46" t="str">
        <f>IFERROR(VLOOKUP($E206,'BASE DE DATOS'!$A:$I,2,0)," ")</f>
        <v xml:space="preserve"> </v>
      </c>
      <c r="F206" s="46">
        <f>IFERROR(VLOOKUP($E219,'BASE DE DATOS'!$A:$I,3,0),0)</f>
        <v>0</v>
      </c>
      <c r="G206" s="46">
        <f>IFERROR(VLOOKUP($E206,'BASE DE DATOS'!$A:$I,3,0),0)</f>
        <v>0</v>
      </c>
      <c r="H206" s="46">
        <f>IFERROR(VLOOKUP($E206,'BASE DE DATOS'!$A:$I,3,0),0)</f>
        <v>0</v>
      </c>
      <c r="I206" s="46">
        <f>IFERROR(VLOOKUP($E206,'BASE DE DATOS'!$A:$I,3,0),0)</f>
        <v>0</v>
      </c>
      <c r="J206" s="46">
        <f>IFERROR(VLOOKUP($E206,'BASE DE DATOS'!$A:$I,3,0),0)</f>
        <v>0</v>
      </c>
      <c r="K206" s="46">
        <f>IFERROR(VLOOKUP($E465,'BASE DE DATOS'!$A:$I,3,0),0)</f>
        <v>0</v>
      </c>
      <c r="L206" s="46">
        <f>IFERROR(VLOOKUP($E206,'BASE DE DATOS'!$A:$I,3,0),0)</f>
        <v>0</v>
      </c>
      <c r="M206" s="70"/>
      <c r="N206" s="3"/>
    </row>
    <row r="207" spans="4:19" ht="15" customHeight="1" x14ac:dyDescent="0.25">
      <c r="D207" s="46" t="str">
        <f>IFERROR(VLOOKUP($E207,'BASE DE DATOS'!$A:$I,2,0)," ")</f>
        <v xml:space="preserve"> </v>
      </c>
      <c r="F207" s="46">
        <f>IFERROR(VLOOKUP($E220,'BASE DE DATOS'!$A:$I,3,0),0)</f>
        <v>0</v>
      </c>
      <c r="G207" s="46">
        <f>IFERROR(VLOOKUP($E207,'BASE DE DATOS'!$A:$I,3,0),0)</f>
        <v>0</v>
      </c>
      <c r="H207" s="46">
        <f>IFERROR(VLOOKUP($E207,'BASE DE DATOS'!$A:$I,3,0),0)</f>
        <v>0</v>
      </c>
      <c r="I207" s="46">
        <f>IFERROR(VLOOKUP($E207,'BASE DE DATOS'!$A:$I,3,0),0)</f>
        <v>0</v>
      </c>
      <c r="J207" s="46">
        <f>IFERROR(VLOOKUP($E207,'BASE DE DATOS'!$A:$I,3,0),0)</f>
        <v>0</v>
      </c>
      <c r="K207" s="46">
        <f>IFERROR(VLOOKUP($E466,'BASE DE DATOS'!$A:$I,3,0),0)</f>
        <v>0</v>
      </c>
      <c r="L207" s="46">
        <f>IFERROR(VLOOKUP($E207,'BASE DE DATOS'!$A:$I,3,0),0)</f>
        <v>0</v>
      </c>
      <c r="M207" s="70"/>
      <c r="N207" s="3"/>
    </row>
    <row r="208" spans="4:19" x14ac:dyDescent="0.25">
      <c r="D208" s="46" t="str">
        <f>IFERROR(VLOOKUP($E208,'BASE DE DATOS'!$A:$I,2,0)," ")</f>
        <v xml:space="preserve"> </v>
      </c>
      <c r="F208" s="46">
        <f>IFERROR(VLOOKUP($E221,'BASE DE DATOS'!$A:$I,3,0),0)</f>
        <v>0</v>
      </c>
      <c r="G208" s="46">
        <f>IFERROR(VLOOKUP($E208,'BASE DE DATOS'!$A:$I,3,0),0)</f>
        <v>0</v>
      </c>
      <c r="H208" s="46">
        <f>IFERROR(VLOOKUP($E208,'BASE DE DATOS'!$A:$I,3,0),0)</f>
        <v>0</v>
      </c>
      <c r="I208" s="46">
        <f>IFERROR(VLOOKUP($E208,'BASE DE DATOS'!$A:$I,3,0),0)</f>
        <v>0</v>
      </c>
      <c r="J208" s="46">
        <f>IFERROR(VLOOKUP($E208,'BASE DE DATOS'!$A:$I,3,0),0)</f>
        <v>0</v>
      </c>
      <c r="K208" s="46">
        <f>IFERROR(VLOOKUP($E467,'BASE DE DATOS'!$A:$I,3,0),0)</f>
        <v>0</v>
      </c>
      <c r="L208" s="46">
        <f>IFERROR(VLOOKUP($E208,'BASE DE DATOS'!$A:$I,3,0),0)</f>
        <v>0</v>
      </c>
      <c r="M208" s="70"/>
      <c r="N208" s="1"/>
    </row>
    <row r="209" spans="4:14" x14ac:dyDescent="0.25">
      <c r="D209" s="46" t="str">
        <f>IFERROR(VLOOKUP($E209,'BASE DE DATOS'!$A:$I,2,0)," ")</f>
        <v xml:space="preserve"> </v>
      </c>
      <c r="F209" s="46">
        <f>IFERROR(VLOOKUP($E222,'BASE DE DATOS'!$A:$I,3,0),0)</f>
        <v>0</v>
      </c>
      <c r="G209" s="46">
        <f>IFERROR(VLOOKUP($E209,'BASE DE DATOS'!$A:$I,3,0),0)</f>
        <v>0</v>
      </c>
      <c r="H209" s="46">
        <f>IFERROR(VLOOKUP($E209,'BASE DE DATOS'!$A:$I,3,0),0)</f>
        <v>0</v>
      </c>
      <c r="I209" s="46">
        <f>IFERROR(VLOOKUP($E209,'BASE DE DATOS'!$A:$I,3,0),0)</f>
        <v>0</v>
      </c>
      <c r="J209" s="46">
        <f>IFERROR(VLOOKUP($E209,'BASE DE DATOS'!$A:$I,3,0),0)</f>
        <v>0</v>
      </c>
      <c r="K209" s="46">
        <f>IFERROR(VLOOKUP($E468,'BASE DE DATOS'!$A:$I,3,0),0)</f>
        <v>0</v>
      </c>
      <c r="L209" s="46">
        <f>IFERROR(VLOOKUP($E209,'BASE DE DATOS'!$A:$I,3,0),0)</f>
        <v>0</v>
      </c>
      <c r="M209" s="70"/>
      <c r="N209" s="3"/>
    </row>
    <row r="210" spans="4:14" x14ac:dyDescent="0.25">
      <c r="D210" s="46" t="str">
        <f>IFERROR(VLOOKUP($E210,'BASE DE DATOS'!$A:$I,2,0)," ")</f>
        <v xml:space="preserve"> </v>
      </c>
      <c r="F210" s="46">
        <f>IFERROR(VLOOKUP($E223,'BASE DE DATOS'!$A:$I,3,0),0)</f>
        <v>0</v>
      </c>
      <c r="G210" s="46">
        <f>IFERROR(VLOOKUP($E210,'BASE DE DATOS'!$A:$I,3,0),0)</f>
        <v>0</v>
      </c>
      <c r="H210" s="46">
        <f>IFERROR(VLOOKUP($E210,'BASE DE DATOS'!$A:$I,3,0),0)</f>
        <v>0</v>
      </c>
      <c r="I210" s="46">
        <f>IFERROR(VLOOKUP($E210,'BASE DE DATOS'!$A:$I,3,0),0)</f>
        <v>0</v>
      </c>
      <c r="J210" s="46">
        <f>IFERROR(VLOOKUP($E210,'BASE DE DATOS'!$A:$I,3,0),0)</f>
        <v>0</v>
      </c>
      <c r="K210" s="46">
        <f>IFERROR(VLOOKUP($E469,'BASE DE DATOS'!$A:$I,3,0),0)</f>
        <v>0</v>
      </c>
      <c r="L210" s="46">
        <f>IFERROR(VLOOKUP($E210,'BASE DE DATOS'!$A:$I,3,0),0)</f>
        <v>0</v>
      </c>
      <c r="M210" s="70"/>
      <c r="N210" s="1"/>
    </row>
    <row r="211" spans="4:14" x14ac:dyDescent="0.25">
      <c r="D211" s="46" t="str">
        <f>IFERROR(VLOOKUP($E211,'BASE DE DATOS'!$A:$I,2,0)," ")</f>
        <v xml:space="preserve"> </v>
      </c>
      <c r="F211" s="46">
        <f>IFERROR(VLOOKUP($E224,'BASE DE DATOS'!$A:$I,3,0),0)</f>
        <v>0</v>
      </c>
      <c r="G211" s="46">
        <f>IFERROR(VLOOKUP($E211,'BASE DE DATOS'!$A:$I,3,0),0)</f>
        <v>0</v>
      </c>
      <c r="H211" s="46">
        <f>IFERROR(VLOOKUP($E211,'BASE DE DATOS'!$A:$I,3,0),0)</f>
        <v>0</v>
      </c>
      <c r="I211" s="46">
        <f>IFERROR(VLOOKUP($E211,'BASE DE DATOS'!$A:$I,3,0),0)</f>
        <v>0</v>
      </c>
      <c r="J211" s="46">
        <f>IFERROR(VLOOKUP($E211,'BASE DE DATOS'!$A:$I,3,0),0)</f>
        <v>0</v>
      </c>
      <c r="K211" s="46">
        <f>IFERROR(VLOOKUP($E470,'BASE DE DATOS'!$A:$I,3,0),0)</f>
        <v>0</v>
      </c>
      <c r="L211" s="46">
        <f>IFERROR(VLOOKUP($E211,'BASE DE DATOS'!$A:$I,3,0),0)</f>
        <v>0</v>
      </c>
      <c r="M211" s="70"/>
      <c r="N211" s="3"/>
    </row>
    <row r="212" spans="4:14" ht="15" customHeight="1" x14ac:dyDescent="0.25">
      <c r="D212" s="46" t="str">
        <f>IFERROR(VLOOKUP($E212,'BASE DE DATOS'!$A:$I,2,0)," ")</f>
        <v xml:space="preserve"> </v>
      </c>
      <c r="F212" s="46">
        <f>IFERROR(VLOOKUP($E225,'BASE DE DATOS'!$A:$I,3,0),0)</f>
        <v>0</v>
      </c>
      <c r="G212" s="46">
        <f>IFERROR(VLOOKUP($E212,'BASE DE DATOS'!$A:$I,3,0),0)</f>
        <v>0</v>
      </c>
      <c r="H212" s="46">
        <f>IFERROR(VLOOKUP($E212,'BASE DE DATOS'!$A:$I,3,0),0)</f>
        <v>0</v>
      </c>
      <c r="I212" s="46">
        <f>IFERROR(VLOOKUP($E212,'BASE DE DATOS'!$A:$I,3,0),0)</f>
        <v>0</v>
      </c>
      <c r="J212" s="46">
        <f>IFERROR(VLOOKUP($E212,'BASE DE DATOS'!$A:$I,3,0),0)</f>
        <v>0</v>
      </c>
      <c r="K212" s="46">
        <f>IFERROR(VLOOKUP($E471,'BASE DE DATOS'!$A:$I,3,0),0)</f>
        <v>0</v>
      </c>
      <c r="L212" s="46">
        <f>IFERROR(VLOOKUP($E212,'BASE DE DATOS'!$A:$I,3,0),0)</f>
        <v>0</v>
      </c>
      <c r="M212" s="70"/>
      <c r="N212" s="3"/>
    </row>
    <row r="213" spans="4:14" ht="15" customHeight="1" x14ac:dyDescent="0.25">
      <c r="D213" s="46" t="str">
        <f>IFERROR(VLOOKUP($E213,'BASE DE DATOS'!$A:$I,2,0)," ")</f>
        <v xml:space="preserve"> </v>
      </c>
      <c r="F213" s="46">
        <f>IFERROR(VLOOKUP($E226,'BASE DE DATOS'!$A:$I,3,0),0)</f>
        <v>0</v>
      </c>
      <c r="G213" s="46">
        <f>IFERROR(VLOOKUP($E213,'BASE DE DATOS'!$A:$I,3,0),0)</f>
        <v>0</v>
      </c>
      <c r="H213" s="46">
        <f>IFERROR(VLOOKUP($E213,'BASE DE DATOS'!$A:$I,3,0),0)</f>
        <v>0</v>
      </c>
      <c r="I213" s="46">
        <f>IFERROR(VLOOKUP($E213,'BASE DE DATOS'!$A:$I,3,0),0)</f>
        <v>0</v>
      </c>
      <c r="J213" s="46">
        <f>IFERROR(VLOOKUP($E213,'BASE DE DATOS'!$A:$I,3,0),0)</f>
        <v>0</v>
      </c>
      <c r="K213" s="46">
        <f>IFERROR(VLOOKUP($E472,'BASE DE DATOS'!$A:$I,3,0),0)</f>
        <v>0</v>
      </c>
      <c r="L213" s="46">
        <f>IFERROR(VLOOKUP($E213,'BASE DE DATOS'!$A:$I,3,0),0)</f>
        <v>0</v>
      </c>
      <c r="M213" s="70"/>
      <c r="N213" s="3"/>
    </row>
    <row r="214" spans="4:14" x14ac:dyDescent="0.25">
      <c r="D214" s="46" t="str">
        <f>IFERROR(VLOOKUP($E214,'BASE DE DATOS'!$A:$I,2,0)," ")</f>
        <v xml:space="preserve"> </v>
      </c>
      <c r="F214" s="46">
        <f>IFERROR(VLOOKUP($E227,'BASE DE DATOS'!$A:$I,3,0),0)</f>
        <v>0</v>
      </c>
      <c r="G214" s="46">
        <f>IFERROR(VLOOKUP($E214,'BASE DE DATOS'!$A:$I,3,0),0)</f>
        <v>0</v>
      </c>
      <c r="H214" s="46">
        <f>IFERROR(VLOOKUP($E214,'BASE DE DATOS'!$A:$I,3,0),0)</f>
        <v>0</v>
      </c>
      <c r="I214" s="46">
        <f>IFERROR(VLOOKUP($E214,'BASE DE DATOS'!$A:$I,3,0),0)</f>
        <v>0</v>
      </c>
      <c r="J214" s="46">
        <f>IFERROR(VLOOKUP($E214,'BASE DE DATOS'!$A:$I,3,0),0)</f>
        <v>0</v>
      </c>
      <c r="K214" s="46">
        <f>IFERROR(VLOOKUP($E473,'BASE DE DATOS'!$A:$I,3,0),0)</f>
        <v>0</v>
      </c>
      <c r="L214" s="46">
        <f>IFERROR(VLOOKUP($E214,'BASE DE DATOS'!$A:$I,3,0),0)</f>
        <v>0</v>
      </c>
      <c r="M214" s="70"/>
      <c r="N214" s="3"/>
    </row>
    <row r="215" spans="4:14" x14ac:dyDescent="0.25">
      <c r="D215" s="46" t="str">
        <f>IFERROR(VLOOKUP($E215,'BASE DE DATOS'!$A:$I,2,0)," ")</f>
        <v xml:space="preserve"> </v>
      </c>
      <c r="F215" s="46">
        <f>IFERROR(VLOOKUP($E228,'BASE DE DATOS'!$A:$I,3,0),0)</f>
        <v>0</v>
      </c>
      <c r="G215" s="46">
        <f>IFERROR(VLOOKUP($E215,'BASE DE DATOS'!$A:$I,3,0),0)</f>
        <v>0</v>
      </c>
      <c r="H215" s="46">
        <f>IFERROR(VLOOKUP($E215,'BASE DE DATOS'!$A:$I,3,0),0)</f>
        <v>0</v>
      </c>
      <c r="I215" s="46">
        <f>IFERROR(VLOOKUP($E215,'BASE DE DATOS'!$A:$I,3,0),0)</f>
        <v>0</v>
      </c>
      <c r="J215" s="46">
        <f>IFERROR(VLOOKUP($E215,'BASE DE DATOS'!$A:$I,3,0),0)</f>
        <v>0</v>
      </c>
      <c r="K215" s="46">
        <f>IFERROR(VLOOKUP($E474,'BASE DE DATOS'!$A:$I,3,0),0)</f>
        <v>0</v>
      </c>
      <c r="L215" s="46">
        <f>IFERROR(VLOOKUP($E215,'BASE DE DATOS'!$A:$I,3,0),0)</f>
        <v>0</v>
      </c>
      <c r="M215" s="70"/>
      <c r="N215" s="3"/>
    </row>
    <row r="216" spans="4:14" x14ac:dyDescent="0.25">
      <c r="D216" s="46" t="str">
        <f>IFERROR(VLOOKUP($E216,'BASE DE DATOS'!$A:$I,2,0)," ")</f>
        <v xml:space="preserve"> </v>
      </c>
      <c r="F216" s="46">
        <f>IFERROR(VLOOKUP($E229,'BASE DE DATOS'!$A:$I,3,0),0)</f>
        <v>0</v>
      </c>
      <c r="G216" s="46">
        <f>IFERROR(VLOOKUP($E216,'BASE DE DATOS'!$A:$I,3,0),0)</f>
        <v>0</v>
      </c>
      <c r="H216" s="46">
        <f>IFERROR(VLOOKUP($E216,'BASE DE DATOS'!$A:$I,3,0),0)</f>
        <v>0</v>
      </c>
      <c r="I216" s="46">
        <f>IFERROR(VLOOKUP($E216,'BASE DE DATOS'!$A:$I,3,0),0)</f>
        <v>0</v>
      </c>
      <c r="J216" s="46">
        <f>IFERROR(VLOOKUP($E216,'BASE DE DATOS'!$A:$I,3,0),0)</f>
        <v>0</v>
      </c>
      <c r="K216" s="46">
        <f>IFERROR(VLOOKUP($E475,'BASE DE DATOS'!$A:$I,3,0),0)</f>
        <v>0</v>
      </c>
      <c r="L216" s="46">
        <f>IFERROR(VLOOKUP($E216,'BASE DE DATOS'!$A:$I,3,0),0)</f>
        <v>0</v>
      </c>
      <c r="M216" s="70"/>
      <c r="N216" s="3"/>
    </row>
    <row r="217" spans="4:14" x14ac:dyDescent="0.25">
      <c r="D217" s="46" t="str">
        <f>IFERROR(VLOOKUP($E217,'BASE DE DATOS'!$A:$I,2,0)," ")</f>
        <v xml:space="preserve"> </v>
      </c>
      <c r="F217" s="46">
        <f>IFERROR(VLOOKUP($E230,'BASE DE DATOS'!$A:$I,3,0),0)</f>
        <v>0</v>
      </c>
      <c r="G217" s="46">
        <f>IFERROR(VLOOKUP($E217,'BASE DE DATOS'!$A:$I,3,0),0)</f>
        <v>0</v>
      </c>
      <c r="H217" s="46">
        <f>IFERROR(VLOOKUP($E217,'BASE DE DATOS'!$A:$I,3,0),0)</f>
        <v>0</v>
      </c>
      <c r="I217" s="46">
        <f>IFERROR(VLOOKUP($E217,'BASE DE DATOS'!$A:$I,3,0),0)</f>
        <v>0</v>
      </c>
      <c r="J217" s="46">
        <f>IFERROR(VLOOKUP($E217,'BASE DE DATOS'!$A:$I,3,0),0)</f>
        <v>0</v>
      </c>
      <c r="K217" s="46">
        <f>IFERROR(VLOOKUP($E476,'BASE DE DATOS'!$A:$I,3,0),0)</f>
        <v>0</v>
      </c>
      <c r="L217" s="46">
        <f>IFERROR(VLOOKUP($E217,'BASE DE DATOS'!$A:$I,3,0),0)</f>
        <v>0</v>
      </c>
      <c r="M217" s="70"/>
      <c r="N217" s="3"/>
    </row>
    <row r="218" spans="4:14" x14ac:dyDescent="0.25">
      <c r="D218" s="46" t="str">
        <f>IFERROR(VLOOKUP($E218,'BASE DE DATOS'!$A:$I,2,0)," ")</f>
        <v xml:space="preserve"> </v>
      </c>
      <c r="F218" s="46">
        <f>IFERROR(VLOOKUP($E231,'BASE DE DATOS'!$A:$I,3,0),0)</f>
        <v>0</v>
      </c>
      <c r="G218" s="46">
        <f>IFERROR(VLOOKUP($E218,'BASE DE DATOS'!$A:$I,3,0),0)</f>
        <v>0</v>
      </c>
      <c r="H218" s="46">
        <f>IFERROR(VLOOKUP($E218,'BASE DE DATOS'!$A:$I,3,0),0)</f>
        <v>0</v>
      </c>
      <c r="I218" s="46">
        <f>IFERROR(VLOOKUP($E218,'BASE DE DATOS'!$A:$I,3,0),0)</f>
        <v>0</v>
      </c>
      <c r="J218" s="46">
        <f>IFERROR(VLOOKUP($E218,'BASE DE DATOS'!$A:$I,3,0),0)</f>
        <v>0</v>
      </c>
      <c r="K218" s="46">
        <f>IFERROR(VLOOKUP($E477,'BASE DE DATOS'!$A:$I,3,0),0)</f>
        <v>0</v>
      </c>
      <c r="L218" s="46">
        <f>IFERROR(VLOOKUP($E218,'BASE DE DATOS'!$A:$I,3,0),0)</f>
        <v>0</v>
      </c>
      <c r="M218" s="70"/>
      <c r="N218" s="3"/>
    </row>
    <row r="219" spans="4:14" x14ac:dyDescent="0.25">
      <c r="D219" s="46" t="str">
        <f>IFERROR(VLOOKUP($E219,'BASE DE DATOS'!$A:$I,2,0)," ")</f>
        <v xml:space="preserve"> </v>
      </c>
      <c r="F219" s="46">
        <f>IFERROR(VLOOKUP($E232,'BASE DE DATOS'!$A:$I,3,0),0)</f>
        <v>0</v>
      </c>
      <c r="G219" s="46">
        <f>IFERROR(VLOOKUP($E219,'BASE DE DATOS'!$A:$I,3,0),0)</f>
        <v>0</v>
      </c>
      <c r="H219" s="46">
        <f>IFERROR(VLOOKUP($E219,'BASE DE DATOS'!$A:$I,3,0),0)</f>
        <v>0</v>
      </c>
      <c r="I219" s="46">
        <f>IFERROR(VLOOKUP($E219,'BASE DE DATOS'!$A:$I,3,0),0)</f>
        <v>0</v>
      </c>
      <c r="J219" s="46">
        <f>IFERROR(VLOOKUP($E219,'BASE DE DATOS'!$A:$I,3,0),0)</f>
        <v>0</v>
      </c>
      <c r="K219" s="46">
        <f>IFERROR(VLOOKUP($E478,'BASE DE DATOS'!$A:$I,3,0),0)</f>
        <v>0</v>
      </c>
      <c r="L219" s="46">
        <f>IFERROR(VLOOKUP($E219,'BASE DE DATOS'!$A:$I,3,0),0)</f>
        <v>0</v>
      </c>
      <c r="M219" s="70"/>
      <c r="N219" s="3"/>
    </row>
    <row r="220" spans="4:14" x14ac:dyDescent="0.25">
      <c r="D220" s="46" t="str">
        <f>IFERROR(VLOOKUP($E220,'BASE DE DATOS'!$A:$I,2,0)," ")</f>
        <v xml:space="preserve"> </v>
      </c>
      <c r="F220" s="46">
        <f>IFERROR(VLOOKUP($E233,'BASE DE DATOS'!$A:$I,3,0),0)</f>
        <v>0</v>
      </c>
      <c r="G220" s="46">
        <f>IFERROR(VLOOKUP($E220,'BASE DE DATOS'!$A:$I,3,0),0)</f>
        <v>0</v>
      </c>
      <c r="H220" s="46">
        <f>IFERROR(VLOOKUP($E220,'BASE DE DATOS'!$A:$I,3,0),0)</f>
        <v>0</v>
      </c>
      <c r="I220" s="46">
        <f>IFERROR(VLOOKUP($E220,'BASE DE DATOS'!$A:$I,3,0),0)</f>
        <v>0</v>
      </c>
      <c r="J220" s="46">
        <f>IFERROR(VLOOKUP($E220,'BASE DE DATOS'!$A:$I,3,0),0)</f>
        <v>0</v>
      </c>
      <c r="K220" s="46">
        <f>IFERROR(VLOOKUP($E479,'BASE DE DATOS'!$A:$I,3,0),0)</f>
        <v>0</v>
      </c>
      <c r="L220" s="46">
        <f>IFERROR(VLOOKUP($E220,'BASE DE DATOS'!$A:$I,3,0),0)</f>
        <v>0</v>
      </c>
      <c r="M220" s="70"/>
      <c r="N220" s="3"/>
    </row>
    <row r="221" spans="4:14" x14ac:dyDescent="0.25">
      <c r="D221" s="46" t="str">
        <f>IFERROR(VLOOKUP($E221,'BASE DE DATOS'!$A:$I,2,0)," ")</f>
        <v xml:space="preserve"> </v>
      </c>
      <c r="F221" s="46">
        <f>IFERROR(VLOOKUP($E234,'BASE DE DATOS'!$A:$I,3,0),0)</f>
        <v>0</v>
      </c>
      <c r="G221" s="46">
        <f>IFERROR(VLOOKUP($E221,'BASE DE DATOS'!$A:$I,3,0),0)</f>
        <v>0</v>
      </c>
      <c r="H221" s="46">
        <f>IFERROR(VLOOKUP($E221,'BASE DE DATOS'!$A:$I,3,0),0)</f>
        <v>0</v>
      </c>
      <c r="I221" s="46">
        <f>IFERROR(VLOOKUP($E221,'BASE DE DATOS'!$A:$I,3,0),0)</f>
        <v>0</v>
      </c>
      <c r="J221" s="46">
        <f>IFERROR(VLOOKUP($E221,'BASE DE DATOS'!$A:$I,3,0),0)</f>
        <v>0</v>
      </c>
      <c r="K221" s="46">
        <f>IFERROR(VLOOKUP($E480,'BASE DE DATOS'!$A:$I,3,0),0)</f>
        <v>0</v>
      </c>
      <c r="L221" s="46">
        <f>IFERROR(VLOOKUP($E221,'BASE DE DATOS'!$A:$I,3,0),0)</f>
        <v>0</v>
      </c>
      <c r="M221" s="70"/>
      <c r="N221" s="3"/>
    </row>
    <row r="222" spans="4:14" x14ac:dyDescent="0.25">
      <c r="D222" s="46" t="str">
        <f>IFERROR(VLOOKUP($E222,'BASE DE DATOS'!$A:$I,2,0)," ")</f>
        <v xml:space="preserve"> </v>
      </c>
      <c r="F222" s="46">
        <f>IFERROR(VLOOKUP($E235,'BASE DE DATOS'!$A:$I,3,0),0)</f>
        <v>0</v>
      </c>
      <c r="G222" s="46">
        <f>IFERROR(VLOOKUP($E222,'BASE DE DATOS'!$A:$I,3,0),0)</f>
        <v>0</v>
      </c>
      <c r="H222" s="46">
        <f>IFERROR(VLOOKUP($E222,'BASE DE DATOS'!$A:$I,3,0),0)</f>
        <v>0</v>
      </c>
      <c r="I222" s="46">
        <f>IFERROR(VLOOKUP($E222,'BASE DE DATOS'!$A:$I,3,0),0)</f>
        <v>0</v>
      </c>
      <c r="J222" s="46">
        <f>IFERROR(VLOOKUP($E222,'BASE DE DATOS'!$A:$I,3,0),0)</f>
        <v>0</v>
      </c>
      <c r="K222" s="46">
        <f>IFERROR(VLOOKUP($E481,'BASE DE DATOS'!$A:$I,3,0),0)</f>
        <v>0</v>
      </c>
      <c r="L222" s="46">
        <f>IFERROR(VLOOKUP($E222,'BASE DE DATOS'!$A:$I,3,0),0)</f>
        <v>0</v>
      </c>
      <c r="M222" s="70"/>
      <c r="N222" s="3"/>
    </row>
    <row r="223" spans="4:14" x14ac:dyDescent="0.25">
      <c r="D223" s="46" t="str">
        <f>IFERROR(VLOOKUP($E223,'BASE DE DATOS'!$A:$I,2,0)," ")</f>
        <v xml:space="preserve"> </v>
      </c>
      <c r="F223" s="46">
        <f>IFERROR(VLOOKUP($E236,'BASE DE DATOS'!$A:$I,3,0),0)</f>
        <v>0</v>
      </c>
      <c r="G223" s="46">
        <f>IFERROR(VLOOKUP($E223,'BASE DE DATOS'!$A:$I,3,0),0)</f>
        <v>0</v>
      </c>
      <c r="H223" s="46">
        <f>IFERROR(VLOOKUP($E223,'BASE DE DATOS'!$A:$I,3,0),0)</f>
        <v>0</v>
      </c>
      <c r="I223" s="46">
        <f>IFERROR(VLOOKUP($E223,'BASE DE DATOS'!$A:$I,3,0),0)</f>
        <v>0</v>
      </c>
      <c r="J223" s="46">
        <f>IFERROR(VLOOKUP($E223,'BASE DE DATOS'!$A:$I,3,0),0)</f>
        <v>0</v>
      </c>
      <c r="K223" s="46">
        <f>IFERROR(VLOOKUP($E482,'BASE DE DATOS'!$A:$I,3,0),0)</f>
        <v>0</v>
      </c>
      <c r="L223" s="46">
        <f>IFERROR(VLOOKUP($E223,'BASE DE DATOS'!$A:$I,3,0),0)</f>
        <v>0</v>
      </c>
      <c r="M223" s="70"/>
      <c r="N223" s="3"/>
    </row>
    <row r="224" spans="4:14" x14ac:dyDescent="0.25">
      <c r="D224" s="46" t="str">
        <f>IFERROR(VLOOKUP($E224,'BASE DE DATOS'!$A:$I,2,0)," ")</f>
        <v xml:space="preserve"> </v>
      </c>
      <c r="F224" s="46">
        <f>IFERROR(VLOOKUP($E237,'BASE DE DATOS'!$A:$I,3,0),0)</f>
        <v>0</v>
      </c>
      <c r="G224" s="46">
        <f>IFERROR(VLOOKUP($E224,'BASE DE DATOS'!$A:$I,3,0),0)</f>
        <v>0</v>
      </c>
      <c r="H224" s="46">
        <f>IFERROR(VLOOKUP($E224,'BASE DE DATOS'!$A:$I,3,0),0)</f>
        <v>0</v>
      </c>
      <c r="I224" s="46">
        <f>IFERROR(VLOOKUP($E224,'BASE DE DATOS'!$A:$I,3,0),0)</f>
        <v>0</v>
      </c>
      <c r="J224" s="46">
        <f>IFERROR(VLOOKUP($E224,'BASE DE DATOS'!$A:$I,3,0),0)</f>
        <v>0</v>
      </c>
      <c r="K224" s="46">
        <f>IFERROR(VLOOKUP($E483,'BASE DE DATOS'!$A:$I,3,0),0)</f>
        <v>0</v>
      </c>
      <c r="L224" s="46">
        <f>IFERROR(VLOOKUP($E224,'BASE DE DATOS'!$A:$I,3,0),0)</f>
        <v>0</v>
      </c>
      <c r="M224" s="70"/>
      <c r="N224" s="3"/>
    </row>
    <row r="225" spans="4:32" x14ac:dyDescent="0.25">
      <c r="D225" s="46" t="str">
        <f>IFERROR(VLOOKUP($E225,'BASE DE DATOS'!$A:$I,2,0)," ")</f>
        <v xml:space="preserve"> </v>
      </c>
      <c r="F225" s="46">
        <f>IFERROR(VLOOKUP($E238,'BASE DE DATOS'!$A:$I,3,0),0)</f>
        <v>0</v>
      </c>
      <c r="G225" s="46">
        <f>IFERROR(VLOOKUP($E225,'BASE DE DATOS'!$A:$I,3,0),0)</f>
        <v>0</v>
      </c>
      <c r="H225" s="46">
        <f>IFERROR(VLOOKUP($E225,'BASE DE DATOS'!$A:$I,3,0),0)</f>
        <v>0</v>
      </c>
      <c r="I225" s="46">
        <f>IFERROR(VLOOKUP($E225,'BASE DE DATOS'!$A:$I,3,0),0)</f>
        <v>0</v>
      </c>
      <c r="J225" s="46">
        <f>IFERROR(VLOOKUP($E225,'BASE DE DATOS'!$A:$I,3,0),0)</f>
        <v>0</v>
      </c>
      <c r="K225" s="46">
        <f>IFERROR(VLOOKUP($E484,'BASE DE DATOS'!$A:$I,3,0),0)</f>
        <v>0</v>
      </c>
      <c r="L225" s="46">
        <f>IFERROR(VLOOKUP($E225,'BASE DE DATOS'!$A:$I,3,0),0)</f>
        <v>0</v>
      </c>
      <c r="M225" s="70"/>
      <c r="N225" s="3"/>
    </row>
    <row r="226" spans="4:32" x14ac:dyDescent="0.25">
      <c r="D226" s="46" t="str">
        <f>IFERROR(VLOOKUP($E226,'BASE DE DATOS'!$A:$I,2,0)," ")</f>
        <v xml:space="preserve"> </v>
      </c>
      <c r="F226" s="46">
        <f>IFERROR(VLOOKUP($E239,'BASE DE DATOS'!$A:$I,3,0),0)</f>
        <v>0</v>
      </c>
      <c r="G226" s="46">
        <f>IFERROR(VLOOKUP($E226,'BASE DE DATOS'!$A:$I,3,0),0)</f>
        <v>0</v>
      </c>
      <c r="H226" s="46">
        <f>IFERROR(VLOOKUP($E226,'BASE DE DATOS'!$A:$I,3,0),0)</f>
        <v>0</v>
      </c>
      <c r="I226" s="46">
        <f>IFERROR(VLOOKUP($E226,'BASE DE DATOS'!$A:$I,3,0),0)</f>
        <v>0</v>
      </c>
      <c r="J226" s="46">
        <f>IFERROR(VLOOKUP($E226,'BASE DE DATOS'!$A:$I,3,0),0)</f>
        <v>0</v>
      </c>
      <c r="K226" s="46">
        <f>IFERROR(VLOOKUP($E485,'BASE DE DATOS'!$A:$I,3,0),0)</f>
        <v>0</v>
      </c>
      <c r="L226" s="46">
        <f>IFERROR(VLOOKUP($E226,'BASE DE DATOS'!$A:$I,3,0),0)</f>
        <v>0</v>
      </c>
      <c r="M226" s="70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4:32" x14ac:dyDescent="0.25">
      <c r="D227" s="46" t="str">
        <f>IFERROR(VLOOKUP($E227,'BASE DE DATOS'!$A:$I,2,0)," ")</f>
        <v xml:space="preserve"> </v>
      </c>
      <c r="F227" s="46">
        <f>IFERROR(VLOOKUP($E240,'BASE DE DATOS'!$A:$I,3,0),0)</f>
        <v>0</v>
      </c>
      <c r="G227" s="46">
        <f>IFERROR(VLOOKUP($E227,'BASE DE DATOS'!$A:$I,3,0),0)</f>
        <v>0</v>
      </c>
      <c r="H227" s="46">
        <f>IFERROR(VLOOKUP($E227,'BASE DE DATOS'!$A:$I,3,0),0)</f>
        <v>0</v>
      </c>
      <c r="I227" s="46">
        <f>IFERROR(VLOOKUP($E227,'BASE DE DATOS'!$A:$I,3,0),0)</f>
        <v>0</v>
      </c>
      <c r="J227" s="46">
        <f>IFERROR(VLOOKUP($E227,'BASE DE DATOS'!$A:$I,3,0),0)</f>
        <v>0</v>
      </c>
      <c r="K227" s="46">
        <f>IFERROR(VLOOKUP($E486,'BASE DE DATOS'!$A:$I,3,0),0)</f>
        <v>0</v>
      </c>
      <c r="L227" s="46">
        <f>IFERROR(VLOOKUP($E227,'BASE DE DATOS'!$A:$I,3,0),0)</f>
        <v>0</v>
      </c>
      <c r="M227" s="70"/>
      <c r="N227" s="3"/>
    </row>
    <row r="228" spans="4:32" x14ac:dyDescent="0.25">
      <c r="D228" s="46" t="str">
        <f>IFERROR(VLOOKUP($E228,'BASE DE DATOS'!$A:$I,2,0)," ")</f>
        <v xml:space="preserve"> </v>
      </c>
      <c r="F228" s="46">
        <f>IFERROR(VLOOKUP($E241,'BASE DE DATOS'!$A:$I,3,0),0)</f>
        <v>0</v>
      </c>
      <c r="G228" s="46">
        <f>IFERROR(VLOOKUP($E228,'BASE DE DATOS'!$A:$I,3,0),0)</f>
        <v>0</v>
      </c>
      <c r="H228" s="46">
        <f>IFERROR(VLOOKUP($E228,'BASE DE DATOS'!$A:$I,3,0),0)</f>
        <v>0</v>
      </c>
      <c r="I228" s="46">
        <f>IFERROR(VLOOKUP($E228,'BASE DE DATOS'!$A:$I,3,0),0)</f>
        <v>0</v>
      </c>
      <c r="J228" s="46">
        <f>IFERROR(VLOOKUP($E228,'BASE DE DATOS'!$A:$I,3,0),0)</f>
        <v>0</v>
      </c>
      <c r="K228" s="46">
        <f>IFERROR(VLOOKUP($E487,'BASE DE DATOS'!$A:$I,3,0),0)</f>
        <v>0</v>
      </c>
      <c r="L228" s="46">
        <f>IFERROR(VLOOKUP($E228,'BASE DE DATOS'!$A:$I,3,0),0)</f>
        <v>0</v>
      </c>
      <c r="M228" s="70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4:32" x14ac:dyDescent="0.25">
      <c r="D229" s="46" t="str">
        <f>IFERROR(VLOOKUP($E229,'BASE DE DATOS'!$A:$I,2,0)," ")</f>
        <v xml:space="preserve"> </v>
      </c>
      <c r="F229" s="46">
        <f>IFERROR(VLOOKUP($E242,'BASE DE DATOS'!$A:$I,3,0),0)</f>
        <v>0</v>
      </c>
      <c r="G229" s="46">
        <f>IFERROR(VLOOKUP($E229,'BASE DE DATOS'!$A:$I,3,0),0)</f>
        <v>0</v>
      </c>
      <c r="H229" s="46">
        <f>IFERROR(VLOOKUP($E229,'BASE DE DATOS'!$A:$I,3,0),0)</f>
        <v>0</v>
      </c>
      <c r="I229" s="46">
        <f>IFERROR(VLOOKUP($E229,'BASE DE DATOS'!$A:$I,3,0),0)</f>
        <v>0</v>
      </c>
      <c r="J229" s="46">
        <f>IFERROR(VLOOKUP($E229,'BASE DE DATOS'!$A:$I,3,0),0)</f>
        <v>0</v>
      </c>
      <c r="K229" s="46">
        <f>IFERROR(VLOOKUP($E488,'BASE DE DATOS'!$A:$I,3,0),0)</f>
        <v>0</v>
      </c>
      <c r="L229" s="46">
        <f>IFERROR(VLOOKUP($E229,'BASE DE DATOS'!$A:$I,3,0),0)</f>
        <v>0</v>
      </c>
      <c r="M229" s="70"/>
      <c r="N229" s="3"/>
    </row>
    <row r="230" spans="4:32" ht="13.5" customHeight="1" x14ac:dyDescent="0.25">
      <c r="D230" s="46" t="str">
        <f>IFERROR(VLOOKUP($E230,'BASE DE DATOS'!$A:$I,2,0)," ")</f>
        <v xml:space="preserve"> </v>
      </c>
      <c r="F230" s="46">
        <f>IFERROR(VLOOKUP($E243,'BASE DE DATOS'!$A:$I,3,0),0)</f>
        <v>0</v>
      </c>
      <c r="G230" s="46">
        <f>IFERROR(VLOOKUP($E230,'BASE DE DATOS'!$A:$I,3,0),0)</f>
        <v>0</v>
      </c>
      <c r="H230" s="46">
        <f>IFERROR(VLOOKUP($E230,'BASE DE DATOS'!$A:$I,3,0),0)</f>
        <v>0</v>
      </c>
      <c r="I230" s="46">
        <f>IFERROR(VLOOKUP($E230,'BASE DE DATOS'!$A:$I,3,0),0)</f>
        <v>0</v>
      </c>
      <c r="J230" s="46">
        <f>IFERROR(VLOOKUP($E230,'BASE DE DATOS'!$A:$I,3,0),0)</f>
        <v>0</v>
      </c>
      <c r="K230" s="46">
        <f>IFERROR(VLOOKUP($E489,'BASE DE DATOS'!$A:$I,3,0),0)</f>
        <v>0</v>
      </c>
      <c r="L230" s="46">
        <f>IFERROR(VLOOKUP($E230,'BASE DE DATOS'!$A:$I,3,0),0)</f>
        <v>0</v>
      </c>
      <c r="M230" s="70"/>
      <c r="N230" s="3"/>
    </row>
    <row r="231" spans="4:32" ht="13.5" customHeight="1" x14ac:dyDescent="0.25">
      <c r="D231" s="46" t="str">
        <f>IFERROR(VLOOKUP($E231,'BASE DE DATOS'!$A:$I,2,0)," ")</f>
        <v xml:space="preserve"> </v>
      </c>
      <c r="F231" s="46">
        <f>IFERROR(VLOOKUP($E244,'BASE DE DATOS'!$A:$I,3,0),0)</f>
        <v>0</v>
      </c>
      <c r="G231" s="46">
        <f>IFERROR(VLOOKUP($E231,'BASE DE DATOS'!$A:$I,3,0),0)</f>
        <v>0</v>
      </c>
      <c r="H231" s="46">
        <f>IFERROR(VLOOKUP($E231,'BASE DE DATOS'!$A:$I,3,0),0)</f>
        <v>0</v>
      </c>
      <c r="I231" s="46">
        <f>IFERROR(VLOOKUP($E231,'BASE DE DATOS'!$A:$I,3,0),0)</f>
        <v>0</v>
      </c>
      <c r="J231" s="46">
        <f>IFERROR(VLOOKUP($E231,'BASE DE DATOS'!$A:$I,3,0),0)</f>
        <v>0</v>
      </c>
      <c r="K231" s="46">
        <f>IFERROR(VLOOKUP($E490,'BASE DE DATOS'!$A:$I,3,0),0)</f>
        <v>0</v>
      </c>
      <c r="L231" s="46">
        <f>IFERROR(VLOOKUP($E231,'BASE DE DATOS'!$A:$I,3,0),0)</f>
        <v>0</v>
      </c>
      <c r="M231" s="70"/>
      <c r="N231" s="3"/>
    </row>
    <row r="232" spans="4:32" ht="13.5" customHeight="1" x14ac:dyDescent="0.25">
      <c r="D232" s="46" t="str">
        <f>IFERROR(VLOOKUP($E232,'BASE DE DATOS'!$A:$I,2,0)," ")</f>
        <v xml:space="preserve"> </v>
      </c>
      <c r="F232" s="46">
        <f>IFERROR(VLOOKUP($E245,'BASE DE DATOS'!$A:$I,3,0),0)</f>
        <v>0</v>
      </c>
      <c r="G232" s="46">
        <f>IFERROR(VLOOKUP($E232,'BASE DE DATOS'!$A:$I,3,0),0)</f>
        <v>0</v>
      </c>
      <c r="H232" s="46">
        <f>IFERROR(VLOOKUP($E232,'BASE DE DATOS'!$A:$I,3,0),0)</f>
        <v>0</v>
      </c>
      <c r="I232" s="46">
        <f>IFERROR(VLOOKUP($E232,'BASE DE DATOS'!$A:$I,3,0),0)</f>
        <v>0</v>
      </c>
      <c r="J232" s="46">
        <f>IFERROR(VLOOKUP($E232,'BASE DE DATOS'!$A:$I,3,0),0)</f>
        <v>0</v>
      </c>
      <c r="K232" s="46">
        <f>IFERROR(VLOOKUP($E491,'BASE DE DATOS'!$A:$I,3,0),0)</f>
        <v>0</v>
      </c>
      <c r="L232" s="46">
        <f>IFERROR(VLOOKUP($E232,'BASE DE DATOS'!$A:$I,3,0),0)</f>
        <v>0</v>
      </c>
      <c r="M232" s="70"/>
      <c r="N232" s="3"/>
    </row>
    <row r="233" spans="4:32" x14ac:dyDescent="0.25">
      <c r="D233" s="46" t="str">
        <f>IFERROR(VLOOKUP($E233,'BASE DE DATOS'!$A:$I,2,0)," ")</f>
        <v xml:space="preserve"> </v>
      </c>
      <c r="F233" s="46">
        <f>IFERROR(VLOOKUP($E246,'BASE DE DATOS'!$A:$I,3,0),0)</f>
        <v>0</v>
      </c>
      <c r="G233" s="46">
        <f>IFERROR(VLOOKUP($E233,'BASE DE DATOS'!$A:$I,3,0),0)</f>
        <v>0</v>
      </c>
      <c r="H233" s="46">
        <f>IFERROR(VLOOKUP($E233,'BASE DE DATOS'!$A:$I,3,0),0)</f>
        <v>0</v>
      </c>
      <c r="I233" s="46">
        <f>IFERROR(VLOOKUP($E233,'BASE DE DATOS'!$A:$I,3,0),0)</f>
        <v>0</v>
      </c>
      <c r="J233" s="46">
        <f>IFERROR(VLOOKUP($E233,'BASE DE DATOS'!$A:$I,3,0),0)</f>
        <v>0</v>
      </c>
      <c r="K233" s="46">
        <f>IFERROR(VLOOKUP($E492,'BASE DE DATOS'!$A:$I,3,0),0)</f>
        <v>0</v>
      </c>
      <c r="L233" s="46">
        <f>IFERROR(VLOOKUP($E233,'BASE DE DATOS'!$A:$I,3,0),0)</f>
        <v>0</v>
      </c>
      <c r="M233" s="70"/>
      <c r="N233" s="3"/>
    </row>
    <row r="234" spans="4:32" x14ac:dyDescent="0.25">
      <c r="D234" s="46" t="str">
        <f>IFERROR(VLOOKUP($E234,'BASE DE DATOS'!$A:$I,2,0)," ")</f>
        <v xml:space="preserve"> </v>
      </c>
      <c r="F234" s="46">
        <f>IFERROR(VLOOKUP($E247,'BASE DE DATOS'!$A:$I,3,0),0)</f>
        <v>0</v>
      </c>
      <c r="G234" s="46">
        <f>IFERROR(VLOOKUP($E234,'BASE DE DATOS'!$A:$I,3,0),0)</f>
        <v>0</v>
      </c>
      <c r="H234" s="46">
        <f>IFERROR(VLOOKUP($E234,'BASE DE DATOS'!$A:$I,3,0),0)</f>
        <v>0</v>
      </c>
      <c r="I234" s="46">
        <f>IFERROR(VLOOKUP($E234,'BASE DE DATOS'!$A:$I,3,0),0)</f>
        <v>0</v>
      </c>
      <c r="J234" s="46">
        <f>IFERROR(VLOOKUP($E234,'BASE DE DATOS'!$A:$I,3,0),0)</f>
        <v>0</v>
      </c>
      <c r="K234" s="46">
        <f>IFERROR(VLOOKUP($E493,'BASE DE DATOS'!$A:$I,3,0),0)</f>
        <v>0</v>
      </c>
      <c r="L234" s="46">
        <f>IFERROR(VLOOKUP($E234,'BASE DE DATOS'!$A:$I,3,0),0)</f>
        <v>0</v>
      </c>
      <c r="M234" s="70"/>
      <c r="N234" s="3"/>
    </row>
    <row r="235" spans="4:32" x14ac:dyDescent="0.25">
      <c r="D235" s="46" t="str">
        <f>IFERROR(VLOOKUP($E235,'BASE DE DATOS'!$A:$I,2,0)," ")</f>
        <v xml:space="preserve"> </v>
      </c>
      <c r="F235" s="46">
        <f>IFERROR(VLOOKUP($E248,'BASE DE DATOS'!$A:$I,3,0),0)</f>
        <v>0</v>
      </c>
      <c r="G235" s="46">
        <f>IFERROR(VLOOKUP($E235,'BASE DE DATOS'!$A:$I,3,0),0)</f>
        <v>0</v>
      </c>
      <c r="H235" s="46">
        <f>IFERROR(VLOOKUP($E235,'BASE DE DATOS'!$A:$I,3,0),0)</f>
        <v>0</v>
      </c>
      <c r="I235" s="46">
        <f>IFERROR(VLOOKUP($E235,'BASE DE DATOS'!$A:$I,3,0),0)</f>
        <v>0</v>
      </c>
      <c r="J235" s="46">
        <f>IFERROR(VLOOKUP($E235,'BASE DE DATOS'!$A:$I,3,0),0)</f>
        <v>0</v>
      </c>
      <c r="K235" s="46">
        <f>IFERROR(VLOOKUP($E494,'BASE DE DATOS'!$A:$I,3,0),0)</f>
        <v>0</v>
      </c>
      <c r="L235" s="46">
        <f>IFERROR(VLOOKUP($E235,'BASE DE DATOS'!$A:$I,3,0),0)</f>
        <v>0</v>
      </c>
      <c r="M235" s="70"/>
      <c r="N235" s="1"/>
    </row>
    <row r="236" spans="4:32" x14ac:dyDescent="0.25">
      <c r="D236" s="46" t="str">
        <f>IFERROR(VLOOKUP($E236,'BASE DE DATOS'!$A:$I,2,0)," ")</f>
        <v xml:space="preserve"> </v>
      </c>
      <c r="F236" s="46">
        <f>IFERROR(VLOOKUP($E249,'BASE DE DATOS'!$A:$I,3,0),0)</f>
        <v>0</v>
      </c>
      <c r="G236" s="46">
        <f>IFERROR(VLOOKUP($E236,'BASE DE DATOS'!$A:$I,3,0),0)</f>
        <v>0</v>
      </c>
      <c r="H236" s="46">
        <f>IFERROR(VLOOKUP($E236,'BASE DE DATOS'!$A:$I,3,0),0)</f>
        <v>0</v>
      </c>
      <c r="I236" s="46">
        <f>IFERROR(VLOOKUP($E236,'BASE DE DATOS'!$A:$I,3,0),0)</f>
        <v>0</v>
      </c>
      <c r="J236" s="46">
        <f>IFERROR(VLOOKUP($E236,'BASE DE DATOS'!$A:$I,3,0),0)</f>
        <v>0</v>
      </c>
      <c r="K236" s="46">
        <f>IFERROR(VLOOKUP($E495,'BASE DE DATOS'!$A:$I,3,0),0)</f>
        <v>0</v>
      </c>
      <c r="L236" s="46">
        <f>IFERROR(VLOOKUP($E236,'BASE DE DATOS'!$A:$I,3,0),0)</f>
        <v>0</v>
      </c>
      <c r="M236" s="70"/>
      <c r="N236" s="3"/>
    </row>
    <row r="237" spans="4:32" x14ac:dyDescent="0.25">
      <c r="D237" s="46" t="str">
        <f>IFERROR(VLOOKUP($E237,'BASE DE DATOS'!$A:$I,2,0)," ")</f>
        <v xml:space="preserve"> </v>
      </c>
      <c r="F237" s="46">
        <f>IFERROR(VLOOKUP($E250,'BASE DE DATOS'!$A:$I,3,0),0)</f>
        <v>0</v>
      </c>
      <c r="G237" s="46">
        <f>IFERROR(VLOOKUP($E237,'BASE DE DATOS'!$A:$I,3,0),0)</f>
        <v>0</v>
      </c>
      <c r="H237" s="46">
        <f>IFERROR(VLOOKUP($E237,'BASE DE DATOS'!$A:$I,3,0),0)</f>
        <v>0</v>
      </c>
      <c r="I237" s="46">
        <f>IFERROR(VLOOKUP($E237,'BASE DE DATOS'!$A:$I,3,0),0)</f>
        <v>0</v>
      </c>
      <c r="J237" s="46">
        <f>IFERROR(VLOOKUP($E237,'BASE DE DATOS'!$A:$I,3,0),0)</f>
        <v>0</v>
      </c>
      <c r="K237" s="46">
        <f>IFERROR(VLOOKUP($E496,'BASE DE DATOS'!$A:$I,3,0),0)</f>
        <v>0</v>
      </c>
      <c r="L237" s="46">
        <f>IFERROR(VLOOKUP($E237,'BASE DE DATOS'!$A:$I,3,0),0)</f>
        <v>0</v>
      </c>
      <c r="M237" s="70"/>
      <c r="N237" s="3"/>
    </row>
    <row r="238" spans="4:32" x14ac:dyDescent="0.25">
      <c r="D238" s="46" t="str">
        <f>IFERROR(VLOOKUP($E238,'BASE DE DATOS'!$A:$I,2,0)," ")</f>
        <v xml:space="preserve"> </v>
      </c>
      <c r="F238" s="46">
        <f>IFERROR(VLOOKUP($E251,'BASE DE DATOS'!$A:$I,3,0),0)</f>
        <v>0</v>
      </c>
      <c r="G238" s="46">
        <f>IFERROR(VLOOKUP($E238,'BASE DE DATOS'!$A:$I,3,0),0)</f>
        <v>0</v>
      </c>
      <c r="H238" s="46">
        <f>IFERROR(VLOOKUP($E238,'BASE DE DATOS'!$A:$I,3,0),0)</f>
        <v>0</v>
      </c>
      <c r="I238" s="46">
        <f>IFERROR(VLOOKUP($E238,'BASE DE DATOS'!$A:$I,3,0),0)</f>
        <v>0</v>
      </c>
      <c r="J238" s="46">
        <f>IFERROR(VLOOKUP($E238,'BASE DE DATOS'!$A:$I,3,0),0)</f>
        <v>0</v>
      </c>
      <c r="K238" s="46">
        <f>IFERROR(VLOOKUP($E497,'BASE DE DATOS'!$A:$I,3,0),0)</f>
        <v>0</v>
      </c>
      <c r="L238" s="46">
        <f>IFERROR(VLOOKUP($E238,'BASE DE DATOS'!$A:$I,3,0),0)</f>
        <v>0</v>
      </c>
      <c r="M238" s="70"/>
      <c r="N238" s="3"/>
    </row>
    <row r="239" spans="4:32" x14ac:dyDescent="0.25">
      <c r="D239" s="46" t="str">
        <f>IFERROR(VLOOKUP($E239,'BASE DE DATOS'!$A:$I,2,0)," ")</f>
        <v xml:space="preserve"> </v>
      </c>
      <c r="F239" s="46">
        <f>IFERROR(VLOOKUP($E252,'BASE DE DATOS'!$A:$I,3,0),0)</f>
        <v>0</v>
      </c>
      <c r="G239" s="46">
        <f>IFERROR(VLOOKUP($E239,'BASE DE DATOS'!$A:$I,3,0),0)</f>
        <v>0</v>
      </c>
      <c r="H239" s="46">
        <f>IFERROR(VLOOKUP($E239,'BASE DE DATOS'!$A:$I,3,0),0)</f>
        <v>0</v>
      </c>
      <c r="I239" s="46">
        <f>IFERROR(VLOOKUP($E239,'BASE DE DATOS'!$A:$I,3,0),0)</f>
        <v>0</v>
      </c>
      <c r="J239" s="46">
        <f>IFERROR(VLOOKUP($E239,'BASE DE DATOS'!$A:$I,3,0),0)</f>
        <v>0</v>
      </c>
      <c r="K239" s="46">
        <f>IFERROR(VLOOKUP($E498,'BASE DE DATOS'!$A:$I,3,0),0)</f>
        <v>0</v>
      </c>
      <c r="L239" s="46">
        <f>IFERROR(VLOOKUP($E239,'BASE DE DATOS'!$A:$I,3,0),0)</f>
        <v>0</v>
      </c>
      <c r="M239" s="70"/>
      <c r="N239" s="3"/>
    </row>
    <row r="240" spans="4:32" x14ac:dyDescent="0.25">
      <c r="D240" s="46" t="str">
        <f>IFERROR(VLOOKUP($E240,'BASE DE DATOS'!$A:$I,2,0)," ")</f>
        <v xml:space="preserve"> </v>
      </c>
      <c r="F240" s="46">
        <f>IFERROR(VLOOKUP($E253,'BASE DE DATOS'!$A:$I,3,0),0)</f>
        <v>0</v>
      </c>
      <c r="G240" s="46">
        <f>IFERROR(VLOOKUP($E240,'BASE DE DATOS'!$A:$I,3,0),0)</f>
        <v>0</v>
      </c>
      <c r="H240" s="46">
        <f>IFERROR(VLOOKUP($E240,'BASE DE DATOS'!$A:$I,3,0),0)</f>
        <v>0</v>
      </c>
      <c r="I240" s="46">
        <f>IFERROR(VLOOKUP($E240,'BASE DE DATOS'!$A:$I,3,0),0)</f>
        <v>0</v>
      </c>
      <c r="J240" s="46">
        <f>IFERROR(VLOOKUP($E240,'BASE DE DATOS'!$A:$I,3,0),0)</f>
        <v>0</v>
      </c>
      <c r="K240" s="46">
        <f>IFERROR(VLOOKUP($E499,'BASE DE DATOS'!$A:$I,3,0),0)</f>
        <v>0</v>
      </c>
      <c r="L240" s="46">
        <f>IFERROR(VLOOKUP($E240,'BASE DE DATOS'!$A:$I,3,0),0)</f>
        <v>0</v>
      </c>
      <c r="M240" s="70"/>
      <c r="N240" s="3"/>
    </row>
    <row r="241" spans="4:32" x14ac:dyDescent="0.25">
      <c r="D241" s="46" t="str">
        <f>IFERROR(VLOOKUP($E241,'BASE DE DATOS'!$A:$I,2,0)," ")</f>
        <v xml:space="preserve"> </v>
      </c>
      <c r="F241" s="46">
        <f>IFERROR(VLOOKUP($E254,'BASE DE DATOS'!$A:$I,3,0),0)</f>
        <v>0</v>
      </c>
      <c r="G241" s="46">
        <f>IFERROR(VLOOKUP($E241,'BASE DE DATOS'!$A:$I,3,0),0)</f>
        <v>0</v>
      </c>
      <c r="H241" s="46">
        <f>IFERROR(VLOOKUP($E241,'BASE DE DATOS'!$A:$I,3,0),0)</f>
        <v>0</v>
      </c>
      <c r="I241" s="46">
        <f>IFERROR(VLOOKUP($E241,'BASE DE DATOS'!$A:$I,3,0),0)</f>
        <v>0</v>
      </c>
      <c r="J241" s="46">
        <f>IFERROR(VLOOKUP($E241,'BASE DE DATOS'!$A:$I,3,0),0)</f>
        <v>0</v>
      </c>
      <c r="K241" s="46">
        <f>IFERROR(VLOOKUP($E500,'BASE DE DATOS'!$A:$I,3,0),0)</f>
        <v>0</v>
      </c>
      <c r="L241" s="46">
        <f>IFERROR(VLOOKUP($E241,'BASE DE DATOS'!$A:$I,3,0),0)</f>
        <v>0</v>
      </c>
      <c r="M241" s="70"/>
      <c r="N241" s="3"/>
    </row>
    <row r="242" spans="4:32" x14ac:dyDescent="0.25">
      <c r="D242" s="46" t="str">
        <f>IFERROR(VLOOKUP($E242,'BASE DE DATOS'!$A:$I,2,0)," ")</f>
        <v xml:space="preserve"> </v>
      </c>
      <c r="F242" s="46">
        <f>IFERROR(VLOOKUP($E255,'BASE DE DATOS'!$A:$I,3,0),0)</f>
        <v>0</v>
      </c>
      <c r="G242" s="46">
        <f>IFERROR(VLOOKUP($E242,'BASE DE DATOS'!$A:$I,3,0),0)</f>
        <v>0</v>
      </c>
      <c r="H242" s="46">
        <f>IFERROR(VLOOKUP($E242,'BASE DE DATOS'!$A:$I,3,0),0)</f>
        <v>0</v>
      </c>
      <c r="I242" s="46">
        <f>IFERROR(VLOOKUP($E242,'BASE DE DATOS'!$A:$I,3,0),0)</f>
        <v>0</v>
      </c>
      <c r="J242" s="46">
        <f>IFERROR(VLOOKUP($E242,'BASE DE DATOS'!$A:$I,3,0),0)</f>
        <v>0</v>
      </c>
      <c r="K242" s="46">
        <f>IFERROR(VLOOKUP($E501,'BASE DE DATOS'!$A:$I,3,0),0)</f>
        <v>0</v>
      </c>
      <c r="L242" s="46">
        <f>IFERROR(VLOOKUP($E242,'BASE DE DATOS'!$A:$I,3,0),0)</f>
        <v>0</v>
      </c>
      <c r="M242" s="70"/>
      <c r="N242" s="3"/>
    </row>
    <row r="243" spans="4:32" x14ac:dyDescent="0.25">
      <c r="D243" s="46" t="str">
        <f>IFERROR(VLOOKUP($E243,'BASE DE DATOS'!$A:$I,2,0)," ")</f>
        <v xml:space="preserve"> </v>
      </c>
      <c r="F243" s="46">
        <f>IFERROR(VLOOKUP($E256,'BASE DE DATOS'!$A:$I,3,0),0)</f>
        <v>0</v>
      </c>
      <c r="G243" s="46">
        <f>IFERROR(VLOOKUP($E243,'BASE DE DATOS'!$A:$I,3,0),0)</f>
        <v>0</v>
      </c>
      <c r="H243" s="46">
        <f>IFERROR(VLOOKUP($E243,'BASE DE DATOS'!$A:$I,3,0),0)</f>
        <v>0</v>
      </c>
      <c r="I243" s="46">
        <f>IFERROR(VLOOKUP($E243,'BASE DE DATOS'!$A:$I,3,0),0)</f>
        <v>0</v>
      </c>
      <c r="J243" s="46">
        <f>IFERROR(VLOOKUP($E243,'BASE DE DATOS'!$A:$I,3,0),0)</f>
        <v>0</v>
      </c>
      <c r="K243" s="46">
        <f>IFERROR(VLOOKUP($E502,'BASE DE DATOS'!$A:$I,3,0),0)</f>
        <v>0</v>
      </c>
      <c r="L243" s="46">
        <f>IFERROR(VLOOKUP($E243,'BASE DE DATOS'!$A:$I,3,0),0)</f>
        <v>0</v>
      </c>
      <c r="M243" s="70"/>
      <c r="N243" s="3"/>
    </row>
    <row r="244" spans="4:32" x14ac:dyDescent="0.25">
      <c r="D244" s="46" t="str">
        <f>IFERROR(VLOOKUP($E244,'BASE DE DATOS'!$A:$I,2,0)," ")</f>
        <v xml:space="preserve"> </v>
      </c>
      <c r="F244" s="46">
        <f>IFERROR(VLOOKUP($E257,'BASE DE DATOS'!$A:$I,3,0),0)</f>
        <v>0</v>
      </c>
      <c r="G244" s="46">
        <f>IFERROR(VLOOKUP($E244,'BASE DE DATOS'!$A:$I,3,0),0)</f>
        <v>0</v>
      </c>
      <c r="H244" s="46">
        <f>IFERROR(VLOOKUP($E244,'BASE DE DATOS'!$A:$I,3,0),0)</f>
        <v>0</v>
      </c>
      <c r="I244" s="46">
        <f>IFERROR(VLOOKUP($E244,'BASE DE DATOS'!$A:$I,3,0),0)</f>
        <v>0</v>
      </c>
      <c r="J244" s="46">
        <f>IFERROR(VLOOKUP($E244,'BASE DE DATOS'!$A:$I,3,0),0)</f>
        <v>0</v>
      </c>
      <c r="K244" s="46">
        <f>IFERROR(VLOOKUP($E503,'BASE DE DATOS'!$A:$I,3,0),0)</f>
        <v>0</v>
      </c>
      <c r="L244" s="46">
        <f>IFERROR(VLOOKUP($E244,'BASE DE DATOS'!$A:$I,3,0),0)</f>
        <v>0</v>
      </c>
      <c r="M244" s="70"/>
      <c r="N244" s="3"/>
    </row>
    <row r="245" spans="4:32" x14ac:dyDescent="0.25">
      <c r="D245" s="46" t="str">
        <f>IFERROR(VLOOKUP($E245,'BASE DE DATOS'!$A:$I,2,0)," ")</f>
        <v xml:space="preserve"> </v>
      </c>
      <c r="F245" s="46">
        <f>IFERROR(VLOOKUP($E258,'BASE DE DATOS'!$A:$I,3,0),0)</f>
        <v>0</v>
      </c>
      <c r="G245" s="46">
        <f>IFERROR(VLOOKUP($E245,'BASE DE DATOS'!$A:$I,3,0),0)</f>
        <v>0</v>
      </c>
      <c r="H245" s="46">
        <f>IFERROR(VLOOKUP($E245,'BASE DE DATOS'!$A:$I,3,0),0)</f>
        <v>0</v>
      </c>
      <c r="I245" s="46">
        <f>IFERROR(VLOOKUP($E245,'BASE DE DATOS'!$A:$I,3,0),0)</f>
        <v>0</v>
      </c>
      <c r="J245" s="46">
        <f>IFERROR(VLOOKUP($E245,'BASE DE DATOS'!$A:$I,3,0),0)</f>
        <v>0</v>
      </c>
      <c r="K245" s="46">
        <f>IFERROR(VLOOKUP($E504,'BASE DE DATOS'!$A:$I,3,0),0)</f>
        <v>0</v>
      </c>
      <c r="L245" s="46">
        <f>IFERROR(VLOOKUP($E245,'BASE DE DATOS'!$A:$I,3,0),0)</f>
        <v>0</v>
      </c>
      <c r="M245" s="70"/>
      <c r="N245" s="3"/>
    </row>
    <row r="246" spans="4:32" x14ac:dyDescent="0.25">
      <c r="D246" s="46" t="str">
        <f>IFERROR(VLOOKUP($E246,'BASE DE DATOS'!$A:$I,2,0)," ")</f>
        <v xml:space="preserve"> </v>
      </c>
      <c r="F246" s="46">
        <f>IFERROR(VLOOKUP($E259,'BASE DE DATOS'!$A:$I,3,0),0)</f>
        <v>0</v>
      </c>
      <c r="G246" s="46">
        <f>IFERROR(VLOOKUP($E246,'BASE DE DATOS'!$A:$I,3,0),0)</f>
        <v>0</v>
      </c>
      <c r="H246" s="46">
        <f>IFERROR(VLOOKUP($E246,'BASE DE DATOS'!$A:$I,3,0),0)</f>
        <v>0</v>
      </c>
      <c r="I246" s="46">
        <f>IFERROR(VLOOKUP($E246,'BASE DE DATOS'!$A:$I,3,0),0)</f>
        <v>0</v>
      </c>
      <c r="J246" s="46">
        <f>IFERROR(VLOOKUP($E246,'BASE DE DATOS'!$A:$I,3,0),0)</f>
        <v>0</v>
      </c>
      <c r="K246" s="46">
        <f>IFERROR(VLOOKUP($E505,'BASE DE DATOS'!$A:$I,3,0),0)</f>
        <v>0</v>
      </c>
      <c r="L246" s="46">
        <f>IFERROR(VLOOKUP($E246,'BASE DE DATOS'!$A:$I,3,0),0)</f>
        <v>0</v>
      </c>
      <c r="M246" s="70"/>
      <c r="N246" s="3"/>
    </row>
    <row r="247" spans="4:32" x14ac:dyDescent="0.25">
      <c r="D247" s="46" t="str">
        <f>IFERROR(VLOOKUP($E247,'BASE DE DATOS'!$A:$I,2,0)," ")</f>
        <v xml:space="preserve"> </v>
      </c>
      <c r="F247" s="46">
        <f>IFERROR(VLOOKUP($E260,'BASE DE DATOS'!$A:$I,3,0),0)</f>
        <v>0</v>
      </c>
      <c r="G247" s="46">
        <f>IFERROR(VLOOKUP($E247,'BASE DE DATOS'!$A:$I,3,0),0)</f>
        <v>0</v>
      </c>
      <c r="H247" s="46">
        <f>IFERROR(VLOOKUP($E247,'BASE DE DATOS'!$A:$I,3,0),0)</f>
        <v>0</v>
      </c>
      <c r="I247" s="46">
        <f>IFERROR(VLOOKUP($E247,'BASE DE DATOS'!$A:$I,3,0),0)</f>
        <v>0</v>
      </c>
      <c r="J247" s="46">
        <f>IFERROR(VLOOKUP($E247,'BASE DE DATOS'!$A:$I,3,0),0)</f>
        <v>0</v>
      </c>
      <c r="K247" s="46">
        <f>IFERROR(VLOOKUP($E506,'BASE DE DATOS'!$A:$I,3,0),0)</f>
        <v>0</v>
      </c>
      <c r="L247" s="46">
        <f>IFERROR(VLOOKUP($E247,'BASE DE DATOS'!$A:$I,3,0),0)</f>
        <v>0</v>
      </c>
      <c r="M247" s="70"/>
      <c r="N247" s="3"/>
    </row>
    <row r="248" spans="4:32" x14ac:dyDescent="0.25">
      <c r="D248" s="46" t="str">
        <f>IFERROR(VLOOKUP($E248,'BASE DE DATOS'!$A:$I,2,0)," ")</f>
        <v xml:space="preserve"> </v>
      </c>
      <c r="F248" s="46">
        <f>IFERROR(VLOOKUP($E261,'BASE DE DATOS'!$A:$I,3,0),0)</f>
        <v>0</v>
      </c>
      <c r="G248" s="46">
        <f>IFERROR(VLOOKUP($E248,'BASE DE DATOS'!$A:$I,3,0),0)</f>
        <v>0</v>
      </c>
      <c r="H248" s="46">
        <f>IFERROR(VLOOKUP($E248,'BASE DE DATOS'!$A:$I,3,0),0)</f>
        <v>0</v>
      </c>
      <c r="I248" s="46">
        <f>IFERROR(VLOOKUP($E248,'BASE DE DATOS'!$A:$I,3,0),0)</f>
        <v>0</v>
      </c>
      <c r="J248" s="46">
        <f>IFERROR(VLOOKUP($E248,'BASE DE DATOS'!$A:$I,3,0),0)</f>
        <v>0</v>
      </c>
      <c r="K248" s="46">
        <f>IFERROR(VLOOKUP($E507,'BASE DE DATOS'!$A:$I,3,0),0)</f>
        <v>0</v>
      </c>
      <c r="L248" s="46">
        <f>IFERROR(VLOOKUP($E248,'BASE DE DATOS'!$A:$I,3,0),0)</f>
        <v>0</v>
      </c>
      <c r="M248" s="70"/>
      <c r="N248" s="3"/>
    </row>
    <row r="249" spans="4:32" x14ac:dyDescent="0.25">
      <c r="D249" s="46" t="str">
        <f>IFERROR(VLOOKUP($E249,'BASE DE DATOS'!$A:$I,2,0)," ")</f>
        <v xml:space="preserve"> </v>
      </c>
      <c r="F249" s="46">
        <f>IFERROR(VLOOKUP($E262,'BASE DE DATOS'!$A:$I,3,0),0)</f>
        <v>0</v>
      </c>
      <c r="G249" s="46">
        <f>IFERROR(VLOOKUP($E249,'BASE DE DATOS'!$A:$I,3,0),0)</f>
        <v>0</v>
      </c>
      <c r="H249" s="46">
        <f>IFERROR(VLOOKUP($E249,'BASE DE DATOS'!$A:$I,3,0),0)</f>
        <v>0</v>
      </c>
      <c r="I249" s="46">
        <f>IFERROR(VLOOKUP($E249,'BASE DE DATOS'!$A:$I,3,0),0)</f>
        <v>0</v>
      </c>
      <c r="J249" s="46">
        <f>IFERROR(VLOOKUP($E249,'BASE DE DATOS'!$A:$I,3,0),0)</f>
        <v>0</v>
      </c>
      <c r="K249" s="46">
        <f>IFERROR(VLOOKUP($E508,'BASE DE DATOS'!$A:$I,3,0),0)</f>
        <v>0</v>
      </c>
      <c r="L249" s="46">
        <f>IFERROR(VLOOKUP($E249,'BASE DE DATOS'!$A:$I,3,0),0)</f>
        <v>0</v>
      </c>
      <c r="M249" s="70"/>
      <c r="N249" s="3"/>
    </row>
    <row r="250" spans="4:32" x14ac:dyDescent="0.25">
      <c r="D250" s="46" t="str">
        <f>IFERROR(VLOOKUP($E250,'BASE DE DATOS'!$A:$I,2,0)," ")</f>
        <v xml:space="preserve"> </v>
      </c>
      <c r="F250" s="46">
        <f>IFERROR(VLOOKUP($E263,'BASE DE DATOS'!$A:$I,3,0),0)</f>
        <v>0</v>
      </c>
      <c r="G250" s="46">
        <f>IFERROR(VLOOKUP($E250,'BASE DE DATOS'!$A:$I,3,0),0)</f>
        <v>0</v>
      </c>
      <c r="H250" s="46">
        <f>IFERROR(VLOOKUP($E250,'BASE DE DATOS'!$A:$I,3,0),0)</f>
        <v>0</v>
      </c>
      <c r="I250" s="46">
        <f>IFERROR(VLOOKUP($E250,'BASE DE DATOS'!$A:$I,3,0),0)</f>
        <v>0</v>
      </c>
      <c r="J250" s="46">
        <f>IFERROR(VLOOKUP($E250,'BASE DE DATOS'!$A:$I,3,0),0)</f>
        <v>0</v>
      </c>
      <c r="K250" s="46">
        <f>IFERROR(VLOOKUP($E509,'BASE DE DATOS'!$A:$I,3,0),0)</f>
        <v>0</v>
      </c>
      <c r="L250" s="46">
        <f>IFERROR(VLOOKUP($E250,'BASE DE DATOS'!$A:$I,3,0),0)</f>
        <v>0</v>
      </c>
      <c r="M250" s="70"/>
      <c r="N250" s="3"/>
    </row>
    <row r="251" spans="4:32" x14ac:dyDescent="0.25">
      <c r="D251" s="46" t="str">
        <f>IFERROR(VLOOKUP($E251,'BASE DE DATOS'!$A:$I,2,0)," ")</f>
        <v xml:space="preserve"> </v>
      </c>
      <c r="F251" s="46">
        <f>IFERROR(VLOOKUP($E264,'BASE DE DATOS'!$A:$I,3,0),0)</f>
        <v>0</v>
      </c>
      <c r="G251" s="46">
        <f>IFERROR(VLOOKUP($E251,'BASE DE DATOS'!$A:$I,3,0),0)</f>
        <v>0</v>
      </c>
      <c r="H251" s="46">
        <f>IFERROR(VLOOKUP($E251,'BASE DE DATOS'!$A:$I,3,0),0)</f>
        <v>0</v>
      </c>
      <c r="I251" s="46">
        <f>IFERROR(VLOOKUP($E251,'BASE DE DATOS'!$A:$I,3,0),0)</f>
        <v>0</v>
      </c>
      <c r="J251" s="46">
        <f>IFERROR(VLOOKUP($E251,'BASE DE DATOS'!$A:$I,3,0),0)</f>
        <v>0</v>
      </c>
      <c r="K251" s="46">
        <f>IFERROR(VLOOKUP($E510,'BASE DE DATOS'!$A:$I,3,0),0)</f>
        <v>0</v>
      </c>
      <c r="L251" s="46">
        <f>IFERROR(VLOOKUP($E251,'BASE DE DATOS'!$A:$I,3,0),0)</f>
        <v>0</v>
      </c>
      <c r="M251" s="70"/>
      <c r="N251" s="3"/>
    </row>
    <row r="252" spans="4:32" x14ac:dyDescent="0.25">
      <c r="D252" s="46" t="str">
        <f>IFERROR(VLOOKUP($E252,'BASE DE DATOS'!$A:$I,2,0)," ")</f>
        <v xml:space="preserve"> </v>
      </c>
      <c r="F252" s="46">
        <f>IFERROR(VLOOKUP($E265,'BASE DE DATOS'!$A:$I,3,0),0)</f>
        <v>0</v>
      </c>
      <c r="G252" s="46">
        <f>IFERROR(VLOOKUP($E252,'BASE DE DATOS'!$A:$I,3,0),0)</f>
        <v>0</v>
      </c>
      <c r="H252" s="46">
        <f>IFERROR(VLOOKUP($E252,'BASE DE DATOS'!$A:$I,3,0),0)</f>
        <v>0</v>
      </c>
      <c r="I252" s="46">
        <f>IFERROR(VLOOKUP($E252,'BASE DE DATOS'!$A:$I,3,0),0)</f>
        <v>0</v>
      </c>
      <c r="J252" s="46">
        <f>IFERROR(VLOOKUP($E252,'BASE DE DATOS'!$A:$I,3,0),0)</f>
        <v>0</v>
      </c>
      <c r="K252" s="46">
        <f>IFERROR(VLOOKUP($E511,'BASE DE DATOS'!$A:$I,3,0),0)</f>
        <v>0</v>
      </c>
      <c r="L252" s="46">
        <f>IFERROR(VLOOKUP($E252,'BASE DE DATOS'!$A:$I,3,0),0)</f>
        <v>0</v>
      </c>
      <c r="M252" s="70"/>
      <c r="N252" s="3"/>
    </row>
    <row r="253" spans="4:32" x14ac:dyDescent="0.25">
      <c r="D253" s="46" t="str">
        <f>IFERROR(VLOOKUP($E253,'BASE DE DATOS'!$A:$I,2,0)," ")</f>
        <v xml:space="preserve"> </v>
      </c>
      <c r="F253" s="46">
        <f>IFERROR(VLOOKUP($E266,'BASE DE DATOS'!$A:$I,3,0),0)</f>
        <v>0</v>
      </c>
      <c r="G253" s="46">
        <f>IFERROR(VLOOKUP($E253,'BASE DE DATOS'!$A:$I,3,0),0)</f>
        <v>0</v>
      </c>
      <c r="H253" s="46">
        <f>IFERROR(VLOOKUP($E253,'BASE DE DATOS'!$A:$I,3,0),0)</f>
        <v>0</v>
      </c>
      <c r="I253" s="46">
        <f>IFERROR(VLOOKUP($E253,'BASE DE DATOS'!$A:$I,3,0),0)</f>
        <v>0</v>
      </c>
      <c r="J253" s="46">
        <f>IFERROR(VLOOKUP($E253,'BASE DE DATOS'!$A:$I,3,0),0)</f>
        <v>0</v>
      </c>
      <c r="K253" s="46">
        <f>IFERROR(VLOOKUP($E512,'BASE DE DATOS'!$A:$I,3,0),0)</f>
        <v>0</v>
      </c>
      <c r="L253" s="46">
        <f>IFERROR(VLOOKUP($E253,'BASE DE DATOS'!$A:$I,3,0),0)</f>
        <v>0</v>
      </c>
      <c r="M253" s="70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4:32" x14ac:dyDescent="0.25">
      <c r="D254" s="46" t="str">
        <f>IFERROR(VLOOKUP($E254,'BASE DE DATOS'!$A:$I,2,0)," ")</f>
        <v xml:space="preserve"> </v>
      </c>
      <c r="F254" s="46">
        <f>IFERROR(VLOOKUP($E267,'BASE DE DATOS'!$A:$I,3,0),0)</f>
        <v>0</v>
      </c>
      <c r="G254" s="46">
        <f>IFERROR(VLOOKUP($E254,'BASE DE DATOS'!$A:$I,3,0),0)</f>
        <v>0</v>
      </c>
      <c r="H254" s="46">
        <f>IFERROR(VLOOKUP($E254,'BASE DE DATOS'!$A:$I,3,0),0)</f>
        <v>0</v>
      </c>
      <c r="I254" s="46">
        <f>IFERROR(VLOOKUP($E254,'BASE DE DATOS'!$A:$I,3,0),0)</f>
        <v>0</v>
      </c>
      <c r="J254" s="46">
        <f>IFERROR(VLOOKUP($E254,'BASE DE DATOS'!$A:$I,3,0),0)</f>
        <v>0</v>
      </c>
      <c r="K254" s="46">
        <f>IFERROR(VLOOKUP($E513,'BASE DE DATOS'!$A:$I,3,0),0)</f>
        <v>0</v>
      </c>
      <c r="L254" s="46">
        <f>IFERROR(VLOOKUP($E254,'BASE DE DATOS'!$A:$I,3,0),0)</f>
        <v>0</v>
      </c>
      <c r="M254" s="70"/>
      <c r="N254" s="3"/>
    </row>
    <row r="255" spans="4:32" x14ac:dyDescent="0.25">
      <c r="D255" s="46" t="str">
        <f>IFERROR(VLOOKUP($E255,'BASE DE DATOS'!$A:$I,2,0)," ")</f>
        <v xml:space="preserve"> </v>
      </c>
      <c r="F255" s="46">
        <f>IFERROR(VLOOKUP($E268,'BASE DE DATOS'!$A:$I,3,0),0)</f>
        <v>0</v>
      </c>
      <c r="G255" s="46">
        <f>IFERROR(VLOOKUP($E255,'BASE DE DATOS'!$A:$I,3,0),0)</f>
        <v>0</v>
      </c>
      <c r="H255" s="46">
        <f>IFERROR(VLOOKUP($E255,'BASE DE DATOS'!$A:$I,3,0),0)</f>
        <v>0</v>
      </c>
      <c r="I255" s="46">
        <f>IFERROR(VLOOKUP($E255,'BASE DE DATOS'!$A:$I,3,0),0)</f>
        <v>0</v>
      </c>
      <c r="J255" s="46">
        <f>IFERROR(VLOOKUP($E255,'BASE DE DATOS'!$A:$I,3,0),0)</f>
        <v>0</v>
      </c>
      <c r="K255" s="46">
        <f>IFERROR(VLOOKUP($E514,'BASE DE DATOS'!$A:$I,3,0),0)</f>
        <v>0</v>
      </c>
      <c r="L255" s="46">
        <f>IFERROR(VLOOKUP($E255,'BASE DE DATOS'!$A:$I,3,0),0)</f>
        <v>0</v>
      </c>
      <c r="M255" s="70"/>
      <c r="N255" s="3"/>
    </row>
    <row r="256" spans="4:32" x14ac:dyDescent="0.25">
      <c r="D256" s="46" t="str">
        <f>IFERROR(VLOOKUP($E256,'BASE DE DATOS'!$A:$I,2,0)," ")</f>
        <v xml:space="preserve"> </v>
      </c>
      <c r="F256" s="46">
        <f>IFERROR(VLOOKUP($E269,'BASE DE DATOS'!$A:$I,3,0),0)</f>
        <v>0</v>
      </c>
      <c r="G256" s="46">
        <f>IFERROR(VLOOKUP($E256,'BASE DE DATOS'!$A:$I,3,0),0)</f>
        <v>0</v>
      </c>
      <c r="H256" s="46">
        <f>IFERROR(VLOOKUP($E256,'BASE DE DATOS'!$A:$I,3,0),0)</f>
        <v>0</v>
      </c>
      <c r="I256" s="46">
        <f>IFERROR(VLOOKUP($E256,'BASE DE DATOS'!$A:$I,3,0),0)</f>
        <v>0</v>
      </c>
      <c r="J256" s="46">
        <f>IFERROR(VLOOKUP($E256,'BASE DE DATOS'!$A:$I,3,0),0)</f>
        <v>0</v>
      </c>
      <c r="K256" s="46">
        <f>IFERROR(VLOOKUP($E515,'BASE DE DATOS'!$A:$I,3,0),0)</f>
        <v>0</v>
      </c>
      <c r="L256" s="46">
        <f>IFERROR(VLOOKUP($E256,'BASE DE DATOS'!$A:$I,3,0),0)</f>
        <v>0</v>
      </c>
      <c r="M256" s="70"/>
      <c r="N256" s="3"/>
    </row>
    <row r="257" spans="4:14" x14ac:dyDescent="0.25">
      <c r="D257" s="46" t="str">
        <f>IFERROR(VLOOKUP($E257,'BASE DE DATOS'!$A:$I,2,0)," ")</f>
        <v xml:space="preserve"> </v>
      </c>
      <c r="F257" s="46">
        <f>IFERROR(VLOOKUP($E270,'BASE DE DATOS'!$A:$I,3,0),0)</f>
        <v>0</v>
      </c>
      <c r="G257" s="46">
        <f>IFERROR(VLOOKUP($E257,'BASE DE DATOS'!$A:$I,3,0),0)</f>
        <v>0</v>
      </c>
      <c r="H257" s="46">
        <f>IFERROR(VLOOKUP($E257,'BASE DE DATOS'!$A:$I,3,0),0)</f>
        <v>0</v>
      </c>
      <c r="I257" s="46">
        <f>IFERROR(VLOOKUP($E257,'BASE DE DATOS'!$A:$I,3,0),0)</f>
        <v>0</v>
      </c>
      <c r="J257" s="46">
        <f>IFERROR(VLOOKUP($E257,'BASE DE DATOS'!$A:$I,3,0),0)</f>
        <v>0</v>
      </c>
      <c r="K257" s="46">
        <f>IFERROR(VLOOKUP($E516,'BASE DE DATOS'!$A:$I,3,0),0)</f>
        <v>0</v>
      </c>
      <c r="L257" s="46">
        <f>IFERROR(VLOOKUP($E257,'BASE DE DATOS'!$A:$I,3,0),0)</f>
        <v>0</v>
      </c>
      <c r="M257" s="70"/>
      <c r="N257" s="3"/>
    </row>
    <row r="258" spans="4:14" x14ac:dyDescent="0.25">
      <c r="D258" s="46" t="str">
        <f>IFERROR(VLOOKUP($E258,'BASE DE DATOS'!$A:$I,2,0)," ")</f>
        <v xml:space="preserve"> </v>
      </c>
      <c r="F258" s="46">
        <f>IFERROR(VLOOKUP($E271,'BASE DE DATOS'!$A:$I,3,0),0)</f>
        <v>0</v>
      </c>
      <c r="G258" s="46">
        <f>IFERROR(VLOOKUP($E258,'BASE DE DATOS'!$A:$I,3,0),0)</f>
        <v>0</v>
      </c>
      <c r="H258" s="46">
        <f>IFERROR(VLOOKUP($E258,'BASE DE DATOS'!$A:$I,3,0),0)</f>
        <v>0</v>
      </c>
      <c r="I258" s="46">
        <f>IFERROR(VLOOKUP($E258,'BASE DE DATOS'!$A:$I,3,0),0)</f>
        <v>0</v>
      </c>
      <c r="J258" s="46">
        <f>IFERROR(VLOOKUP($E258,'BASE DE DATOS'!$A:$I,3,0),0)</f>
        <v>0</v>
      </c>
      <c r="K258" s="46">
        <f>IFERROR(VLOOKUP($E517,'BASE DE DATOS'!$A:$I,3,0),0)</f>
        <v>0</v>
      </c>
      <c r="L258" s="46">
        <f>IFERROR(VLOOKUP($E258,'BASE DE DATOS'!$A:$I,3,0),0)</f>
        <v>0</v>
      </c>
      <c r="M258" s="70"/>
      <c r="N258" s="3"/>
    </row>
    <row r="259" spans="4:14" x14ac:dyDescent="0.25">
      <c r="D259" s="46" t="str">
        <f>IFERROR(VLOOKUP($E259,'BASE DE DATOS'!$A:$I,2,0)," ")</f>
        <v xml:space="preserve"> </v>
      </c>
      <c r="F259" s="46">
        <f>IFERROR(VLOOKUP($E272,'BASE DE DATOS'!$A:$I,3,0),0)</f>
        <v>0</v>
      </c>
      <c r="G259" s="46">
        <f>IFERROR(VLOOKUP($E259,'BASE DE DATOS'!$A:$I,3,0),0)</f>
        <v>0</v>
      </c>
      <c r="H259" s="46">
        <f>IFERROR(VLOOKUP($E259,'BASE DE DATOS'!$A:$I,3,0),0)</f>
        <v>0</v>
      </c>
      <c r="I259" s="46">
        <f>IFERROR(VLOOKUP($E259,'BASE DE DATOS'!$A:$I,3,0),0)</f>
        <v>0</v>
      </c>
      <c r="J259" s="46">
        <f>IFERROR(VLOOKUP($E259,'BASE DE DATOS'!$A:$I,3,0),0)</f>
        <v>0</v>
      </c>
      <c r="K259" s="46">
        <f>IFERROR(VLOOKUP($E518,'BASE DE DATOS'!$A:$I,3,0),0)</f>
        <v>0</v>
      </c>
      <c r="L259" s="46">
        <f>IFERROR(VLOOKUP($E259,'BASE DE DATOS'!$A:$I,3,0),0)</f>
        <v>0</v>
      </c>
      <c r="M259" s="70"/>
      <c r="N259" s="3"/>
    </row>
    <row r="260" spans="4:14" x14ac:dyDescent="0.25">
      <c r="D260" s="46" t="str">
        <f>IFERROR(VLOOKUP($E260,'BASE DE DATOS'!$A:$I,2,0)," ")</f>
        <v xml:space="preserve"> </v>
      </c>
      <c r="F260" s="46">
        <f>IFERROR(VLOOKUP($E273,'BASE DE DATOS'!$A:$I,3,0),0)</f>
        <v>0</v>
      </c>
      <c r="G260" s="46">
        <f>IFERROR(VLOOKUP($E260,'BASE DE DATOS'!$A:$I,3,0),0)</f>
        <v>0</v>
      </c>
      <c r="H260" s="46">
        <f>IFERROR(VLOOKUP($E260,'BASE DE DATOS'!$A:$I,3,0),0)</f>
        <v>0</v>
      </c>
      <c r="I260" s="46">
        <f>IFERROR(VLOOKUP($E260,'BASE DE DATOS'!$A:$I,3,0),0)</f>
        <v>0</v>
      </c>
      <c r="J260" s="46">
        <f>IFERROR(VLOOKUP($E260,'BASE DE DATOS'!$A:$I,3,0),0)</f>
        <v>0</v>
      </c>
      <c r="K260" s="46">
        <f>IFERROR(VLOOKUP($E519,'BASE DE DATOS'!$A:$I,3,0),0)</f>
        <v>0</v>
      </c>
      <c r="L260" s="46">
        <f>IFERROR(VLOOKUP($E260,'BASE DE DATOS'!$A:$I,3,0),0)</f>
        <v>0</v>
      </c>
      <c r="M260" s="70"/>
      <c r="N260" s="3"/>
    </row>
    <row r="261" spans="4:14" x14ac:dyDescent="0.25">
      <c r="D261" s="46" t="str">
        <f>IFERROR(VLOOKUP($E261,'BASE DE DATOS'!$A:$I,2,0)," ")</f>
        <v xml:space="preserve"> </v>
      </c>
      <c r="F261" s="46">
        <f>IFERROR(VLOOKUP($E274,'BASE DE DATOS'!$A:$I,3,0),0)</f>
        <v>0</v>
      </c>
      <c r="G261" s="46">
        <f>IFERROR(VLOOKUP($E261,'BASE DE DATOS'!$A:$I,3,0),0)</f>
        <v>0</v>
      </c>
      <c r="H261" s="46">
        <f>IFERROR(VLOOKUP($E261,'BASE DE DATOS'!$A:$I,3,0),0)</f>
        <v>0</v>
      </c>
      <c r="I261" s="46">
        <f>IFERROR(VLOOKUP($E261,'BASE DE DATOS'!$A:$I,3,0),0)</f>
        <v>0</v>
      </c>
      <c r="J261" s="46">
        <f>IFERROR(VLOOKUP($E261,'BASE DE DATOS'!$A:$I,3,0),0)</f>
        <v>0</v>
      </c>
      <c r="K261" s="46">
        <f>IFERROR(VLOOKUP($E520,'BASE DE DATOS'!$A:$I,3,0),0)</f>
        <v>0</v>
      </c>
      <c r="L261" s="46">
        <f>IFERROR(VLOOKUP($E261,'BASE DE DATOS'!$A:$I,3,0),0)</f>
        <v>0</v>
      </c>
      <c r="M261" s="70"/>
      <c r="N261" s="3"/>
    </row>
    <row r="262" spans="4:14" x14ac:dyDescent="0.25">
      <c r="D262" s="46" t="str">
        <f>IFERROR(VLOOKUP($E262,'BASE DE DATOS'!$A:$I,2,0)," ")</f>
        <v xml:space="preserve"> </v>
      </c>
      <c r="F262" s="46">
        <f>IFERROR(VLOOKUP($E275,'BASE DE DATOS'!$A:$I,3,0),0)</f>
        <v>0</v>
      </c>
      <c r="G262" s="46">
        <f>IFERROR(VLOOKUP($E262,'BASE DE DATOS'!$A:$I,3,0),0)</f>
        <v>0</v>
      </c>
      <c r="H262" s="46">
        <f>IFERROR(VLOOKUP($E262,'BASE DE DATOS'!$A:$I,3,0),0)</f>
        <v>0</v>
      </c>
      <c r="I262" s="46">
        <f>IFERROR(VLOOKUP($E262,'BASE DE DATOS'!$A:$I,3,0),0)</f>
        <v>0</v>
      </c>
      <c r="J262" s="46">
        <f>IFERROR(VLOOKUP($E262,'BASE DE DATOS'!$A:$I,3,0),0)</f>
        <v>0</v>
      </c>
      <c r="K262" s="46">
        <f>IFERROR(VLOOKUP($E521,'BASE DE DATOS'!$A:$I,3,0),0)</f>
        <v>0</v>
      </c>
      <c r="L262" s="46">
        <f>IFERROR(VLOOKUP($E262,'BASE DE DATOS'!$A:$I,3,0),0)</f>
        <v>0</v>
      </c>
      <c r="M262" s="70"/>
      <c r="N262" s="1"/>
    </row>
    <row r="263" spans="4:14" x14ac:dyDescent="0.25">
      <c r="D263" s="46" t="str">
        <f>IFERROR(VLOOKUP($E263,'BASE DE DATOS'!$A:$I,2,0)," ")</f>
        <v xml:space="preserve"> </v>
      </c>
      <c r="F263" s="46">
        <f>IFERROR(VLOOKUP($E276,'BASE DE DATOS'!$A:$I,3,0),0)</f>
        <v>0</v>
      </c>
      <c r="G263" s="46">
        <f>IFERROR(VLOOKUP($E263,'BASE DE DATOS'!$A:$I,3,0),0)</f>
        <v>0</v>
      </c>
      <c r="H263" s="46">
        <f>IFERROR(VLOOKUP($E263,'BASE DE DATOS'!$A:$I,3,0),0)</f>
        <v>0</v>
      </c>
      <c r="I263" s="46">
        <f>IFERROR(VLOOKUP($E263,'BASE DE DATOS'!$A:$I,3,0),0)</f>
        <v>0</v>
      </c>
      <c r="J263" s="46">
        <f>IFERROR(VLOOKUP($E263,'BASE DE DATOS'!$A:$I,3,0),0)</f>
        <v>0</v>
      </c>
      <c r="K263" s="46">
        <f>IFERROR(VLOOKUP($E522,'BASE DE DATOS'!$A:$I,3,0),0)</f>
        <v>0</v>
      </c>
      <c r="L263" s="46">
        <f>IFERROR(VLOOKUP($E263,'BASE DE DATOS'!$A:$I,3,0),0)</f>
        <v>0</v>
      </c>
      <c r="M263" s="70"/>
      <c r="N263" s="3"/>
    </row>
    <row r="264" spans="4:14" x14ac:dyDescent="0.25">
      <c r="D264" s="46" t="str">
        <f>IFERROR(VLOOKUP($E264,'BASE DE DATOS'!$A:$I,2,0)," ")</f>
        <v xml:space="preserve"> </v>
      </c>
      <c r="F264" s="46">
        <f>IFERROR(VLOOKUP($E277,'BASE DE DATOS'!$A:$I,3,0),0)</f>
        <v>0</v>
      </c>
      <c r="G264" s="46">
        <f>IFERROR(VLOOKUP($E264,'BASE DE DATOS'!$A:$I,3,0),0)</f>
        <v>0</v>
      </c>
      <c r="H264" s="46">
        <f>IFERROR(VLOOKUP($E264,'BASE DE DATOS'!$A:$I,3,0),0)</f>
        <v>0</v>
      </c>
      <c r="I264" s="46">
        <f>IFERROR(VLOOKUP($E264,'BASE DE DATOS'!$A:$I,3,0),0)</f>
        <v>0</v>
      </c>
      <c r="J264" s="46">
        <f>IFERROR(VLOOKUP($E264,'BASE DE DATOS'!$A:$I,3,0),0)</f>
        <v>0</v>
      </c>
      <c r="K264" s="46">
        <f>IFERROR(VLOOKUP($E523,'BASE DE DATOS'!$A:$I,3,0),0)</f>
        <v>0</v>
      </c>
      <c r="L264" s="46">
        <f>IFERROR(VLOOKUP($E264,'BASE DE DATOS'!$A:$I,3,0),0)</f>
        <v>0</v>
      </c>
      <c r="M264" s="70"/>
      <c r="N264" s="3"/>
    </row>
    <row r="265" spans="4:14" x14ac:dyDescent="0.25">
      <c r="D265" s="46" t="str">
        <f>IFERROR(VLOOKUP($E265,'BASE DE DATOS'!$A:$I,2,0)," ")</f>
        <v xml:space="preserve"> </v>
      </c>
      <c r="F265" s="46">
        <f>IFERROR(VLOOKUP($E278,'BASE DE DATOS'!$A:$I,3,0),0)</f>
        <v>0</v>
      </c>
      <c r="G265" s="46">
        <f>IFERROR(VLOOKUP($E265,'BASE DE DATOS'!$A:$I,3,0),0)</f>
        <v>0</v>
      </c>
      <c r="H265" s="46">
        <f>IFERROR(VLOOKUP($E265,'BASE DE DATOS'!$A:$I,3,0),0)</f>
        <v>0</v>
      </c>
      <c r="I265" s="46">
        <f>IFERROR(VLOOKUP($E265,'BASE DE DATOS'!$A:$I,3,0),0)</f>
        <v>0</v>
      </c>
      <c r="J265" s="46">
        <f>IFERROR(VLOOKUP($E265,'BASE DE DATOS'!$A:$I,3,0),0)</f>
        <v>0</v>
      </c>
      <c r="K265" s="46">
        <f>IFERROR(VLOOKUP($E524,'BASE DE DATOS'!$A:$I,3,0),0)</f>
        <v>0</v>
      </c>
      <c r="L265" s="46">
        <f>IFERROR(VLOOKUP($E265,'BASE DE DATOS'!$A:$I,3,0),0)</f>
        <v>0</v>
      </c>
      <c r="M265" s="70"/>
      <c r="N265" s="3"/>
    </row>
    <row r="266" spans="4:14" x14ac:dyDescent="0.25">
      <c r="D266" s="46" t="str">
        <f>IFERROR(VLOOKUP($E266,'BASE DE DATOS'!$A:$I,2,0)," ")</f>
        <v xml:space="preserve"> </v>
      </c>
      <c r="F266" s="46">
        <f>IFERROR(VLOOKUP($E279,'BASE DE DATOS'!$A:$I,3,0),0)</f>
        <v>0</v>
      </c>
      <c r="G266" s="46">
        <f>IFERROR(VLOOKUP($E266,'BASE DE DATOS'!$A:$I,3,0),0)</f>
        <v>0</v>
      </c>
      <c r="H266" s="46">
        <f>IFERROR(VLOOKUP($E266,'BASE DE DATOS'!$A:$I,3,0),0)</f>
        <v>0</v>
      </c>
      <c r="I266" s="46">
        <f>IFERROR(VLOOKUP($E266,'BASE DE DATOS'!$A:$I,3,0),0)</f>
        <v>0</v>
      </c>
      <c r="J266" s="46">
        <f>IFERROR(VLOOKUP($E266,'BASE DE DATOS'!$A:$I,3,0),0)</f>
        <v>0</v>
      </c>
      <c r="K266" s="46">
        <f>IFERROR(VLOOKUP($E525,'BASE DE DATOS'!$A:$I,3,0),0)</f>
        <v>0</v>
      </c>
      <c r="L266" s="46">
        <f>IFERROR(VLOOKUP($E266,'BASE DE DATOS'!$A:$I,3,0),0)</f>
        <v>0</v>
      </c>
      <c r="M266" s="70"/>
      <c r="N266" s="3"/>
    </row>
    <row r="267" spans="4:14" x14ac:dyDescent="0.25">
      <c r="D267" s="46" t="str">
        <f>IFERROR(VLOOKUP($E267,'BASE DE DATOS'!$A:$I,2,0)," ")</f>
        <v xml:space="preserve"> </v>
      </c>
      <c r="F267" s="46">
        <f>IFERROR(VLOOKUP($E280,'BASE DE DATOS'!$A:$I,3,0),0)</f>
        <v>0</v>
      </c>
      <c r="G267" s="46">
        <f>IFERROR(VLOOKUP($E267,'BASE DE DATOS'!$A:$I,3,0),0)</f>
        <v>0</v>
      </c>
      <c r="H267" s="46">
        <f>IFERROR(VLOOKUP($E267,'BASE DE DATOS'!$A:$I,3,0),0)</f>
        <v>0</v>
      </c>
      <c r="I267" s="46">
        <f>IFERROR(VLOOKUP($E267,'BASE DE DATOS'!$A:$I,3,0),0)</f>
        <v>0</v>
      </c>
      <c r="J267" s="46">
        <f>IFERROR(VLOOKUP($E267,'BASE DE DATOS'!$A:$I,3,0),0)</f>
        <v>0</v>
      </c>
      <c r="K267" s="46">
        <f>IFERROR(VLOOKUP($E526,'BASE DE DATOS'!$A:$I,3,0),0)</f>
        <v>0</v>
      </c>
      <c r="L267" s="46">
        <f>IFERROR(VLOOKUP($E267,'BASE DE DATOS'!$A:$I,3,0),0)</f>
        <v>0</v>
      </c>
      <c r="M267" s="70"/>
      <c r="N267" s="3"/>
    </row>
    <row r="268" spans="4:14" x14ac:dyDescent="0.25">
      <c r="D268" s="46" t="str">
        <f>IFERROR(VLOOKUP($E268,'BASE DE DATOS'!$A:$I,2,0)," ")</f>
        <v xml:space="preserve"> </v>
      </c>
      <c r="F268" s="46">
        <f>IFERROR(VLOOKUP($E281,'BASE DE DATOS'!$A:$I,3,0),0)</f>
        <v>0</v>
      </c>
      <c r="G268" s="46">
        <f>IFERROR(VLOOKUP($E268,'BASE DE DATOS'!$A:$I,3,0),0)</f>
        <v>0</v>
      </c>
      <c r="H268" s="46">
        <f>IFERROR(VLOOKUP($E268,'BASE DE DATOS'!$A:$I,3,0),0)</f>
        <v>0</v>
      </c>
      <c r="I268" s="46">
        <f>IFERROR(VLOOKUP($E268,'BASE DE DATOS'!$A:$I,3,0),0)</f>
        <v>0</v>
      </c>
      <c r="J268" s="46">
        <f>IFERROR(VLOOKUP($E268,'BASE DE DATOS'!$A:$I,3,0),0)</f>
        <v>0</v>
      </c>
      <c r="K268" s="46">
        <f>IFERROR(VLOOKUP($E527,'BASE DE DATOS'!$A:$I,3,0),0)</f>
        <v>0</v>
      </c>
      <c r="L268" s="46">
        <f>IFERROR(VLOOKUP($E268,'BASE DE DATOS'!$A:$I,3,0),0)</f>
        <v>0</v>
      </c>
      <c r="M268" s="70"/>
      <c r="N268" s="3"/>
    </row>
    <row r="269" spans="4:14" x14ac:dyDescent="0.25">
      <c r="D269" s="46" t="str">
        <f>IFERROR(VLOOKUP($E269,'BASE DE DATOS'!$A:$I,2,0)," ")</f>
        <v xml:space="preserve"> </v>
      </c>
      <c r="F269" s="46">
        <f>IFERROR(VLOOKUP($E282,'BASE DE DATOS'!$A:$I,3,0),0)</f>
        <v>0</v>
      </c>
      <c r="G269" s="46">
        <f>IFERROR(VLOOKUP($E269,'BASE DE DATOS'!$A:$I,3,0),0)</f>
        <v>0</v>
      </c>
      <c r="H269" s="46">
        <f>IFERROR(VLOOKUP($E269,'BASE DE DATOS'!$A:$I,3,0),0)</f>
        <v>0</v>
      </c>
      <c r="I269" s="46">
        <f>IFERROR(VLOOKUP($E269,'BASE DE DATOS'!$A:$I,3,0),0)</f>
        <v>0</v>
      </c>
      <c r="J269" s="46">
        <f>IFERROR(VLOOKUP($E269,'BASE DE DATOS'!$A:$I,3,0),0)</f>
        <v>0</v>
      </c>
      <c r="K269" s="46">
        <f>IFERROR(VLOOKUP($E528,'BASE DE DATOS'!$A:$I,3,0),0)</f>
        <v>0</v>
      </c>
      <c r="L269" s="46">
        <f>IFERROR(VLOOKUP($E269,'BASE DE DATOS'!$A:$I,3,0),0)</f>
        <v>0</v>
      </c>
      <c r="M269" s="70"/>
      <c r="N269" s="3"/>
    </row>
    <row r="270" spans="4:14" x14ac:dyDescent="0.25">
      <c r="D270" s="46" t="str">
        <f>IFERROR(VLOOKUP($E270,'BASE DE DATOS'!$A:$I,2,0)," ")</f>
        <v xml:space="preserve"> </v>
      </c>
      <c r="F270" s="46">
        <f>IFERROR(VLOOKUP($E283,'BASE DE DATOS'!$A:$I,3,0),0)</f>
        <v>0</v>
      </c>
      <c r="G270" s="46">
        <f>IFERROR(VLOOKUP($E270,'BASE DE DATOS'!$A:$I,3,0),0)</f>
        <v>0</v>
      </c>
      <c r="H270" s="46">
        <f>IFERROR(VLOOKUP($E270,'BASE DE DATOS'!$A:$I,3,0),0)</f>
        <v>0</v>
      </c>
      <c r="I270" s="46">
        <f>IFERROR(VLOOKUP($E270,'BASE DE DATOS'!$A:$I,3,0),0)</f>
        <v>0</v>
      </c>
      <c r="J270" s="46">
        <f>IFERROR(VLOOKUP($E270,'BASE DE DATOS'!$A:$I,3,0),0)</f>
        <v>0</v>
      </c>
      <c r="K270" s="46">
        <f>IFERROR(VLOOKUP($E529,'BASE DE DATOS'!$A:$I,3,0),0)</f>
        <v>0</v>
      </c>
      <c r="L270" s="46">
        <f>IFERROR(VLOOKUP($E270,'BASE DE DATOS'!$A:$I,3,0),0)</f>
        <v>0</v>
      </c>
      <c r="M270" s="70"/>
      <c r="N270" s="3"/>
    </row>
    <row r="271" spans="4:14" x14ac:dyDescent="0.25">
      <c r="D271" s="46" t="str">
        <f>IFERROR(VLOOKUP($E271,'BASE DE DATOS'!$A:$I,2,0)," ")</f>
        <v xml:space="preserve"> </v>
      </c>
      <c r="F271" s="46">
        <f>IFERROR(VLOOKUP($E284,'BASE DE DATOS'!$A:$I,3,0),0)</f>
        <v>0</v>
      </c>
      <c r="G271" s="46">
        <f>IFERROR(VLOOKUP($E271,'BASE DE DATOS'!$A:$I,3,0),0)</f>
        <v>0</v>
      </c>
      <c r="H271" s="46">
        <f>IFERROR(VLOOKUP($E271,'BASE DE DATOS'!$A:$I,3,0),0)</f>
        <v>0</v>
      </c>
      <c r="I271" s="46">
        <f>IFERROR(VLOOKUP($E271,'BASE DE DATOS'!$A:$I,3,0),0)</f>
        <v>0</v>
      </c>
      <c r="J271" s="46">
        <f>IFERROR(VLOOKUP($E271,'BASE DE DATOS'!$A:$I,3,0),0)</f>
        <v>0</v>
      </c>
      <c r="K271" s="46">
        <f>IFERROR(VLOOKUP($E530,'BASE DE DATOS'!$A:$I,3,0),0)</f>
        <v>0</v>
      </c>
      <c r="L271" s="46">
        <f>IFERROR(VLOOKUP($E271,'BASE DE DATOS'!$A:$I,3,0),0)</f>
        <v>0</v>
      </c>
      <c r="M271" s="70"/>
      <c r="N271" s="3"/>
    </row>
    <row r="272" spans="4:14" x14ac:dyDescent="0.25">
      <c r="D272" s="46" t="str">
        <f>IFERROR(VLOOKUP($E272,'BASE DE DATOS'!$A:$I,2,0)," ")</f>
        <v xml:space="preserve"> </v>
      </c>
      <c r="F272" s="46">
        <f>IFERROR(VLOOKUP($E285,'BASE DE DATOS'!$A:$I,3,0),0)</f>
        <v>0</v>
      </c>
      <c r="G272" s="46">
        <f>IFERROR(VLOOKUP($E272,'BASE DE DATOS'!$A:$I,3,0),0)</f>
        <v>0</v>
      </c>
      <c r="H272" s="46">
        <f>IFERROR(VLOOKUP($E272,'BASE DE DATOS'!$A:$I,3,0),0)</f>
        <v>0</v>
      </c>
      <c r="I272" s="46">
        <f>IFERROR(VLOOKUP($E272,'BASE DE DATOS'!$A:$I,3,0),0)</f>
        <v>0</v>
      </c>
      <c r="J272" s="46">
        <f>IFERROR(VLOOKUP($E272,'BASE DE DATOS'!$A:$I,3,0),0)</f>
        <v>0</v>
      </c>
      <c r="K272" s="46">
        <f>IFERROR(VLOOKUP($E531,'BASE DE DATOS'!$A:$I,3,0),0)</f>
        <v>0</v>
      </c>
      <c r="L272" s="46">
        <f>IFERROR(VLOOKUP($E272,'BASE DE DATOS'!$A:$I,3,0),0)</f>
        <v>0</v>
      </c>
      <c r="M272" s="70"/>
      <c r="N272" s="3"/>
    </row>
    <row r="273" spans="1:32" x14ac:dyDescent="0.25">
      <c r="D273" s="46" t="str">
        <f>IFERROR(VLOOKUP($E273,'BASE DE DATOS'!$A:$I,2,0)," ")</f>
        <v xml:space="preserve"> </v>
      </c>
      <c r="F273" s="46">
        <f>IFERROR(VLOOKUP($E286,'BASE DE DATOS'!$A:$I,3,0),0)</f>
        <v>0</v>
      </c>
      <c r="G273" s="46">
        <f>IFERROR(VLOOKUP($E273,'BASE DE DATOS'!$A:$I,3,0),0)</f>
        <v>0</v>
      </c>
      <c r="H273" s="46">
        <f>IFERROR(VLOOKUP($E273,'BASE DE DATOS'!$A:$I,3,0),0)</f>
        <v>0</v>
      </c>
      <c r="I273" s="46">
        <f>IFERROR(VLOOKUP($E273,'BASE DE DATOS'!$A:$I,3,0),0)</f>
        <v>0</v>
      </c>
      <c r="J273" s="46">
        <f>IFERROR(VLOOKUP($E273,'BASE DE DATOS'!$A:$I,3,0),0)</f>
        <v>0</v>
      </c>
      <c r="K273" s="46">
        <f>IFERROR(VLOOKUP($E532,'BASE DE DATOS'!$A:$I,3,0),0)</f>
        <v>0</v>
      </c>
      <c r="L273" s="46">
        <f>IFERROR(VLOOKUP($E273,'BASE DE DATOS'!$A:$I,3,0),0)</f>
        <v>0</v>
      </c>
      <c r="M273" s="70"/>
      <c r="N273" s="3"/>
    </row>
    <row r="274" spans="1:32" x14ac:dyDescent="0.25">
      <c r="D274" s="46" t="str">
        <f>IFERROR(VLOOKUP($E274,'BASE DE DATOS'!$A:$I,2,0)," ")</f>
        <v xml:space="preserve"> </v>
      </c>
      <c r="F274" s="46">
        <f>IFERROR(VLOOKUP($E287,'BASE DE DATOS'!$A:$I,3,0),0)</f>
        <v>0</v>
      </c>
      <c r="G274" s="46">
        <f>IFERROR(VLOOKUP($E274,'BASE DE DATOS'!$A:$I,3,0),0)</f>
        <v>0</v>
      </c>
      <c r="H274" s="46">
        <f>IFERROR(VLOOKUP($E274,'BASE DE DATOS'!$A:$I,3,0),0)</f>
        <v>0</v>
      </c>
      <c r="I274" s="46">
        <f>IFERROR(VLOOKUP($E274,'BASE DE DATOS'!$A:$I,3,0),0)</f>
        <v>0</v>
      </c>
      <c r="J274" s="46">
        <f>IFERROR(VLOOKUP($E274,'BASE DE DATOS'!$A:$I,3,0),0)</f>
        <v>0</v>
      </c>
      <c r="K274" s="46">
        <f>IFERROR(VLOOKUP($E533,'BASE DE DATOS'!$A:$I,3,0),0)</f>
        <v>0</v>
      </c>
      <c r="L274" s="46">
        <f>IFERROR(VLOOKUP($E274,'BASE DE DATOS'!$A:$I,3,0),0)</f>
        <v>0</v>
      </c>
      <c r="M274" s="70"/>
      <c r="N274" s="3"/>
    </row>
    <row r="275" spans="1:32" x14ac:dyDescent="0.25">
      <c r="D275" s="46" t="str">
        <f>IFERROR(VLOOKUP($E275,'BASE DE DATOS'!$A:$I,2,0)," ")</f>
        <v xml:space="preserve"> </v>
      </c>
      <c r="F275" s="46">
        <f>IFERROR(VLOOKUP($E288,'BASE DE DATOS'!$A:$I,3,0),0)</f>
        <v>0</v>
      </c>
      <c r="G275" s="46">
        <f>IFERROR(VLOOKUP($E275,'BASE DE DATOS'!$A:$I,3,0),0)</f>
        <v>0</v>
      </c>
      <c r="H275" s="46">
        <f>IFERROR(VLOOKUP($E275,'BASE DE DATOS'!$A:$I,3,0),0)</f>
        <v>0</v>
      </c>
      <c r="I275" s="46">
        <f>IFERROR(VLOOKUP($E275,'BASE DE DATOS'!$A:$I,3,0),0)</f>
        <v>0</v>
      </c>
      <c r="J275" s="46">
        <f>IFERROR(VLOOKUP($E275,'BASE DE DATOS'!$A:$I,3,0),0)</f>
        <v>0</v>
      </c>
      <c r="K275" s="46">
        <f>IFERROR(VLOOKUP($E534,'BASE DE DATOS'!$A:$I,3,0),0)</f>
        <v>0</v>
      </c>
      <c r="L275" s="46">
        <f>IFERROR(VLOOKUP($E275,'BASE DE DATOS'!$A:$I,3,0),0)</f>
        <v>0</v>
      </c>
      <c r="M275" s="70"/>
      <c r="N275" s="3"/>
    </row>
    <row r="276" spans="1:32" x14ac:dyDescent="0.25">
      <c r="D276" s="46" t="str">
        <f>IFERROR(VLOOKUP($E276,'BASE DE DATOS'!$A:$I,2,0)," ")</f>
        <v xml:space="preserve"> </v>
      </c>
      <c r="F276" s="46">
        <f>IFERROR(VLOOKUP($E289,'BASE DE DATOS'!$A:$I,3,0),0)</f>
        <v>0</v>
      </c>
      <c r="G276" s="46">
        <f>IFERROR(VLOOKUP($E276,'BASE DE DATOS'!$A:$I,3,0),0)</f>
        <v>0</v>
      </c>
      <c r="H276" s="46">
        <f>IFERROR(VLOOKUP($E276,'BASE DE DATOS'!$A:$I,3,0),0)</f>
        <v>0</v>
      </c>
      <c r="I276" s="46">
        <f>IFERROR(VLOOKUP($E276,'BASE DE DATOS'!$A:$I,3,0),0)</f>
        <v>0</v>
      </c>
      <c r="J276" s="46">
        <f>IFERROR(VLOOKUP($E276,'BASE DE DATOS'!$A:$I,3,0),0)</f>
        <v>0</v>
      </c>
      <c r="K276" s="46">
        <f>IFERROR(VLOOKUP($E535,'BASE DE DATOS'!$A:$I,3,0),0)</f>
        <v>0</v>
      </c>
      <c r="L276" s="46">
        <f>IFERROR(VLOOKUP($E276,'BASE DE DATOS'!$A:$I,3,0),0)</f>
        <v>0</v>
      </c>
      <c r="M276" s="70"/>
      <c r="N276" s="3"/>
    </row>
    <row r="277" spans="1:32" x14ac:dyDescent="0.25">
      <c r="D277" s="46" t="str">
        <f>IFERROR(VLOOKUP($E277,'BASE DE DATOS'!$A:$I,2,0)," ")</f>
        <v xml:space="preserve"> </v>
      </c>
      <c r="F277" s="46">
        <f>IFERROR(VLOOKUP($E290,'BASE DE DATOS'!$A:$I,3,0),0)</f>
        <v>0</v>
      </c>
      <c r="G277" s="46">
        <f>IFERROR(VLOOKUP($E277,'BASE DE DATOS'!$A:$I,3,0),0)</f>
        <v>0</v>
      </c>
      <c r="H277" s="46">
        <f>IFERROR(VLOOKUP($E277,'BASE DE DATOS'!$A:$I,3,0),0)</f>
        <v>0</v>
      </c>
      <c r="I277" s="46">
        <f>IFERROR(VLOOKUP($E277,'BASE DE DATOS'!$A:$I,3,0),0)</f>
        <v>0</v>
      </c>
      <c r="J277" s="46">
        <f>IFERROR(VLOOKUP($E277,'BASE DE DATOS'!$A:$I,3,0),0)</f>
        <v>0</v>
      </c>
      <c r="K277" s="46">
        <f>IFERROR(VLOOKUP($E536,'BASE DE DATOS'!$A:$I,3,0),0)</f>
        <v>0</v>
      </c>
      <c r="L277" s="46">
        <f>IFERROR(VLOOKUP($E277,'BASE DE DATOS'!$A:$I,3,0),0)</f>
        <v>0</v>
      </c>
      <c r="M277" s="70"/>
      <c r="N277" s="3"/>
    </row>
    <row r="278" spans="1:32" x14ac:dyDescent="0.25">
      <c r="D278" s="46" t="str">
        <f>IFERROR(VLOOKUP($E278,'BASE DE DATOS'!$A:$I,2,0)," ")</f>
        <v xml:space="preserve"> </v>
      </c>
      <c r="F278" s="46">
        <f>IFERROR(VLOOKUP($E291,'BASE DE DATOS'!$A:$I,3,0),0)</f>
        <v>0</v>
      </c>
      <c r="G278" s="46">
        <f>IFERROR(VLOOKUP($E278,'BASE DE DATOS'!$A:$I,3,0),0)</f>
        <v>0</v>
      </c>
      <c r="H278" s="46">
        <f>IFERROR(VLOOKUP($E278,'BASE DE DATOS'!$A:$I,3,0),0)</f>
        <v>0</v>
      </c>
      <c r="I278" s="46">
        <f>IFERROR(VLOOKUP($E278,'BASE DE DATOS'!$A:$I,3,0),0)</f>
        <v>0</v>
      </c>
      <c r="J278" s="46">
        <f>IFERROR(VLOOKUP($E278,'BASE DE DATOS'!$A:$I,3,0),0)</f>
        <v>0</v>
      </c>
      <c r="K278" s="46">
        <f>IFERROR(VLOOKUP($E537,'BASE DE DATOS'!$A:$I,3,0),0)</f>
        <v>0</v>
      </c>
      <c r="L278" s="46">
        <f>IFERROR(VLOOKUP($E278,'BASE DE DATOS'!$A:$I,3,0),0)</f>
        <v>0</v>
      </c>
      <c r="M278" s="70"/>
      <c r="N278" s="3"/>
    </row>
    <row r="279" spans="1:32" x14ac:dyDescent="0.25">
      <c r="D279" s="46" t="str">
        <f>IFERROR(VLOOKUP($E279,'BASE DE DATOS'!$A:$I,2,0)," ")</f>
        <v xml:space="preserve"> </v>
      </c>
      <c r="F279" s="46">
        <f>IFERROR(VLOOKUP($E292,'BASE DE DATOS'!$A:$I,3,0),0)</f>
        <v>0</v>
      </c>
      <c r="G279" s="46">
        <f>IFERROR(VLOOKUP($E279,'BASE DE DATOS'!$A:$I,3,0),0)</f>
        <v>0</v>
      </c>
      <c r="H279" s="46">
        <f>IFERROR(VLOOKUP($E279,'BASE DE DATOS'!$A:$I,3,0),0)</f>
        <v>0</v>
      </c>
      <c r="I279" s="46">
        <f>IFERROR(VLOOKUP($E279,'BASE DE DATOS'!$A:$I,3,0),0)</f>
        <v>0</v>
      </c>
      <c r="J279" s="46">
        <f>IFERROR(VLOOKUP($E279,'BASE DE DATOS'!$A:$I,3,0),0)</f>
        <v>0</v>
      </c>
      <c r="K279" s="46">
        <f>IFERROR(VLOOKUP($E538,'BASE DE DATOS'!$A:$I,3,0),0)</f>
        <v>0</v>
      </c>
      <c r="L279" s="46">
        <f>IFERROR(VLOOKUP($E279,'BASE DE DATOS'!$A:$I,3,0),0)</f>
        <v>0</v>
      </c>
      <c r="M279" s="70"/>
      <c r="N279" s="3"/>
    </row>
    <row r="280" spans="1:32" x14ac:dyDescent="0.25">
      <c r="D280" s="46" t="str">
        <f>IFERROR(VLOOKUP($E280,'BASE DE DATOS'!$A:$I,2,0)," ")</f>
        <v xml:space="preserve"> </v>
      </c>
      <c r="F280" s="46">
        <f>IFERROR(VLOOKUP($E293,'BASE DE DATOS'!$A:$I,3,0),0)</f>
        <v>0</v>
      </c>
      <c r="G280" s="46">
        <f>IFERROR(VLOOKUP($E280,'BASE DE DATOS'!$A:$I,3,0),0)</f>
        <v>0</v>
      </c>
      <c r="H280" s="46">
        <f>IFERROR(VLOOKUP($E280,'BASE DE DATOS'!$A:$I,3,0),0)</f>
        <v>0</v>
      </c>
      <c r="I280" s="46">
        <f>IFERROR(VLOOKUP($E280,'BASE DE DATOS'!$A:$I,3,0),0)</f>
        <v>0</v>
      </c>
      <c r="J280" s="46">
        <f>IFERROR(VLOOKUP($E280,'BASE DE DATOS'!$A:$I,3,0),0)</f>
        <v>0</v>
      </c>
      <c r="K280" s="46">
        <f>IFERROR(VLOOKUP($E539,'BASE DE DATOS'!$A:$I,3,0),0)</f>
        <v>0</v>
      </c>
      <c r="L280" s="46">
        <f>IFERROR(VLOOKUP($E280,'BASE DE DATOS'!$A:$I,3,0),0)</f>
        <v>0</v>
      </c>
      <c r="M280" s="70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5">
      <c r="D281" s="46" t="str">
        <f>IFERROR(VLOOKUP($E281,'BASE DE DATOS'!$A:$I,2,0)," ")</f>
        <v xml:space="preserve"> </v>
      </c>
      <c r="F281" s="46">
        <f>IFERROR(VLOOKUP($E294,'BASE DE DATOS'!$A:$I,3,0),0)</f>
        <v>0</v>
      </c>
      <c r="G281" s="46">
        <f>IFERROR(VLOOKUP($E281,'BASE DE DATOS'!$A:$I,3,0),0)</f>
        <v>0</v>
      </c>
      <c r="H281" s="46">
        <f>IFERROR(VLOOKUP($E281,'BASE DE DATOS'!$A:$I,3,0),0)</f>
        <v>0</v>
      </c>
      <c r="I281" s="46">
        <f>IFERROR(VLOOKUP($E281,'BASE DE DATOS'!$A:$I,3,0),0)</f>
        <v>0</v>
      </c>
      <c r="J281" s="46">
        <f>IFERROR(VLOOKUP($E281,'BASE DE DATOS'!$A:$I,3,0),0)</f>
        <v>0</v>
      </c>
      <c r="K281" s="46">
        <f>IFERROR(VLOOKUP($E540,'BASE DE DATOS'!$A:$I,3,0),0)</f>
        <v>0</v>
      </c>
      <c r="L281" s="46">
        <f>IFERROR(VLOOKUP($E281,'BASE DE DATOS'!$A:$I,3,0),0)</f>
        <v>0</v>
      </c>
      <c r="M281" s="70"/>
      <c r="N281" s="3"/>
    </row>
    <row r="282" spans="1:32" x14ac:dyDescent="0.25">
      <c r="D282" s="46" t="str">
        <f>IFERROR(VLOOKUP($E282,'BASE DE DATOS'!$A:$I,2,0)," ")</f>
        <v xml:space="preserve"> </v>
      </c>
      <c r="F282" s="46">
        <f>IFERROR(VLOOKUP($E295,'BASE DE DATOS'!$A:$I,3,0),0)</f>
        <v>0</v>
      </c>
      <c r="G282" s="46">
        <f>IFERROR(VLOOKUP($E282,'BASE DE DATOS'!$A:$I,3,0),0)</f>
        <v>0</v>
      </c>
      <c r="H282" s="46">
        <f>IFERROR(VLOOKUP($E282,'BASE DE DATOS'!$A:$I,3,0),0)</f>
        <v>0</v>
      </c>
      <c r="I282" s="46">
        <f>IFERROR(VLOOKUP($E282,'BASE DE DATOS'!$A:$I,3,0),0)</f>
        <v>0</v>
      </c>
      <c r="J282" s="46">
        <f>IFERROR(VLOOKUP($E282,'BASE DE DATOS'!$A:$I,3,0),0)</f>
        <v>0</v>
      </c>
      <c r="K282" s="46">
        <f>IFERROR(VLOOKUP($E541,'BASE DE DATOS'!$A:$I,3,0),0)</f>
        <v>0</v>
      </c>
      <c r="L282" s="46">
        <f>IFERROR(VLOOKUP($E282,'BASE DE DATOS'!$A:$I,3,0),0)</f>
        <v>0</v>
      </c>
      <c r="M282" s="70"/>
      <c r="N282" s="3"/>
    </row>
    <row r="283" spans="1:32" x14ac:dyDescent="0.25">
      <c r="D283" s="46" t="str">
        <f>IFERROR(VLOOKUP($E283,'BASE DE DATOS'!$A:$I,2,0)," ")</f>
        <v xml:space="preserve"> </v>
      </c>
      <c r="F283" s="46">
        <f>IFERROR(VLOOKUP($E296,'BASE DE DATOS'!$A:$I,3,0),0)</f>
        <v>0</v>
      </c>
      <c r="G283" s="46">
        <f>IFERROR(VLOOKUP($E283,'BASE DE DATOS'!$A:$I,3,0),0)</f>
        <v>0</v>
      </c>
      <c r="H283" s="46">
        <f>IFERROR(VLOOKUP($E283,'BASE DE DATOS'!$A:$I,3,0),0)</f>
        <v>0</v>
      </c>
      <c r="I283" s="46">
        <f>IFERROR(VLOOKUP($E283,'BASE DE DATOS'!$A:$I,3,0),0)</f>
        <v>0</v>
      </c>
      <c r="J283" s="46">
        <f>IFERROR(VLOOKUP($E283,'BASE DE DATOS'!$A:$I,3,0),0)</f>
        <v>0</v>
      </c>
      <c r="K283" s="46">
        <f>IFERROR(VLOOKUP($E542,'BASE DE DATOS'!$A:$I,3,0),0)</f>
        <v>0</v>
      </c>
      <c r="L283" s="46">
        <f>IFERROR(VLOOKUP($E283,'BASE DE DATOS'!$A:$I,3,0),0)</f>
        <v>0</v>
      </c>
      <c r="M283" s="70"/>
      <c r="N283" s="3"/>
    </row>
    <row r="284" spans="1:32" x14ac:dyDescent="0.25">
      <c r="D284" s="46" t="str">
        <f>IFERROR(VLOOKUP($E284,'BASE DE DATOS'!$A:$I,2,0)," ")</f>
        <v xml:space="preserve"> </v>
      </c>
      <c r="F284" s="46">
        <f>IFERROR(VLOOKUP($E297,'BASE DE DATOS'!$A:$I,3,0),0)</f>
        <v>0</v>
      </c>
      <c r="G284" s="46">
        <f>IFERROR(VLOOKUP($E284,'BASE DE DATOS'!$A:$I,3,0),0)</f>
        <v>0</v>
      </c>
      <c r="H284" s="46">
        <f>IFERROR(VLOOKUP($E284,'BASE DE DATOS'!$A:$I,3,0),0)</f>
        <v>0</v>
      </c>
      <c r="I284" s="46">
        <f>IFERROR(VLOOKUP($E284,'BASE DE DATOS'!$A:$I,3,0),0)</f>
        <v>0</v>
      </c>
      <c r="J284" s="46">
        <f>IFERROR(VLOOKUP($E284,'BASE DE DATOS'!$A:$I,3,0),0)</f>
        <v>0</v>
      </c>
      <c r="K284" s="46">
        <f>IFERROR(VLOOKUP($E543,'BASE DE DATOS'!$A:$I,3,0),0)</f>
        <v>0</v>
      </c>
      <c r="L284" s="46">
        <f>IFERROR(VLOOKUP($E284,'BASE DE DATOS'!$A:$I,3,0),0)</f>
        <v>0</v>
      </c>
      <c r="M284" s="70"/>
      <c r="N284" s="3"/>
    </row>
    <row r="285" spans="1:32" x14ac:dyDescent="0.25">
      <c r="D285" s="46" t="str">
        <f>IFERROR(VLOOKUP($E285,'BASE DE DATOS'!$A:$I,2,0)," ")</f>
        <v xml:space="preserve"> </v>
      </c>
      <c r="F285" s="46">
        <f>IFERROR(VLOOKUP($E298,'BASE DE DATOS'!$A:$I,3,0),0)</f>
        <v>0</v>
      </c>
      <c r="G285" s="46">
        <f>IFERROR(VLOOKUP($E285,'BASE DE DATOS'!$A:$I,3,0),0)</f>
        <v>0</v>
      </c>
      <c r="H285" s="46">
        <f>IFERROR(VLOOKUP($E285,'BASE DE DATOS'!$A:$I,3,0),0)</f>
        <v>0</v>
      </c>
      <c r="I285" s="46">
        <f>IFERROR(VLOOKUP($E285,'BASE DE DATOS'!$A:$I,3,0),0)</f>
        <v>0</v>
      </c>
      <c r="J285" s="46">
        <f>IFERROR(VLOOKUP($E285,'BASE DE DATOS'!$A:$I,3,0),0)</f>
        <v>0</v>
      </c>
      <c r="K285" s="46">
        <f>IFERROR(VLOOKUP($E544,'BASE DE DATOS'!$A:$I,3,0),0)</f>
        <v>0</v>
      </c>
      <c r="L285" s="46">
        <f>IFERROR(VLOOKUP($E285,'BASE DE DATOS'!$A:$I,3,0),0)</f>
        <v>0</v>
      </c>
      <c r="M285" s="70"/>
      <c r="N285" s="3"/>
    </row>
    <row r="286" spans="1:32" x14ac:dyDescent="0.25">
      <c r="D286" s="46" t="str">
        <f>IFERROR(VLOOKUP($E286,'BASE DE DATOS'!$A:$I,2,0)," ")</f>
        <v xml:space="preserve"> </v>
      </c>
      <c r="F286" s="46">
        <f>IFERROR(VLOOKUP($E299,'BASE DE DATOS'!$A:$I,3,0),0)</f>
        <v>0</v>
      </c>
      <c r="G286" s="46">
        <f>IFERROR(VLOOKUP($E286,'BASE DE DATOS'!$A:$I,3,0),0)</f>
        <v>0</v>
      </c>
      <c r="H286" s="46">
        <f>IFERROR(VLOOKUP($E286,'BASE DE DATOS'!$A:$I,3,0),0)</f>
        <v>0</v>
      </c>
      <c r="I286" s="46">
        <f>IFERROR(VLOOKUP($E286,'BASE DE DATOS'!$A:$I,3,0),0)</f>
        <v>0</v>
      </c>
      <c r="J286" s="46">
        <f>IFERROR(VLOOKUP($E286,'BASE DE DATOS'!$A:$I,3,0),0)</f>
        <v>0</v>
      </c>
      <c r="K286" s="46">
        <f>IFERROR(VLOOKUP($E545,'BASE DE DATOS'!$A:$I,3,0),0)</f>
        <v>0</v>
      </c>
      <c r="L286" s="46">
        <f>IFERROR(VLOOKUP($E286,'BASE DE DATOS'!$A:$I,3,0),0)</f>
        <v>0</v>
      </c>
      <c r="M286" s="70"/>
      <c r="N286" s="3"/>
    </row>
    <row r="287" spans="1:32" s="14" customFormat="1" x14ac:dyDescent="0.25">
      <c r="A287" s="3"/>
      <c r="B287" s="34"/>
      <c r="C287" s="3"/>
      <c r="D287" s="46" t="str">
        <f>IFERROR(VLOOKUP($E287,'BASE DE DATOS'!$A:$I,2,0)," ")</f>
        <v xml:space="preserve"> </v>
      </c>
      <c r="E287" s="66"/>
      <c r="F287" s="46">
        <f>IFERROR(VLOOKUP($E300,'BASE DE DATOS'!$A:$I,3,0),0)</f>
        <v>0</v>
      </c>
      <c r="G287" s="46">
        <f>IFERROR(VLOOKUP($E287,'BASE DE DATOS'!$A:$I,3,0),0)</f>
        <v>0</v>
      </c>
      <c r="H287" s="46">
        <f>IFERROR(VLOOKUP($E287,'BASE DE DATOS'!$A:$I,3,0),0)</f>
        <v>0</v>
      </c>
      <c r="I287" s="46">
        <f>IFERROR(VLOOKUP($E287,'BASE DE DATOS'!$A:$I,3,0),0)</f>
        <v>0</v>
      </c>
      <c r="J287" s="46">
        <f>IFERROR(VLOOKUP($E287,'BASE DE DATOS'!$A:$I,3,0),0)</f>
        <v>0</v>
      </c>
      <c r="K287" s="46">
        <f>IFERROR(VLOOKUP($E546,'BASE DE DATOS'!$A:$I,3,0),0)</f>
        <v>0</v>
      </c>
      <c r="L287" s="46">
        <f>IFERROR(VLOOKUP($E287,'BASE DE DATOS'!$A:$I,3,0),0)</f>
        <v>0</v>
      </c>
      <c r="M287" s="70"/>
      <c r="N287" s="1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x14ac:dyDescent="0.25">
      <c r="D288" s="46" t="str">
        <f>IFERROR(VLOOKUP($E288,'BASE DE DATOS'!$A:$I,2,0)," ")</f>
        <v xml:space="preserve"> </v>
      </c>
      <c r="F288" s="46">
        <f>IFERROR(VLOOKUP($E301,'BASE DE DATOS'!$A:$I,3,0),0)</f>
        <v>0</v>
      </c>
      <c r="G288" s="46">
        <f>IFERROR(VLOOKUP($E288,'BASE DE DATOS'!$A:$I,3,0),0)</f>
        <v>0</v>
      </c>
      <c r="H288" s="46">
        <f>IFERROR(VLOOKUP($E288,'BASE DE DATOS'!$A:$I,3,0),0)</f>
        <v>0</v>
      </c>
      <c r="I288" s="46">
        <f>IFERROR(VLOOKUP($E288,'BASE DE DATOS'!$A:$I,3,0),0)</f>
        <v>0</v>
      </c>
      <c r="J288" s="46">
        <f>IFERROR(VLOOKUP($E288,'BASE DE DATOS'!$A:$I,3,0),0)</f>
        <v>0</v>
      </c>
      <c r="K288" s="46">
        <f>IFERROR(VLOOKUP($E547,'BASE DE DATOS'!$A:$I,3,0),0)</f>
        <v>0</v>
      </c>
      <c r="L288" s="46">
        <f>IFERROR(VLOOKUP($E288,'BASE DE DATOS'!$A:$I,3,0),0)</f>
        <v>0</v>
      </c>
      <c r="M288" s="70"/>
      <c r="N288" s="3"/>
    </row>
    <row r="289" spans="4:14" x14ac:dyDescent="0.25">
      <c r="D289" s="46" t="str">
        <f>IFERROR(VLOOKUP($E289,'BASE DE DATOS'!$A:$I,2,0)," ")</f>
        <v xml:space="preserve"> </v>
      </c>
      <c r="F289" s="46">
        <f>IFERROR(VLOOKUP($E302,'BASE DE DATOS'!$A:$I,3,0),0)</f>
        <v>0</v>
      </c>
      <c r="G289" s="46">
        <f>IFERROR(VLOOKUP($E289,'BASE DE DATOS'!$A:$I,3,0),0)</f>
        <v>0</v>
      </c>
      <c r="H289" s="46">
        <f>IFERROR(VLOOKUP($E289,'BASE DE DATOS'!$A:$I,3,0),0)</f>
        <v>0</v>
      </c>
      <c r="I289" s="46">
        <f>IFERROR(VLOOKUP($E289,'BASE DE DATOS'!$A:$I,3,0),0)</f>
        <v>0</v>
      </c>
      <c r="J289" s="46">
        <f>IFERROR(VLOOKUP($E289,'BASE DE DATOS'!$A:$I,3,0),0)</f>
        <v>0</v>
      </c>
      <c r="K289" s="46">
        <f>IFERROR(VLOOKUP($E548,'BASE DE DATOS'!$A:$I,3,0),0)</f>
        <v>0</v>
      </c>
      <c r="L289" s="46">
        <f>IFERROR(VLOOKUP($E289,'BASE DE DATOS'!$A:$I,3,0),0)</f>
        <v>0</v>
      </c>
      <c r="M289" s="70"/>
      <c r="N289" s="3"/>
    </row>
    <row r="290" spans="4:14" x14ac:dyDescent="0.25">
      <c r="D290" s="46" t="str">
        <f>IFERROR(VLOOKUP($E290,'BASE DE DATOS'!$A:$I,2,0)," ")</f>
        <v xml:space="preserve"> </v>
      </c>
      <c r="F290" s="46">
        <f>IFERROR(VLOOKUP($E303,'BASE DE DATOS'!$A:$I,3,0),0)</f>
        <v>0</v>
      </c>
      <c r="G290" s="46">
        <f>IFERROR(VLOOKUP($E290,'BASE DE DATOS'!$A:$I,3,0),0)</f>
        <v>0</v>
      </c>
      <c r="H290" s="46">
        <f>IFERROR(VLOOKUP($E290,'BASE DE DATOS'!$A:$I,3,0),0)</f>
        <v>0</v>
      </c>
      <c r="I290" s="46">
        <f>IFERROR(VLOOKUP($E290,'BASE DE DATOS'!$A:$I,3,0),0)</f>
        <v>0</v>
      </c>
      <c r="J290" s="46">
        <f>IFERROR(VLOOKUP($E290,'BASE DE DATOS'!$A:$I,3,0),0)</f>
        <v>0</v>
      </c>
      <c r="K290" s="46">
        <f>IFERROR(VLOOKUP($E549,'BASE DE DATOS'!$A:$I,3,0),0)</f>
        <v>0</v>
      </c>
      <c r="L290" s="46">
        <f>IFERROR(VLOOKUP($E290,'BASE DE DATOS'!$A:$I,3,0),0)</f>
        <v>0</v>
      </c>
      <c r="M290" s="70"/>
      <c r="N290" s="3"/>
    </row>
    <row r="291" spans="4:14" x14ac:dyDescent="0.25">
      <c r="D291" s="46" t="str">
        <f>IFERROR(VLOOKUP($E291,'BASE DE DATOS'!$A:$I,2,0)," ")</f>
        <v xml:space="preserve"> </v>
      </c>
      <c r="F291" s="46">
        <f>IFERROR(VLOOKUP($E304,'BASE DE DATOS'!$A:$I,3,0),0)</f>
        <v>0</v>
      </c>
      <c r="G291" s="46">
        <f>IFERROR(VLOOKUP($E291,'BASE DE DATOS'!$A:$I,3,0),0)</f>
        <v>0</v>
      </c>
      <c r="H291" s="46">
        <f>IFERROR(VLOOKUP($E291,'BASE DE DATOS'!$A:$I,3,0),0)</f>
        <v>0</v>
      </c>
      <c r="I291" s="46">
        <f>IFERROR(VLOOKUP($E291,'BASE DE DATOS'!$A:$I,3,0),0)</f>
        <v>0</v>
      </c>
      <c r="J291" s="46">
        <f>IFERROR(VLOOKUP($E291,'BASE DE DATOS'!$A:$I,3,0),0)</f>
        <v>0</v>
      </c>
      <c r="K291" s="46">
        <f>IFERROR(VLOOKUP($E550,'BASE DE DATOS'!$A:$I,3,0),0)</f>
        <v>0</v>
      </c>
      <c r="L291" s="46">
        <f>IFERROR(VLOOKUP($E291,'BASE DE DATOS'!$A:$I,3,0),0)</f>
        <v>0</v>
      </c>
      <c r="M291" s="70"/>
      <c r="N291" s="3"/>
    </row>
    <row r="292" spans="4:14" x14ac:dyDescent="0.25">
      <c r="D292" s="46" t="str">
        <f>IFERROR(VLOOKUP($E292,'BASE DE DATOS'!$A:$I,2,0)," ")</f>
        <v xml:space="preserve"> </v>
      </c>
      <c r="F292" s="46">
        <f>IFERROR(VLOOKUP($E305,'BASE DE DATOS'!$A:$I,3,0),0)</f>
        <v>0</v>
      </c>
      <c r="G292" s="46">
        <f>IFERROR(VLOOKUP($E292,'BASE DE DATOS'!$A:$I,3,0),0)</f>
        <v>0</v>
      </c>
      <c r="H292" s="46">
        <f>IFERROR(VLOOKUP($E292,'BASE DE DATOS'!$A:$I,3,0),0)</f>
        <v>0</v>
      </c>
      <c r="I292" s="46">
        <f>IFERROR(VLOOKUP($E292,'BASE DE DATOS'!$A:$I,3,0),0)</f>
        <v>0</v>
      </c>
      <c r="J292" s="46">
        <f>IFERROR(VLOOKUP($E292,'BASE DE DATOS'!$A:$I,3,0),0)</f>
        <v>0</v>
      </c>
      <c r="K292" s="46">
        <f>IFERROR(VLOOKUP($E551,'BASE DE DATOS'!$A:$I,3,0),0)</f>
        <v>0</v>
      </c>
      <c r="L292" s="46">
        <f>IFERROR(VLOOKUP($E292,'BASE DE DATOS'!$A:$I,3,0),0)</f>
        <v>0</v>
      </c>
      <c r="M292" s="70"/>
      <c r="N292" s="3"/>
    </row>
    <row r="293" spans="4:14" x14ac:dyDescent="0.25">
      <c r="D293" s="46" t="str">
        <f>IFERROR(VLOOKUP($E293,'BASE DE DATOS'!$A:$I,2,0)," ")</f>
        <v xml:space="preserve"> </v>
      </c>
      <c r="F293" s="46">
        <f>IFERROR(VLOOKUP($E306,'BASE DE DATOS'!$A:$I,3,0),0)</f>
        <v>0</v>
      </c>
      <c r="G293" s="46">
        <f>IFERROR(VLOOKUP($E293,'BASE DE DATOS'!$A:$I,3,0),0)</f>
        <v>0</v>
      </c>
      <c r="H293" s="46">
        <f>IFERROR(VLOOKUP($E293,'BASE DE DATOS'!$A:$I,3,0),0)</f>
        <v>0</v>
      </c>
      <c r="I293" s="46">
        <f>IFERROR(VLOOKUP($E293,'BASE DE DATOS'!$A:$I,3,0),0)</f>
        <v>0</v>
      </c>
      <c r="J293" s="46">
        <f>IFERROR(VLOOKUP($E293,'BASE DE DATOS'!$A:$I,3,0),0)</f>
        <v>0</v>
      </c>
      <c r="K293" s="46">
        <f>IFERROR(VLOOKUP($E552,'BASE DE DATOS'!$A:$I,3,0),0)</f>
        <v>0</v>
      </c>
      <c r="L293" s="46">
        <f>IFERROR(VLOOKUP($E293,'BASE DE DATOS'!$A:$I,3,0),0)</f>
        <v>0</v>
      </c>
      <c r="M293" s="70"/>
      <c r="N293" s="3"/>
    </row>
    <row r="294" spans="4:14" x14ac:dyDescent="0.25">
      <c r="D294" s="46" t="str">
        <f>IFERROR(VLOOKUP($E294,'BASE DE DATOS'!$A:$I,2,0)," ")</f>
        <v xml:space="preserve"> </v>
      </c>
      <c r="F294" s="46">
        <f>IFERROR(VLOOKUP($E307,'BASE DE DATOS'!$A:$I,3,0),0)</f>
        <v>0</v>
      </c>
      <c r="G294" s="46">
        <f>IFERROR(VLOOKUP($E294,'BASE DE DATOS'!$A:$I,3,0),0)</f>
        <v>0</v>
      </c>
      <c r="H294" s="46">
        <f>IFERROR(VLOOKUP($E294,'BASE DE DATOS'!$A:$I,3,0),0)</f>
        <v>0</v>
      </c>
      <c r="I294" s="46">
        <f>IFERROR(VLOOKUP($E294,'BASE DE DATOS'!$A:$I,3,0),0)</f>
        <v>0</v>
      </c>
      <c r="J294" s="46">
        <f>IFERROR(VLOOKUP($E294,'BASE DE DATOS'!$A:$I,3,0),0)</f>
        <v>0</v>
      </c>
      <c r="K294" s="46">
        <f>IFERROR(VLOOKUP($E553,'BASE DE DATOS'!$A:$I,3,0),0)</f>
        <v>0</v>
      </c>
      <c r="L294" s="46">
        <f>IFERROR(VLOOKUP($E294,'BASE DE DATOS'!$A:$I,3,0),0)</f>
        <v>0</v>
      </c>
      <c r="M294" s="70"/>
      <c r="N294" s="3"/>
    </row>
    <row r="295" spans="4:14" x14ac:dyDescent="0.25">
      <c r="D295" s="46" t="str">
        <f>IFERROR(VLOOKUP($E295,'BASE DE DATOS'!$A:$I,2,0)," ")</f>
        <v xml:space="preserve"> </v>
      </c>
      <c r="F295" s="46">
        <f>IFERROR(VLOOKUP($E308,'BASE DE DATOS'!$A:$I,3,0),0)</f>
        <v>0</v>
      </c>
      <c r="G295" s="46">
        <f>IFERROR(VLOOKUP($E295,'BASE DE DATOS'!$A:$I,3,0),0)</f>
        <v>0</v>
      </c>
      <c r="H295" s="46">
        <f>IFERROR(VLOOKUP($E295,'BASE DE DATOS'!$A:$I,3,0),0)</f>
        <v>0</v>
      </c>
      <c r="I295" s="46">
        <f>IFERROR(VLOOKUP($E295,'BASE DE DATOS'!$A:$I,3,0),0)</f>
        <v>0</v>
      </c>
      <c r="J295" s="46">
        <f>IFERROR(VLOOKUP($E295,'BASE DE DATOS'!$A:$I,3,0),0)</f>
        <v>0</v>
      </c>
      <c r="K295" s="46">
        <f>IFERROR(VLOOKUP($E554,'BASE DE DATOS'!$A:$I,3,0),0)</f>
        <v>0</v>
      </c>
      <c r="L295" s="46">
        <f>IFERROR(VLOOKUP($E295,'BASE DE DATOS'!$A:$I,3,0),0)</f>
        <v>0</v>
      </c>
      <c r="M295" s="70"/>
      <c r="N295" s="3"/>
    </row>
    <row r="296" spans="4:14" x14ac:dyDescent="0.25">
      <c r="D296" s="46" t="str">
        <f>IFERROR(VLOOKUP($E296,'BASE DE DATOS'!$A:$I,2,0)," ")</f>
        <v xml:space="preserve"> </v>
      </c>
      <c r="F296" s="46">
        <f>IFERROR(VLOOKUP($E309,'BASE DE DATOS'!$A:$I,3,0),0)</f>
        <v>0</v>
      </c>
      <c r="G296" s="46">
        <f>IFERROR(VLOOKUP($E296,'BASE DE DATOS'!$A:$I,3,0),0)</f>
        <v>0</v>
      </c>
      <c r="H296" s="46">
        <f>IFERROR(VLOOKUP($E296,'BASE DE DATOS'!$A:$I,3,0),0)</f>
        <v>0</v>
      </c>
      <c r="I296" s="46">
        <f>IFERROR(VLOOKUP($E296,'BASE DE DATOS'!$A:$I,3,0),0)</f>
        <v>0</v>
      </c>
      <c r="J296" s="46">
        <f>IFERROR(VLOOKUP($E296,'BASE DE DATOS'!$A:$I,3,0),0)</f>
        <v>0</v>
      </c>
      <c r="K296" s="46">
        <f>IFERROR(VLOOKUP($E555,'BASE DE DATOS'!$A:$I,3,0),0)</f>
        <v>0</v>
      </c>
      <c r="L296" s="46">
        <f>IFERROR(VLOOKUP($E296,'BASE DE DATOS'!$A:$I,3,0),0)</f>
        <v>0</v>
      </c>
      <c r="M296" s="70"/>
      <c r="N296" s="1"/>
    </row>
    <row r="297" spans="4:14" x14ac:dyDescent="0.25">
      <c r="D297" s="46" t="str">
        <f>IFERROR(VLOOKUP($E297,'BASE DE DATOS'!$A:$I,2,0)," ")</f>
        <v xml:space="preserve"> </v>
      </c>
      <c r="F297" s="46">
        <f>IFERROR(VLOOKUP($E310,'BASE DE DATOS'!$A:$I,3,0),0)</f>
        <v>0</v>
      </c>
      <c r="G297" s="46">
        <f>IFERROR(VLOOKUP($E297,'BASE DE DATOS'!$A:$I,3,0),0)</f>
        <v>0</v>
      </c>
      <c r="H297" s="46">
        <f>IFERROR(VLOOKUP($E297,'BASE DE DATOS'!$A:$I,3,0),0)</f>
        <v>0</v>
      </c>
      <c r="I297" s="46">
        <f>IFERROR(VLOOKUP($E297,'BASE DE DATOS'!$A:$I,3,0),0)</f>
        <v>0</v>
      </c>
      <c r="J297" s="46">
        <f>IFERROR(VLOOKUP($E297,'BASE DE DATOS'!$A:$I,3,0),0)</f>
        <v>0</v>
      </c>
      <c r="K297" s="46">
        <f>IFERROR(VLOOKUP($E556,'BASE DE DATOS'!$A:$I,3,0),0)</f>
        <v>0</v>
      </c>
      <c r="L297" s="46">
        <f>IFERROR(VLOOKUP($E297,'BASE DE DATOS'!$A:$I,3,0),0)</f>
        <v>0</v>
      </c>
      <c r="M297" s="70"/>
      <c r="N297" s="3"/>
    </row>
    <row r="298" spans="4:14" x14ac:dyDescent="0.25">
      <c r="D298" s="46" t="str">
        <f>IFERROR(VLOOKUP($E298,'BASE DE DATOS'!$A:$I,2,0)," ")</f>
        <v xml:space="preserve"> </v>
      </c>
      <c r="F298" s="46">
        <f>IFERROR(VLOOKUP($E311,'BASE DE DATOS'!$A:$I,3,0),0)</f>
        <v>0</v>
      </c>
      <c r="G298" s="46">
        <f>IFERROR(VLOOKUP($E298,'BASE DE DATOS'!$A:$I,3,0),0)</f>
        <v>0</v>
      </c>
      <c r="H298" s="46">
        <f>IFERROR(VLOOKUP($E298,'BASE DE DATOS'!$A:$I,3,0),0)</f>
        <v>0</v>
      </c>
      <c r="I298" s="46">
        <f>IFERROR(VLOOKUP($E298,'BASE DE DATOS'!$A:$I,3,0),0)</f>
        <v>0</v>
      </c>
      <c r="J298" s="46">
        <f>IFERROR(VLOOKUP($E298,'BASE DE DATOS'!$A:$I,3,0),0)</f>
        <v>0</v>
      </c>
      <c r="K298" s="46">
        <f>IFERROR(VLOOKUP($E557,'BASE DE DATOS'!$A:$I,3,0),0)</f>
        <v>0</v>
      </c>
      <c r="L298" s="46">
        <f>IFERROR(VLOOKUP($E298,'BASE DE DATOS'!$A:$I,3,0),0)</f>
        <v>0</v>
      </c>
      <c r="M298" s="70"/>
      <c r="N298" s="3"/>
    </row>
    <row r="299" spans="4:14" x14ac:dyDescent="0.25">
      <c r="D299" s="46" t="str">
        <f>IFERROR(VLOOKUP($E299,'BASE DE DATOS'!$A:$I,2,0)," ")</f>
        <v xml:space="preserve"> </v>
      </c>
      <c r="F299" s="46">
        <f>IFERROR(VLOOKUP($E312,'BASE DE DATOS'!$A:$I,3,0),0)</f>
        <v>0</v>
      </c>
      <c r="G299" s="46">
        <f>IFERROR(VLOOKUP($E299,'BASE DE DATOS'!$A:$I,3,0),0)</f>
        <v>0</v>
      </c>
      <c r="H299" s="46">
        <f>IFERROR(VLOOKUP($E299,'BASE DE DATOS'!$A:$I,3,0),0)</f>
        <v>0</v>
      </c>
      <c r="I299" s="46">
        <f>IFERROR(VLOOKUP($E299,'BASE DE DATOS'!$A:$I,3,0),0)</f>
        <v>0</v>
      </c>
      <c r="J299" s="46">
        <f>IFERROR(VLOOKUP($E299,'BASE DE DATOS'!$A:$I,3,0),0)</f>
        <v>0</v>
      </c>
      <c r="K299" s="46">
        <f>IFERROR(VLOOKUP($E558,'BASE DE DATOS'!$A:$I,3,0),0)</f>
        <v>0</v>
      </c>
      <c r="L299" s="46">
        <f>IFERROR(VLOOKUP($E299,'BASE DE DATOS'!$A:$I,3,0),0)</f>
        <v>0</v>
      </c>
      <c r="M299" s="70"/>
      <c r="N299" s="3"/>
    </row>
    <row r="300" spans="4:14" x14ac:dyDescent="0.25">
      <c r="D300" s="46" t="str">
        <f>IFERROR(VLOOKUP($E300,'BASE DE DATOS'!$A:$I,2,0)," ")</f>
        <v xml:space="preserve"> </v>
      </c>
      <c r="F300" s="46">
        <f>IFERROR(VLOOKUP($E313,'BASE DE DATOS'!$A:$I,3,0),0)</f>
        <v>0</v>
      </c>
      <c r="G300" s="46">
        <f>IFERROR(VLOOKUP($E300,'BASE DE DATOS'!$A:$I,3,0),0)</f>
        <v>0</v>
      </c>
      <c r="H300" s="46">
        <f>IFERROR(VLOOKUP($E300,'BASE DE DATOS'!$A:$I,3,0),0)</f>
        <v>0</v>
      </c>
      <c r="I300" s="46">
        <f>IFERROR(VLOOKUP($E300,'BASE DE DATOS'!$A:$I,3,0),0)</f>
        <v>0</v>
      </c>
      <c r="J300" s="46">
        <f>IFERROR(VLOOKUP($E300,'BASE DE DATOS'!$A:$I,3,0),0)</f>
        <v>0</v>
      </c>
      <c r="K300" s="46">
        <f>IFERROR(VLOOKUP($E559,'BASE DE DATOS'!$A:$I,3,0),0)</f>
        <v>0</v>
      </c>
      <c r="L300" s="46">
        <f>IFERROR(VLOOKUP($E300,'BASE DE DATOS'!$A:$I,3,0),0)</f>
        <v>0</v>
      </c>
      <c r="M300" s="70"/>
      <c r="N300" s="3"/>
    </row>
    <row r="301" spans="4:14" x14ac:dyDescent="0.25">
      <c r="D301" s="46" t="str">
        <f>IFERROR(VLOOKUP($E301,'BASE DE DATOS'!$A:$I,2,0)," ")</f>
        <v xml:space="preserve"> </v>
      </c>
      <c r="F301" s="46">
        <f>IFERROR(VLOOKUP($E314,'BASE DE DATOS'!$A:$I,3,0),0)</f>
        <v>0</v>
      </c>
      <c r="G301" s="46">
        <f>IFERROR(VLOOKUP($E301,'BASE DE DATOS'!$A:$I,3,0),0)</f>
        <v>0</v>
      </c>
      <c r="H301" s="46">
        <f>IFERROR(VLOOKUP($E301,'BASE DE DATOS'!$A:$I,3,0),0)</f>
        <v>0</v>
      </c>
      <c r="I301" s="46">
        <f>IFERROR(VLOOKUP($E301,'BASE DE DATOS'!$A:$I,3,0),0)</f>
        <v>0</v>
      </c>
      <c r="J301" s="46">
        <f>IFERROR(VLOOKUP($E301,'BASE DE DATOS'!$A:$I,3,0),0)</f>
        <v>0</v>
      </c>
      <c r="K301" s="46">
        <f>IFERROR(VLOOKUP($E560,'BASE DE DATOS'!$A:$I,3,0),0)</f>
        <v>0</v>
      </c>
      <c r="L301" s="46">
        <f>IFERROR(VLOOKUP($E301,'BASE DE DATOS'!$A:$I,3,0),0)</f>
        <v>0</v>
      </c>
      <c r="M301" s="70"/>
      <c r="N301" s="3"/>
    </row>
    <row r="302" spans="4:14" x14ac:dyDescent="0.25">
      <c r="D302" s="46" t="str">
        <f>IFERROR(VLOOKUP($E302,'BASE DE DATOS'!$A:$I,2,0)," ")</f>
        <v xml:space="preserve"> </v>
      </c>
      <c r="F302" s="46">
        <f>IFERROR(VLOOKUP($E315,'BASE DE DATOS'!$A:$I,3,0),0)</f>
        <v>0</v>
      </c>
      <c r="G302" s="46">
        <f>IFERROR(VLOOKUP($E302,'BASE DE DATOS'!$A:$I,3,0),0)</f>
        <v>0</v>
      </c>
      <c r="H302" s="46">
        <f>IFERROR(VLOOKUP($E302,'BASE DE DATOS'!$A:$I,3,0),0)</f>
        <v>0</v>
      </c>
      <c r="I302" s="46">
        <f>IFERROR(VLOOKUP($E302,'BASE DE DATOS'!$A:$I,3,0),0)</f>
        <v>0</v>
      </c>
      <c r="J302" s="46">
        <f>IFERROR(VLOOKUP($E302,'BASE DE DATOS'!$A:$I,3,0),0)</f>
        <v>0</v>
      </c>
      <c r="K302" s="46">
        <f>IFERROR(VLOOKUP($E561,'BASE DE DATOS'!$A:$I,3,0),0)</f>
        <v>0</v>
      </c>
      <c r="L302" s="46">
        <f>IFERROR(VLOOKUP($E302,'BASE DE DATOS'!$A:$I,3,0),0)</f>
        <v>0</v>
      </c>
      <c r="M302" s="70"/>
      <c r="N302" s="1"/>
    </row>
    <row r="303" spans="4:14" x14ac:dyDescent="0.25">
      <c r="D303" s="46" t="str">
        <f>IFERROR(VLOOKUP($E303,'BASE DE DATOS'!$A:$I,2,0)," ")</f>
        <v xml:space="preserve"> </v>
      </c>
      <c r="F303" s="46">
        <f>IFERROR(VLOOKUP($E316,'BASE DE DATOS'!$A:$I,3,0),0)</f>
        <v>0</v>
      </c>
      <c r="G303" s="46">
        <f>IFERROR(VLOOKUP($E303,'BASE DE DATOS'!$A:$I,3,0),0)</f>
        <v>0</v>
      </c>
      <c r="H303" s="46">
        <f>IFERROR(VLOOKUP($E303,'BASE DE DATOS'!$A:$I,3,0),0)</f>
        <v>0</v>
      </c>
      <c r="I303" s="46">
        <f>IFERROR(VLOOKUP($E303,'BASE DE DATOS'!$A:$I,3,0),0)</f>
        <v>0</v>
      </c>
      <c r="J303" s="46">
        <f>IFERROR(VLOOKUP($E303,'BASE DE DATOS'!$A:$I,3,0),0)</f>
        <v>0</v>
      </c>
      <c r="K303" s="46">
        <f>IFERROR(VLOOKUP($E562,'BASE DE DATOS'!$A:$I,3,0),0)</f>
        <v>0</v>
      </c>
      <c r="L303" s="46">
        <f>IFERROR(VLOOKUP($E303,'BASE DE DATOS'!$A:$I,3,0),0)</f>
        <v>0</v>
      </c>
      <c r="M303" s="70"/>
      <c r="N303" s="3"/>
    </row>
    <row r="304" spans="4:14" x14ac:dyDescent="0.25">
      <c r="D304" s="46" t="str">
        <f>IFERROR(VLOOKUP($E304,'BASE DE DATOS'!$A:$I,2,0)," ")</f>
        <v xml:space="preserve"> </v>
      </c>
      <c r="F304" s="46">
        <f>IFERROR(VLOOKUP($E317,'BASE DE DATOS'!$A:$I,3,0),0)</f>
        <v>0</v>
      </c>
      <c r="G304" s="46">
        <f>IFERROR(VLOOKUP($E304,'BASE DE DATOS'!$A:$I,3,0),0)</f>
        <v>0</v>
      </c>
      <c r="H304" s="46">
        <f>IFERROR(VLOOKUP($E304,'BASE DE DATOS'!$A:$I,3,0),0)</f>
        <v>0</v>
      </c>
      <c r="I304" s="46">
        <f>IFERROR(VLOOKUP($E304,'BASE DE DATOS'!$A:$I,3,0),0)</f>
        <v>0</v>
      </c>
      <c r="J304" s="46">
        <f>IFERROR(VLOOKUP($E304,'BASE DE DATOS'!$A:$I,3,0),0)</f>
        <v>0</v>
      </c>
      <c r="K304" s="46">
        <f>IFERROR(VLOOKUP($E563,'BASE DE DATOS'!$A:$I,3,0),0)</f>
        <v>0</v>
      </c>
      <c r="L304" s="46">
        <f>IFERROR(VLOOKUP($E304,'BASE DE DATOS'!$A:$I,3,0),0)</f>
        <v>0</v>
      </c>
      <c r="M304" s="70"/>
      <c r="N304" s="3"/>
    </row>
    <row r="305" spans="4:32" x14ac:dyDescent="0.25">
      <c r="D305" s="46" t="str">
        <f>IFERROR(VLOOKUP($E305,'BASE DE DATOS'!$A:$I,2,0)," ")</f>
        <v xml:space="preserve"> </v>
      </c>
      <c r="F305" s="46">
        <f>IFERROR(VLOOKUP($E318,'BASE DE DATOS'!$A:$I,3,0),0)</f>
        <v>0</v>
      </c>
      <c r="G305" s="46">
        <f>IFERROR(VLOOKUP($E305,'BASE DE DATOS'!$A:$I,3,0),0)</f>
        <v>0</v>
      </c>
      <c r="H305" s="46">
        <f>IFERROR(VLOOKUP($E305,'BASE DE DATOS'!$A:$I,3,0),0)</f>
        <v>0</v>
      </c>
      <c r="I305" s="46">
        <f>IFERROR(VLOOKUP($E305,'BASE DE DATOS'!$A:$I,3,0),0)</f>
        <v>0</v>
      </c>
      <c r="J305" s="46">
        <f>IFERROR(VLOOKUP($E305,'BASE DE DATOS'!$A:$I,3,0),0)</f>
        <v>0</v>
      </c>
      <c r="K305" s="46">
        <f>IFERROR(VLOOKUP($E564,'BASE DE DATOS'!$A:$I,3,0),0)</f>
        <v>0</v>
      </c>
      <c r="L305" s="46">
        <f>IFERROR(VLOOKUP($E305,'BASE DE DATOS'!$A:$I,3,0),0)</f>
        <v>0</v>
      </c>
      <c r="M305" s="70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4:32" x14ac:dyDescent="0.25">
      <c r="D306" s="46" t="str">
        <f>IFERROR(VLOOKUP($E306,'BASE DE DATOS'!$A:$I,2,0)," ")</f>
        <v xml:space="preserve"> </v>
      </c>
      <c r="F306" s="46">
        <f>IFERROR(VLOOKUP($E319,'BASE DE DATOS'!$A:$I,3,0),0)</f>
        <v>0</v>
      </c>
      <c r="G306" s="46">
        <f>IFERROR(VLOOKUP($E306,'BASE DE DATOS'!$A:$I,3,0),0)</f>
        <v>0</v>
      </c>
      <c r="H306" s="46">
        <f>IFERROR(VLOOKUP($E306,'BASE DE DATOS'!$A:$I,3,0),0)</f>
        <v>0</v>
      </c>
      <c r="I306" s="46">
        <f>IFERROR(VLOOKUP($E306,'BASE DE DATOS'!$A:$I,3,0),0)</f>
        <v>0</v>
      </c>
      <c r="J306" s="46">
        <f>IFERROR(VLOOKUP($E306,'BASE DE DATOS'!$A:$I,3,0),0)</f>
        <v>0</v>
      </c>
      <c r="K306" s="46">
        <f>IFERROR(VLOOKUP($E565,'BASE DE DATOS'!$A:$I,3,0),0)</f>
        <v>0</v>
      </c>
      <c r="L306" s="46">
        <f>IFERROR(VLOOKUP($E306,'BASE DE DATOS'!$A:$I,3,0),0)</f>
        <v>0</v>
      </c>
      <c r="M306" s="70"/>
      <c r="N306" s="3"/>
    </row>
    <row r="307" spans="4:32" x14ac:dyDescent="0.25">
      <c r="D307" s="46" t="str">
        <f>IFERROR(VLOOKUP($E307,'BASE DE DATOS'!$A:$I,2,0)," ")</f>
        <v xml:space="preserve"> </v>
      </c>
      <c r="F307" s="46">
        <f>IFERROR(VLOOKUP($E320,'BASE DE DATOS'!$A:$I,3,0),0)</f>
        <v>0</v>
      </c>
      <c r="G307" s="46">
        <f>IFERROR(VLOOKUP($E307,'BASE DE DATOS'!$A:$I,3,0),0)</f>
        <v>0</v>
      </c>
      <c r="H307" s="46">
        <f>IFERROR(VLOOKUP($E307,'BASE DE DATOS'!$A:$I,3,0),0)</f>
        <v>0</v>
      </c>
      <c r="I307" s="46">
        <f>IFERROR(VLOOKUP($E307,'BASE DE DATOS'!$A:$I,3,0),0)</f>
        <v>0</v>
      </c>
      <c r="J307" s="46">
        <f>IFERROR(VLOOKUP($E307,'BASE DE DATOS'!$A:$I,3,0),0)</f>
        <v>0</v>
      </c>
      <c r="K307" s="46">
        <f>IFERROR(VLOOKUP($E566,'BASE DE DATOS'!$A:$I,3,0),0)</f>
        <v>0</v>
      </c>
      <c r="L307" s="46">
        <f>IFERROR(VLOOKUP($E307,'BASE DE DATOS'!$A:$I,3,0),0)</f>
        <v>0</v>
      </c>
      <c r="M307" s="70"/>
      <c r="N307" s="3"/>
    </row>
    <row r="308" spans="4:32" x14ac:dyDescent="0.25">
      <c r="D308" s="46" t="str">
        <f>IFERROR(VLOOKUP($E308,'BASE DE DATOS'!$A:$I,2,0)," ")</f>
        <v xml:space="preserve"> </v>
      </c>
      <c r="F308" s="46">
        <f>IFERROR(VLOOKUP($E321,'BASE DE DATOS'!$A:$I,3,0),0)</f>
        <v>0</v>
      </c>
      <c r="G308" s="46">
        <f>IFERROR(VLOOKUP($E308,'BASE DE DATOS'!$A:$I,3,0),0)</f>
        <v>0</v>
      </c>
      <c r="H308" s="46">
        <f>IFERROR(VLOOKUP($E308,'BASE DE DATOS'!$A:$I,3,0),0)</f>
        <v>0</v>
      </c>
      <c r="I308" s="46">
        <f>IFERROR(VLOOKUP($E308,'BASE DE DATOS'!$A:$I,3,0),0)</f>
        <v>0</v>
      </c>
      <c r="J308" s="46">
        <f>IFERROR(VLOOKUP($E308,'BASE DE DATOS'!$A:$I,3,0),0)</f>
        <v>0</v>
      </c>
      <c r="K308" s="46">
        <f>IFERROR(VLOOKUP($E567,'BASE DE DATOS'!$A:$I,3,0),0)</f>
        <v>0</v>
      </c>
      <c r="L308" s="46">
        <f>IFERROR(VLOOKUP($E308,'BASE DE DATOS'!$A:$I,3,0),0)</f>
        <v>0</v>
      </c>
      <c r="M308" s="70"/>
      <c r="N308" s="3"/>
    </row>
    <row r="309" spans="4:32" x14ac:dyDescent="0.25">
      <c r="D309" s="46" t="str">
        <f>IFERROR(VLOOKUP($E309,'BASE DE DATOS'!$A:$I,2,0)," ")</f>
        <v xml:space="preserve"> </v>
      </c>
      <c r="F309" s="46">
        <f>IFERROR(VLOOKUP($E322,'BASE DE DATOS'!$A:$I,3,0),0)</f>
        <v>0</v>
      </c>
      <c r="G309" s="46">
        <f>IFERROR(VLOOKUP($E309,'BASE DE DATOS'!$A:$I,3,0),0)</f>
        <v>0</v>
      </c>
      <c r="H309" s="46">
        <f>IFERROR(VLOOKUP($E309,'BASE DE DATOS'!$A:$I,3,0),0)</f>
        <v>0</v>
      </c>
      <c r="I309" s="46">
        <f>IFERROR(VLOOKUP($E309,'BASE DE DATOS'!$A:$I,3,0),0)</f>
        <v>0</v>
      </c>
      <c r="J309" s="46">
        <f>IFERROR(VLOOKUP($E309,'BASE DE DATOS'!$A:$I,3,0),0)</f>
        <v>0</v>
      </c>
      <c r="K309" s="46">
        <f>IFERROR(VLOOKUP($E568,'BASE DE DATOS'!$A:$I,3,0),0)</f>
        <v>0</v>
      </c>
      <c r="L309" s="46">
        <f>IFERROR(VLOOKUP($E309,'BASE DE DATOS'!$A:$I,3,0),0)</f>
        <v>0</v>
      </c>
      <c r="M309" s="70"/>
      <c r="N309" s="1"/>
    </row>
    <row r="310" spans="4:32" x14ac:dyDescent="0.25">
      <c r="D310" s="46" t="str">
        <f>IFERROR(VLOOKUP($E310,'BASE DE DATOS'!$A:$I,2,0)," ")</f>
        <v xml:space="preserve"> </v>
      </c>
      <c r="F310" s="46">
        <f>IFERROR(VLOOKUP($E323,'BASE DE DATOS'!$A:$I,3,0),0)</f>
        <v>0</v>
      </c>
      <c r="G310" s="46">
        <f>IFERROR(VLOOKUP($E310,'BASE DE DATOS'!$A:$I,3,0),0)</f>
        <v>0</v>
      </c>
      <c r="H310" s="46">
        <f>IFERROR(VLOOKUP($E310,'BASE DE DATOS'!$A:$I,3,0),0)</f>
        <v>0</v>
      </c>
      <c r="I310" s="46">
        <f>IFERROR(VLOOKUP($E310,'BASE DE DATOS'!$A:$I,3,0),0)</f>
        <v>0</v>
      </c>
      <c r="J310" s="46">
        <f>IFERROR(VLOOKUP($E310,'BASE DE DATOS'!$A:$I,3,0),0)</f>
        <v>0</v>
      </c>
      <c r="K310" s="46">
        <f>IFERROR(VLOOKUP($E569,'BASE DE DATOS'!$A:$I,3,0),0)</f>
        <v>0</v>
      </c>
      <c r="L310" s="46">
        <f>IFERROR(VLOOKUP($E310,'BASE DE DATOS'!$A:$I,3,0),0)</f>
        <v>0</v>
      </c>
      <c r="M310" s="70"/>
      <c r="N310" s="3"/>
    </row>
    <row r="311" spans="4:32" x14ac:dyDescent="0.25">
      <c r="D311" s="46" t="str">
        <f>IFERROR(VLOOKUP($E311,'BASE DE DATOS'!$A:$I,2,0)," ")</f>
        <v xml:space="preserve"> </v>
      </c>
      <c r="F311" s="46">
        <f>IFERROR(VLOOKUP($E324,'BASE DE DATOS'!$A:$I,3,0),0)</f>
        <v>0</v>
      </c>
      <c r="G311" s="46">
        <f>IFERROR(VLOOKUP($E311,'BASE DE DATOS'!$A:$I,3,0),0)</f>
        <v>0</v>
      </c>
      <c r="H311" s="46">
        <f>IFERROR(VLOOKUP($E311,'BASE DE DATOS'!$A:$I,3,0),0)</f>
        <v>0</v>
      </c>
      <c r="I311" s="46">
        <f>IFERROR(VLOOKUP($E311,'BASE DE DATOS'!$A:$I,3,0),0)</f>
        <v>0</v>
      </c>
      <c r="J311" s="46">
        <f>IFERROR(VLOOKUP($E311,'BASE DE DATOS'!$A:$I,3,0),0)</f>
        <v>0</v>
      </c>
      <c r="K311" s="46">
        <f>IFERROR(VLOOKUP($E570,'BASE DE DATOS'!$A:$I,3,0),0)</f>
        <v>0</v>
      </c>
      <c r="L311" s="46">
        <f>IFERROR(VLOOKUP($E311,'BASE DE DATOS'!$A:$I,3,0),0)</f>
        <v>0</v>
      </c>
      <c r="M311" s="70"/>
      <c r="N311" s="3"/>
    </row>
    <row r="312" spans="4:32" ht="15.75" customHeight="1" x14ac:dyDescent="0.25">
      <c r="D312" s="46" t="str">
        <f>IFERROR(VLOOKUP($E312,'BASE DE DATOS'!$A:$I,2,0)," ")</f>
        <v xml:space="preserve"> </v>
      </c>
      <c r="F312" s="46">
        <f>IFERROR(VLOOKUP($E325,'BASE DE DATOS'!$A:$I,3,0),0)</f>
        <v>0</v>
      </c>
      <c r="G312" s="46">
        <f>IFERROR(VLOOKUP($E312,'BASE DE DATOS'!$A:$I,3,0),0)</f>
        <v>0</v>
      </c>
      <c r="H312" s="46">
        <f>IFERROR(VLOOKUP($E312,'BASE DE DATOS'!$A:$I,3,0),0)</f>
        <v>0</v>
      </c>
      <c r="I312" s="46">
        <f>IFERROR(VLOOKUP($E312,'BASE DE DATOS'!$A:$I,3,0),0)</f>
        <v>0</v>
      </c>
      <c r="J312" s="46">
        <f>IFERROR(VLOOKUP($E312,'BASE DE DATOS'!$A:$I,3,0),0)</f>
        <v>0</v>
      </c>
      <c r="K312" s="46">
        <f>IFERROR(VLOOKUP($E571,'BASE DE DATOS'!$A:$I,3,0),0)</f>
        <v>0</v>
      </c>
      <c r="L312" s="46">
        <f>IFERROR(VLOOKUP($E312,'BASE DE DATOS'!$A:$I,3,0),0)</f>
        <v>0</v>
      </c>
      <c r="M312" s="70"/>
      <c r="N312" s="3"/>
    </row>
    <row r="313" spans="4:32" x14ac:dyDescent="0.25">
      <c r="D313" s="46" t="str">
        <f>IFERROR(VLOOKUP($E313,'BASE DE DATOS'!$A:$I,2,0)," ")</f>
        <v xml:space="preserve"> </v>
      </c>
      <c r="F313" s="46">
        <f>IFERROR(VLOOKUP($E326,'BASE DE DATOS'!$A:$I,3,0),0)</f>
        <v>0</v>
      </c>
      <c r="G313" s="46">
        <f>IFERROR(VLOOKUP($E313,'BASE DE DATOS'!$A:$I,3,0),0)</f>
        <v>0</v>
      </c>
      <c r="H313" s="46">
        <f>IFERROR(VLOOKUP($E313,'BASE DE DATOS'!$A:$I,3,0),0)</f>
        <v>0</v>
      </c>
      <c r="I313" s="46">
        <f>IFERROR(VLOOKUP($E313,'BASE DE DATOS'!$A:$I,3,0),0)</f>
        <v>0</v>
      </c>
      <c r="J313" s="46">
        <f>IFERROR(VLOOKUP($E313,'BASE DE DATOS'!$A:$I,3,0),0)</f>
        <v>0</v>
      </c>
      <c r="K313" s="46">
        <f>IFERROR(VLOOKUP($E572,'BASE DE DATOS'!$A:$I,3,0),0)</f>
        <v>0</v>
      </c>
      <c r="L313" s="46">
        <f>IFERROR(VLOOKUP($E313,'BASE DE DATOS'!$A:$I,3,0),0)</f>
        <v>0</v>
      </c>
      <c r="M313" s="70"/>
      <c r="N313" s="3"/>
    </row>
    <row r="314" spans="4:32" x14ac:dyDescent="0.25">
      <c r="D314" s="46" t="str">
        <f>IFERROR(VLOOKUP($E314,'BASE DE DATOS'!$A:$I,2,0)," ")</f>
        <v xml:space="preserve"> </v>
      </c>
      <c r="F314" s="46">
        <f>IFERROR(VLOOKUP($E327,'BASE DE DATOS'!$A:$I,3,0),0)</f>
        <v>0</v>
      </c>
      <c r="G314" s="46">
        <f>IFERROR(VLOOKUP($E314,'BASE DE DATOS'!$A:$I,3,0),0)</f>
        <v>0</v>
      </c>
      <c r="H314" s="46">
        <f>IFERROR(VLOOKUP($E314,'BASE DE DATOS'!$A:$I,3,0),0)</f>
        <v>0</v>
      </c>
      <c r="I314" s="46">
        <f>IFERROR(VLOOKUP($E314,'BASE DE DATOS'!$A:$I,3,0),0)</f>
        <v>0</v>
      </c>
      <c r="J314" s="46">
        <f>IFERROR(VLOOKUP($E314,'BASE DE DATOS'!$A:$I,3,0),0)</f>
        <v>0</v>
      </c>
      <c r="K314" s="46">
        <f>IFERROR(VLOOKUP($E573,'BASE DE DATOS'!$A:$I,3,0),0)</f>
        <v>0</v>
      </c>
      <c r="L314" s="46">
        <f>IFERROR(VLOOKUP($E314,'BASE DE DATOS'!$A:$I,3,0),0)</f>
        <v>0</v>
      </c>
      <c r="M314" s="70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4:32" x14ac:dyDescent="0.25">
      <c r="D315" s="46" t="str">
        <f>IFERROR(VLOOKUP($E315,'BASE DE DATOS'!$A:$I,2,0)," ")</f>
        <v xml:space="preserve"> </v>
      </c>
      <c r="F315" s="46">
        <f>IFERROR(VLOOKUP($E328,'BASE DE DATOS'!$A:$I,3,0),0)</f>
        <v>0</v>
      </c>
      <c r="G315" s="46">
        <f>IFERROR(VLOOKUP($E315,'BASE DE DATOS'!$A:$I,3,0),0)</f>
        <v>0</v>
      </c>
      <c r="H315" s="46">
        <f>IFERROR(VLOOKUP($E315,'BASE DE DATOS'!$A:$I,3,0),0)</f>
        <v>0</v>
      </c>
      <c r="I315" s="46">
        <f>IFERROR(VLOOKUP($E315,'BASE DE DATOS'!$A:$I,3,0),0)</f>
        <v>0</v>
      </c>
      <c r="J315" s="46">
        <f>IFERROR(VLOOKUP($E315,'BASE DE DATOS'!$A:$I,3,0),0)</f>
        <v>0</v>
      </c>
      <c r="K315" s="46">
        <f>IFERROR(VLOOKUP($E574,'BASE DE DATOS'!$A:$I,3,0),0)</f>
        <v>0</v>
      </c>
      <c r="L315" s="46">
        <f>IFERROR(VLOOKUP($E315,'BASE DE DATOS'!$A:$I,3,0),0)</f>
        <v>0</v>
      </c>
      <c r="M315" s="70"/>
      <c r="N315" s="3"/>
    </row>
    <row r="316" spans="4:32" ht="15.75" thickBot="1" x14ac:dyDescent="0.3">
      <c r="D316" s="46" t="str">
        <f>IFERROR(VLOOKUP($E316,'BASE DE DATOS'!$A:$I,2,0)," ")</f>
        <v xml:space="preserve"> </v>
      </c>
      <c r="F316" s="46">
        <f>IFERROR(VLOOKUP($E329,'BASE DE DATOS'!$A:$I,3,0),0)</f>
        <v>0</v>
      </c>
      <c r="G316" s="46">
        <f>IFERROR(VLOOKUP($E316,'BASE DE DATOS'!$A:$I,3,0),0)</f>
        <v>0</v>
      </c>
      <c r="H316" s="46">
        <f>IFERROR(VLOOKUP($E316,'BASE DE DATOS'!$A:$I,3,0),0)</f>
        <v>0</v>
      </c>
      <c r="I316" s="46">
        <f>IFERROR(VLOOKUP($E316,'BASE DE DATOS'!$A:$I,3,0),0)</f>
        <v>0</v>
      </c>
      <c r="J316" s="46">
        <f>IFERROR(VLOOKUP($E316,'BASE DE DATOS'!$A:$I,3,0),0)</f>
        <v>0</v>
      </c>
      <c r="K316" s="46">
        <f>IFERROR(VLOOKUP($E575,'BASE DE DATOS'!$A:$I,3,0),0)</f>
        <v>0</v>
      </c>
      <c r="L316" s="46">
        <f>IFERROR(VLOOKUP($E316,'BASE DE DATOS'!$A:$I,3,0),0)</f>
        <v>0</v>
      </c>
      <c r="M316" s="70"/>
      <c r="N316" s="7"/>
    </row>
    <row r="317" spans="4:32" ht="15.75" thickTop="1" x14ac:dyDescent="0.25">
      <c r="D317" s="46" t="str">
        <f>IFERROR(VLOOKUP($E317,'BASE DE DATOS'!$A:$I,2,0)," ")</f>
        <v xml:space="preserve"> </v>
      </c>
      <c r="F317" s="46">
        <f>IFERROR(VLOOKUP($E330,'BASE DE DATOS'!$A:$I,3,0),0)</f>
        <v>0</v>
      </c>
      <c r="G317" s="46">
        <f>IFERROR(VLOOKUP($E317,'BASE DE DATOS'!$A:$I,3,0),0)</f>
        <v>0</v>
      </c>
      <c r="H317" s="46">
        <f>IFERROR(VLOOKUP($E317,'BASE DE DATOS'!$A:$I,3,0),0)</f>
        <v>0</v>
      </c>
      <c r="I317" s="46">
        <f>IFERROR(VLOOKUP($E317,'BASE DE DATOS'!$A:$I,3,0),0)</f>
        <v>0</v>
      </c>
      <c r="J317" s="46">
        <f>IFERROR(VLOOKUP($E317,'BASE DE DATOS'!$A:$I,3,0),0)</f>
        <v>0</v>
      </c>
      <c r="K317" s="46">
        <f>IFERROR(VLOOKUP($E576,'BASE DE DATOS'!$A:$I,3,0),0)</f>
        <v>0</v>
      </c>
      <c r="L317" s="46">
        <f>IFERROR(VLOOKUP($E317,'BASE DE DATOS'!$A:$I,3,0),0)</f>
        <v>0</v>
      </c>
      <c r="M317" s="70"/>
      <c r="N317" s="1"/>
    </row>
    <row r="318" spans="4:32" x14ac:dyDescent="0.25">
      <c r="D318" s="46" t="str">
        <f>IFERROR(VLOOKUP($E318,'BASE DE DATOS'!$A:$I,2,0)," ")</f>
        <v xml:space="preserve"> </v>
      </c>
      <c r="F318" s="46">
        <f>IFERROR(VLOOKUP($E331,'BASE DE DATOS'!$A:$I,3,0),0)</f>
        <v>0</v>
      </c>
      <c r="G318" s="46">
        <f>IFERROR(VLOOKUP($E318,'BASE DE DATOS'!$A:$I,3,0),0)</f>
        <v>0</v>
      </c>
      <c r="H318" s="46">
        <f>IFERROR(VLOOKUP($E318,'BASE DE DATOS'!$A:$I,3,0),0)</f>
        <v>0</v>
      </c>
      <c r="I318" s="46">
        <f>IFERROR(VLOOKUP($E318,'BASE DE DATOS'!$A:$I,3,0),0)</f>
        <v>0</v>
      </c>
      <c r="J318" s="46">
        <f>IFERROR(VLOOKUP($E318,'BASE DE DATOS'!$A:$I,3,0),0)</f>
        <v>0</v>
      </c>
      <c r="K318" s="46">
        <f>IFERROR(VLOOKUP($E577,'BASE DE DATOS'!$A:$I,3,0),0)</f>
        <v>0</v>
      </c>
      <c r="L318" s="46">
        <f>IFERROR(VLOOKUP($E318,'BASE DE DATOS'!$A:$I,3,0),0)</f>
        <v>0</v>
      </c>
      <c r="M318" s="70"/>
      <c r="N318" s="3"/>
    </row>
    <row r="319" spans="4:32" x14ac:dyDescent="0.25">
      <c r="D319" s="46" t="str">
        <f>IFERROR(VLOOKUP($E319,'BASE DE DATOS'!$A:$I,2,0)," ")</f>
        <v xml:space="preserve"> </v>
      </c>
      <c r="F319" s="46">
        <f>IFERROR(VLOOKUP($E332,'BASE DE DATOS'!$A:$I,3,0),0)</f>
        <v>0</v>
      </c>
      <c r="G319" s="46">
        <f>IFERROR(VLOOKUP($E319,'BASE DE DATOS'!$A:$I,3,0),0)</f>
        <v>0</v>
      </c>
      <c r="H319" s="46">
        <f>IFERROR(VLOOKUP($E319,'BASE DE DATOS'!$A:$I,3,0),0)</f>
        <v>0</v>
      </c>
      <c r="I319" s="46">
        <f>IFERROR(VLOOKUP($E319,'BASE DE DATOS'!$A:$I,3,0),0)</f>
        <v>0</v>
      </c>
      <c r="J319" s="46">
        <f>IFERROR(VLOOKUP($E319,'BASE DE DATOS'!$A:$I,3,0),0)</f>
        <v>0</v>
      </c>
      <c r="K319" s="46">
        <f>IFERROR(VLOOKUP($E578,'BASE DE DATOS'!$A:$I,3,0),0)</f>
        <v>0</v>
      </c>
      <c r="L319" s="46">
        <f>IFERROR(VLOOKUP($E319,'BASE DE DATOS'!$A:$I,3,0),0)</f>
        <v>0</v>
      </c>
      <c r="M319" s="70"/>
      <c r="N319" s="3"/>
    </row>
    <row r="320" spans="4:32" x14ac:dyDescent="0.25">
      <c r="D320" s="46" t="str">
        <f>IFERROR(VLOOKUP($E320,'BASE DE DATOS'!$A:$I,2,0)," ")</f>
        <v xml:space="preserve"> </v>
      </c>
      <c r="F320" s="46">
        <f>IFERROR(VLOOKUP($E333,'BASE DE DATOS'!$A:$I,3,0),0)</f>
        <v>0</v>
      </c>
      <c r="G320" s="46">
        <f>IFERROR(VLOOKUP($E320,'BASE DE DATOS'!$A:$I,3,0),0)</f>
        <v>0</v>
      </c>
      <c r="H320" s="46">
        <f>IFERROR(VLOOKUP($E320,'BASE DE DATOS'!$A:$I,3,0),0)</f>
        <v>0</v>
      </c>
      <c r="I320" s="46">
        <f>IFERROR(VLOOKUP($E320,'BASE DE DATOS'!$A:$I,3,0),0)</f>
        <v>0</v>
      </c>
      <c r="J320" s="46">
        <f>IFERROR(VLOOKUP($E320,'BASE DE DATOS'!$A:$I,3,0),0)</f>
        <v>0</v>
      </c>
      <c r="K320" s="46">
        <f>IFERROR(VLOOKUP($E579,'BASE DE DATOS'!$A:$I,3,0),0)</f>
        <v>0</v>
      </c>
      <c r="L320" s="46">
        <f>IFERROR(VLOOKUP($E320,'BASE DE DATOS'!$A:$I,3,0),0)</f>
        <v>0</v>
      </c>
      <c r="M320" s="70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5">
      <c r="D321" s="46" t="str">
        <f>IFERROR(VLOOKUP($E321,'BASE DE DATOS'!$A:$I,2,0)," ")</f>
        <v xml:space="preserve"> </v>
      </c>
      <c r="F321" s="46">
        <f>IFERROR(VLOOKUP($E334,'BASE DE DATOS'!$A:$I,3,0),0)</f>
        <v>0</v>
      </c>
      <c r="G321" s="46">
        <f>IFERROR(VLOOKUP($E321,'BASE DE DATOS'!$A:$I,3,0),0)</f>
        <v>0</v>
      </c>
      <c r="H321" s="46">
        <f>IFERROR(VLOOKUP($E321,'BASE DE DATOS'!$A:$I,3,0),0)</f>
        <v>0</v>
      </c>
      <c r="I321" s="46">
        <f>IFERROR(VLOOKUP($E321,'BASE DE DATOS'!$A:$I,3,0),0)</f>
        <v>0</v>
      </c>
      <c r="J321" s="46">
        <f>IFERROR(VLOOKUP($E321,'BASE DE DATOS'!$A:$I,3,0),0)</f>
        <v>0</v>
      </c>
      <c r="K321" s="46">
        <f>IFERROR(VLOOKUP($E580,'BASE DE DATOS'!$A:$I,3,0),0)</f>
        <v>0</v>
      </c>
      <c r="L321" s="46">
        <f>IFERROR(VLOOKUP($E321,'BASE DE DATOS'!$A:$I,3,0),0)</f>
        <v>0</v>
      </c>
      <c r="M321" s="70"/>
      <c r="N321" s="3"/>
    </row>
    <row r="322" spans="1:32" x14ac:dyDescent="0.25">
      <c r="D322" s="46" t="str">
        <f>IFERROR(VLOOKUP($E322,'BASE DE DATOS'!$A:$I,2,0)," ")</f>
        <v xml:space="preserve"> </v>
      </c>
      <c r="F322" s="46">
        <f>IFERROR(VLOOKUP($E335,'BASE DE DATOS'!$A:$I,3,0),0)</f>
        <v>0</v>
      </c>
      <c r="G322" s="46">
        <f>IFERROR(VLOOKUP($E322,'BASE DE DATOS'!$A:$I,3,0),0)</f>
        <v>0</v>
      </c>
      <c r="H322" s="46">
        <f>IFERROR(VLOOKUP($E322,'BASE DE DATOS'!$A:$I,3,0),0)</f>
        <v>0</v>
      </c>
      <c r="I322" s="46">
        <f>IFERROR(VLOOKUP($E322,'BASE DE DATOS'!$A:$I,3,0),0)</f>
        <v>0</v>
      </c>
      <c r="J322" s="46">
        <f>IFERROR(VLOOKUP($E322,'BASE DE DATOS'!$A:$I,3,0),0)</f>
        <v>0</v>
      </c>
      <c r="K322" s="46">
        <f>IFERROR(VLOOKUP($E581,'BASE DE DATOS'!$A:$I,3,0),0)</f>
        <v>0</v>
      </c>
      <c r="L322" s="46">
        <f>IFERROR(VLOOKUP($E322,'BASE DE DATOS'!$A:$I,3,0),0)</f>
        <v>0</v>
      </c>
      <c r="M322" s="70"/>
      <c r="N322" s="3"/>
    </row>
    <row r="323" spans="1:32" x14ac:dyDescent="0.25">
      <c r="D323" s="46" t="str">
        <f>IFERROR(VLOOKUP($E323,'BASE DE DATOS'!$A:$I,2,0)," ")</f>
        <v xml:space="preserve"> </v>
      </c>
      <c r="F323" s="46">
        <f>IFERROR(VLOOKUP($E336,'BASE DE DATOS'!$A:$I,3,0),0)</f>
        <v>0</v>
      </c>
      <c r="G323" s="46">
        <f>IFERROR(VLOOKUP($E323,'BASE DE DATOS'!$A:$I,3,0),0)</f>
        <v>0</v>
      </c>
      <c r="H323" s="46">
        <f>IFERROR(VLOOKUP($E323,'BASE DE DATOS'!$A:$I,3,0),0)</f>
        <v>0</v>
      </c>
      <c r="I323" s="46">
        <f>IFERROR(VLOOKUP($E323,'BASE DE DATOS'!$A:$I,3,0),0)</f>
        <v>0</v>
      </c>
      <c r="J323" s="46">
        <f>IFERROR(VLOOKUP($E323,'BASE DE DATOS'!$A:$I,3,0),0)</f>
        <v>0</v>
      </c>
      <c r="K323" s="46">
        <f>IFERROR(VLOOKUP($E582,'BASE DE DATOS'!$A:$I,3,0),0)</f>
        <v>0</v>
      </c>
      <c r="L323" s="46">
        <f>IFERROR(VLOOKUP($E323,'BASE DE DATOS'!$A:$I,3,0),0)</f>
        <v>0</v>
      </c>
      <c r="M323" s="70"/>
      <c r="N323" s="3"/>
    </row>
    <row r="324" spans="1:32" x14ac:dyDescent="0.25">
      <c r="D324" s="46" t="str">
        <f>IFERROR(VLOOKUP($E324,'BASE DE DATOS'!$A:$I,2,0)," ")</f>
        <v xml:space="preserve"> </v>
      </c>
      <c r="F324" s="46">
        <f>IFERROR(VLOOKUP($E337,'BASE DE DATOS'!$A:$I,3,0),0)</f>
        <v>0</v>
      </c>
      <c r="G324" s="46">
        <f>IFERROR(VLOOKUP($E324,'BASE DE DATOS'!$A:$I,3,0),0)</f>
        <v>0</v>
      </c>
      <c r="H324" s="46">
        <f>IFERROR(VLOOKUP($E324,'BASE DE DATOS'!$A:$I,3,0),0)</f>
        <v>0</v>
      </c>
      <c r="I324" s="46">
        <f>IFERROR(VLOOKUP($E324,'BASE DE DATOS'!$A:$I,3,0),0)</f>
        <v>0</v>
      </c>
      <c r="J324" s="46">
        <f>IFERROR(VLOOKUP($E324,'BASE DE DATOS'!$A:$I,3,0),0)</f>
        <v>0</v>
      </c>
      <c r="K324" s="46">
        <f>IFERROR(VLOOKUP($E583,'BASE DE DATOS'!$A:$I,3,0),0)</f>
        <v>0</v>
      </c>
      <c r="L324" s="46">
        <f>IFERROR(VLOOKUP($E324,'BASE DE DATOS'!$A:$I,3,0),0)</f>
        <v>0</v>
      </c>
      <c r="M324" s="70"/>
      <c r="N324" s="3"/>
    </row>
    <row r="325" spans="1:32" x14ac:dyDescent="0.25">
      <c r="D325" s="46" t="str">
        <f>IFERROR(VLOOKUP($E325,'BASE DE DATOS'!$A:$I,2,0)," ")</f>
        <v xml:space="preserve"> </v>
      </c>
      <c r="F325" s="46">
        <f>IFERROR(VLOOKUP($E338,'BASE DE DATOS'!$A:$I,3,0),0)</f>
        <v>0</v>
      </c>
      <c r="G325" s="46">
        <f>IFERROR(VLOOKUP($E325,'BASE DE DATOS'!$A:$I,3,0),0)</f>
        <v>0</v>
      </c>
      <c r="H325" s="46">
        <f>IFERROR(VLOOKUP($E325,'BASE DE DATOS'!$A:$I,3,0),0)</f>
        <v>0</v>
      </c>
      <c r="I325" s="46">
        <f>IFERROR(VLOOKUP($E325,'BASE DE DATOS'!$A:$I,3,0),0)</f>
        <v>0</v>
      </c>
      <c r="J325" s="46">
        <f>IFERROR(VLOOKUP($E325,'BASE DE DATOS'!$A:$I,3,0),0)</f>
        <v>0</v>
      </c>
      <c r="K325" s="46">
        <f>IFERROR(VLOOKUP($E584,'BASE DE DATOS'!$A:$I,3,0),0)</f>
        <v>0</v>
      </c>
      <c r="L325" s="46">
        <f>IFERROR(VLOOKUP($E325,'BASE DE DATOS'!$A:$I,3,0),0)</f>
        <v>0</v>
      </c>
      <c r="M325" s="70"/>
      <c r="N325" s="3"/>
    </row>
    <row r="326" spans="1:32" x14ac:dyDescent="0.25">
      <c r="D326" s="46" t="str">
        <f>IFERROR(VLOOKUP($E326,'BASE DE DATOS'!$A:$I,2,0)," ")</f>
        <v xml:space="preserve"> </v>
      </c>
      <c r="F326" s="46">
        <f>IFERROR(VLOOKUP($E339,'BASE DE DATOS'!$A:$I,3,0),0)</f>
        <v>0</v>
      </c>
      <c r="G326" s="46">
        <f>IFERROR(VLOOKUP($E326,'BASE DE DATOS'!$A:$I,3,0),0)</f>
        <v>0</v>
      </c>
      <c r="H326" s="46">
        <f>IFERROR(VLOOKUP($E326,'BASE DE DATOS'!$A:$I,3,0),0)</f>
        <v>0</v>
      </c>
      <c r="I326" s="46">
        <f>IFERROR(VLOOKUP($E326,'BASE DE DATOS'!$A:$I,3,0),0)</f>
        <v>0</v>
      </c>
      <c r="J326" s="46">
        <f>IFERROR(VLOOKUP($E326,'BASE DE DATOS'!$A:$I,3,0),0)</f>
        <v>0</v>
      </c>
      <c r="K326" s="46">
        <f>IFERROR(VLOOKUP($E585,'BASE DE DATOS'!$A:$I,3,0),0)</f>
        <v>0</v>
      </c>
      <c r="L326" s="46">
        <f>IFERROR(VLOOKUP($E326,'BASE DE DATOS'!$A:$I,3,0),0)</f>
        <v>0</v>
      </c>
      <c r="M326" s="70"/>
      <c r="N326" s="3"/>
    </row>
    <row r="327" spans="1:32" x14ac:dyDescent="0.25">
      <c r="D327" s="46" t="str">
        <f>IFERROR(VLOOKUP($E327,'BASE DE DATOS'!$A:$I,2,0)," ")</f>
        <v xml:space="preserve"> </v>
      </c>
      <c r="F327" s="46">
        <f>IFERROR(VLOOKUP($E340,'BASE DE DATOS'!$A:$I,3,0),0)</f>
        <v>0</v>
      </c>
      <c r="G327" s="46">
        <f>IFERROR(VLOOKUP($E327,'BASE DE DATOS'!$A:$I,3,0),0)</f>
        <v>0</v>
      </c>
      <c r="H327" s="46">
        <f>IFERROR(VLOOKUP($E327,'BASE DE DATOS'!$A:$I,3,0),0)</f>
        <v>0</v>
      </c>
      <c r="I327" s="46">
        <f>IFERROR(VLOOKUP($E327,'BASE DE DATOS'!$A:$I,3,0),0)</f>
        <v>0</v>
      </c>
      <c r="J327" s="46">
        <f>IFERROR(VLOOKUP($E327,'BASE DE DATOS'!$A:$I,3,0),0)</f>
        <v>0</v>
      </c>
      <c r="K327" s="46">
        <f>IFERROR(VLOOKUP($E586,'BASE DE DATOS'!$A:$I,3,0),0)</f>
        <v>0</v>
      </c>
      <c r="L327" s="46">
        <f>IFERROR(VLOOKUP($E327,'BASE DE DATOS'!$A:$I,3,0),0)</f>
        <v>0</v>
      </c>
      <c r="M327" s="70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25">
      <c r="D328" s="46" t="str">
        <f>IFERROR(VLOOKUP($E328,'BASE DE DATOS'!$A:$I,2,0)," ")</f>
        <v xml:space="preserve"> </v>
      </c>
      <c r="F328" s="46">
        <f>IFERROR(VLOOKUP($E341,'BASE DE DATOS'!$A:$I,3,0),0)</f>
        <v>0</v>
      </c>
      <c r="G328" s="46">
        <f>IFERROR(VLOOKUP($E328,'BASE DE DATOS'!$A:$I,3,0),0)</f>
        <v>0</v>
      </c>
      <c r="H328" s="46">
        <f>IFERROR(VLOOKUP($E328,'BASE DE DATOS'!$A:$I,3,0),0)</f>
        <v>0</v>
      </c>
      <c r="I328" s="46">
        <f>IFERROR(VLOOKUP($E328,'BASE DE DATOS'!$A:$I,3,0),0)</f>
        <v>0</v>
      </c>
      <c r="J328" s="46">
        <f>IFERROR(VLOOKUP($E328,'BASE DE DATOS'!$A:$I,3,0),0)</f>
        <v>0</v>
      </c>
      <c r="K328" s="46">
        <f>IFERROR(VLOOKUP($E587,'BASE DE DATOS'!$A:$I,3,0),0)</f>
        <v>0</v>
      </c>
      <c r="L328" s="46">
        <f>IFERROR(VLOOKUP($E328,'BASE DE DATOS'!$A:$I,3,0),0)</f>
        <v>0</v>
      </c>
      <c r="M328" s="70"/>
      <c r="N328" s="3"/>
    </row>
    <row r="329" spans="1:32" x14ac:dyDescent="0.25">
      <c r="D329" s="46" t="str">
        <f>IFERROR(VLOOKUP($E329,'BASE DE DATOS'!$A:$I,2,0)," ")</f>
        <v xml:space="preserve"> </v>
      </c>
      <c r="F329" s="46">
        <f>IFERROR(VLOOKUP($E342,'BASE DE DATOS'!$A:$I,3,0),0)</f>
        <v>0</v>
      </c>
      <c r="G329" s="46">
        <f>IFERROR(VLOOKUP($E329,'BASE DE DATOS'!$A:$I,3,0),0)</f>
        <v>0</v>
      </c>
      <c r="H329" s="46">
        <f>IFERROR(VLOOKUP($E329,'BASE DE DATOS'!$A:$I,3,0),0)</f>
        <v>0</v>
      </c>
      <c r="I329" s="46">
        <f>IFERROR(VLOOKUP($E329,'BASE DE DATOS'!$A:$I,3,0),0)</f>
        <v>0</v>
      </c>
      <c r="J329" s="46">
        <f>IFERROR(VLOOKUP($E329,'BASE DE DATOS'!$A:$I,3,0),0)</f>
        <v>0</v>
      </c>
      <c r="K329" s="46">
        <f>IFERROR(VLOOKUP($E588,'BASE DE DATOS'!$A:$I,3,0),0)</f>
        <v>0</v>
      </c>
      <c r="L329" s="46">
        <f>IFERROR(VLOOKUP($E329,'BASE DE DATOS'!$A:$I,3,0),0)</f>
        <v>0</v>
      </c>
      <c r="M329" s="70"/>
      <c r="N329" s="3"/>
    </row>
    <row r="330" spans="1:32" x14ac:dyDescent="0.25">
      <c r="D330" s="46" t="str">
        <f>IFERROR(VLOOKUP($E330,'BASE DE DATOS'!$A:$I,2,0)," ")</f>
        <v xml:space="preserve"> </v>
      </c>
      <c r="F330" s="46">
        <f>IFERROR(VLOOKUP($E343,'BASE DE DATOS'!$A:$I,3,0),0)</f>
        <v>0</v>
      </c>
      <c r="G330" s="46">
        <f>IFERROR(VLOOKUP($E330,'BASE DE DATOS'!$A:$I,3,0),0)</f>
        <v>0</v>
      </c>
      <c r="H330" s="46">
        <f>IFERROR(VLOOKUP($E330,'BASE DE DATOS'!$A:$I,3,0),0)</f>
        <v>0</v>
      </c>
      <c r="I330" s="46">
        <f>IFERROR(VLOOKUP($E330,'BASE DE DATOS'!$A:$I,3,0),0)</f>
        <v>0</v>
      </c>
      <c r="J330" s="46">
        <f>IFERROR(VLOOKUP($E330,'BASE DE DATOS'!$A:$I,3,0),0)</f>
        <v>0</v>
      </c>
      <c r="K330" s="46">
        <f>IFERROR(VLOOKUP($E589,'BASE DE DATOS'!$A:$I,3,0),0)</f>
        <v>0</v>
      </c>
      <c r="L330" s="46">
        <f>IFERROR(VLOOKUP($E330,'BASE DE DATOS'!$A:$I,3,0),0)</f>
        <v>0</v>
      </c>
      <c r="M330" s="70"/>
      <c r="N330" s="3"/>
    </row>
    <row r="331" spans="1:32" x14ac:dyDescent="0.25">
      <c r="D331" s="46" t="str">
        <f>IFERROR(VLOOKUP($E331,'BASE DE DATOS'!$A:$I,2,0)," ")</f>
        <v xml:space="preserve"> </v>
      </c>
      <c r="F331" s="46">
        <f>IFERROR(VLOOKUP($E344,'BASE DE DATOS'!$A:$I,3,0),0)</f>
        <v>0</v>
      </c>
      <c r="G331" s="46">
        <f>IFERROR(VLOOKUP($E331,'BASE DE DATOS'!$A:$I,3,0),0)</f>
        <v>0</v>
      </c>
      <c r="H331" s="46">
        <f>IFERROR(VLOOKUP($E331,'BASE DE DATOS'!$A:$I,3,0),0)</f>
        <v>0</v>
      </c>
      <c r="I331" s="46">
        <f>IFERROR(VLOOKUP($E331,'BASE DE DATOS'!$A:$I,3,0),0)</f>
        <v>0</v>
      </c>
      <c r="J331" s="46">
        <f>IFERROR(VLOOKUP($E331,'BASE DE DATOS'!$A:$I,3,0),0)</f>
        <v>0</v>
      </c>
      <c r="K331" s="46">
        <f>IFERROR(VLOOKUP($E590,'BASE DE DATOS'!$A:$I,3,0),0)</f>
        <v>0</v>
      </c>
      <c r="L331" s="46">
        <f>IFERROR(VLOOKUP($E331,'BASE DE DATOS'!$A:$I,3,0),0)</f>
        <v>0</v>
      </c>
      <c r="M331" s="70"/>
      <c r="N331" s="3"/>
    </row>
    <row r="332" spans="1:32" x14ac:dyDescent="0.25">
      <c r="D332" s="46" t="str">
        <f>IFERROR(VLOOKUP($E332,'BASE DE DATOS'!$A:$I,2,0)," ")</f>
        <v xml:space="preserve"> </v>
      </c>
      <c r="F332" s="46">
        <f>IFERROR(VLOOKUP($E345,'BASE DE DATOS'!$A:$I,3,0),0)</f>
        <v>0</v>
      </c>
      <c r="G332" s="46">
        <f>IFERROR(VLOOKUP($E332,'BASE DE DATOS'!$A:$I,3,0),0)</f>
        <v>0</v>
      </c>
      <c r="H332" s="46">
        <f>IFERROR(VLOOKUP($E332,'BASE DE DATOS'!$A:$I,3,0),0)</f>
        <v>0</v>
      </c>
      <c r="I332" s="46">
        <f>IFERROR(VLOOKUP($E332,'BASE DE DATOS'!$A:$I,3,0),0)</f>
        <v>0</v>
      </c>
      <c r="J332" s="46">
        <f>IFERROR(VLOOKUP($E332,'BASE DE DATOS'!$A:$I,3,0),0)</f>
        <v>0</v>
      </c>
      <c r="K332" s="46">
        <f>IFERROR(VLOOKUP($E591,'BASE DE DATOS'!$A:$I,3,0),0)</f>
        <v>0</v>
      </c>
      <c r="L332" s="46">
        <f>IFERROR(VLOOKUP($E332,'BASE DE DATOS'!$A:$I,3,0),0)</f>
        <v>0</v>
      </c>
      <c r="M332" s="70"/>
      <c r="N332" s="3"/>
    </row>
    <row r="333" spans="1:32" x14ac:dyDescent="0.25">
      <c r="D333" s="46" t="str">
        <f>IFERROR(VLOOKUP($E333,'BASE DE DATOS'!$A:$I,2,0)," ")</f>
        <v xml:space="preserve"> </v>
      </c>
      <c r="F333" s="46">
        <f>IFERROR(VLOOKUP($E346,'BASE DE DATOS'!$A:$I,3,0),0)</f>
        <v>0</v>
      </c>
      <c r="G333" s="46">
        <f>IFERROR(VLOOKUP($E333,'BASE DE DATOS'!$A:$I,3,0),0)</f>
        <v>0</v>
      </c>
      <c r="H333" s="46">
        <f>IFERROR(VLOOKUP($E333,'BASE DE DATOS'!$A:$I,3,0),0)</f>
        <v>0</v>
      </c>
      <c r="I333" s="46">
        <f>IFERROR(VLOOKUP($E333,'BASE DE DATOS'!$A:$I,3,0),0)</f>
        <v>0</v>
      </c>
      <c r="J333" s="46">
        <f>IFERROR(VLOOKUP($E333,'BASE DE DATOS'!$A:$I,3,0),0)</f>
        <v>0</v>
      </c>
      <c r="K333" s="46">
        <f>IFERROR(VLOOKUP($E592,'BASE DE DATOS'!$A:$I,3,0),0)</f>
        <v>0</v>
      </c>
      <c r="L333" s="46">
        <f>IFERROR(VLOOKUP($E333,'BASE DE DATOS'!$A:$I,3,0),0)</f>
        <v>0</v>
      </c>
      <c r="M333" s="70"/>
      <c r="N333" s="3"/>
    </row>
    <row r="334" spans="1:32" s="7" customFormat="1" ht="15.75" thickBot="1" x14ac:dyDescent="0.3">
      <c r="A334" s="3"/>
      <c r="B334" s="34"/>
      <c r="C334" s="3"/>
      <c r="D334" s="46" t="str">
        <f>IFERROR(VLOOKUP($E334,'BASE DE DATOS'!$A:$I,2,0)," ")</f>
        <v xml:space="preserve"> </v>
      </c>
      <c r="E334" s="66"/>
      <c r="F334" s="46">
        <f>IFERROR(VLOOKUP($E347,'BASE DE DATOS'!$A:$I,3,0),0)</f>
        <v>0</v>
      </c>
      <c r="G334" s="46">
        <f>IFERROR(VLOOKUP($E334,'BASE DE DATOS'!$A:$I,3,0),0)</f>
        <v>0</v>
      </c>
      <c r="H334" s="46">
        <f>IFERROR(VLOOKUP($E334,'BASE DE DATOS'!$A:$I,3,0),0)</f>
        <v>0</v>
      </c>
      <c r="I334" s="46">
        <f>IFERROR(VLOOKUP($E334,'BASE DE DATOS'!$A:$I,3,0),0)</f>
        <v>0</v>
      </c>
      <c r="J334" s="46">
        <f>IFERROR(VLOOKUP($E334,'BASE DE DATOS'!$A:$I,3,0),0)</f>
        <v>0</v>
      </c>
      <c r="K334" s="46">
        <f>IFERROR(VLOOKUP($E593,'BASE DE DATOS'!$A:$I,3,0),0)</f>
        <v>0</v>
      </c>
      <c r="L334" s="46">
        <f>IFERROR(VLOOKUP($E334,'BASE DE DATOS'!$A:$I,3,0),0)</f>
        <v>0</v>
      </c>
      <c r="M334" s="70"/>
      <c r="N334" s="3"/>
    </row>
    <row r="335" spans="1:32" ht="15.75" thickTop="1" x14ac:dyDescent="0.25">
      <c r="D335" s="46" t="str">
        <f>IFERROR(VLOOKUP($E335,'BASE DE DATOS'!$A:$I,2,0)," ")</f>
        <v xml:space="preserve"> </v>
      </c>
      <c r="F335" s="46">
        <f>IFERROR(VLOOKUP($E348,'BASE DE DATOS'!$A:$I,3,0),0)</f>
        <v>0</v>
      </c>
      <c r="G335" s="46">
        <f>IFERROR(VLOOKUP($E335,'BASE DE DATOS'!$A:$I,3,0),0)</f>
        <v>0</v>
      </c>
      <c r="H335" s="46">
        <f>IFERROR(VLOOKUP($E335,'BASE DE DATOS'!$A:$I,3,0),0)</f>
        <v>0</v>
      </c>
      <c r="I335" s="46">
        <f>IFERROR(VLOOKUP($E335,'BASE DE DATOS'!$A:$I,3,0),0)</f>
        <v>0</v>
      </c>
      <c r="J335" s="46">
        <f>IFERROR(VLOOKUP($E335,'BASE DE DATOS'!$A:$I,3,0),0)</f>
        <v>0</v>
      </c>
      <c r="K335" s="46">
        <f>IFERROR(VLOOKUP($E594,'BASE DE DATOS'!$A:$I,3,0),0)</f>
        <v>0</v>
      </c>
      <c r="L335" s="46">
        <f>IFERROR(VLOOKUP($E335,'BASE DE DATOS'!$A:$I,3,0),0)</f>
        <v>0</v>
      </c>
      <c r="M335" s="70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25">
      <c r="D336" s="46" t="str">
        <f>IFERROR(VLOOKUP($E336,'BASE DE DATOS'!$A:$I,2,0)," ")</f>
        <v xml:space="preserve"> </v>
      </c>
      <c r="F336" s="46">
        <f>IFERROR(VLOOKUP($E349,'BASE DE DATOS'!$A:$I,3,0),0)</f>
        <v>0</v>
      </c>
      <c r="G336" s="46">
        <f>IFERROR(VLOOKUP($E336,'BASE DE DATOS'!$A:$I,3,0),0)</f>
        <v>0</v>
      </c>
      <c r="H336" s="46">
        <f>IFERROR(VLOOKUP($E336,'BASE DE DATOS'!$A:$I,3,0),0)</f>
        <v>0</v>
      </c>
      <c r="I336" s="46">
        <f>IFERROR(VLOOKUP($E336,'BASE DE DATOS'!$A:$I,3,0),0)</f>
        <v>0</v>
      </c>
      <c r="J336" s="46">
        <f>IFERROR(VLOOKUP($E336,'BASE DE DATOS'!$A:$I,3,0),0)</f>
        <v>0</v>
      </c>
      <c r="K336" s="46">
        <f>IFERROR(VLOOKUP($E595,'BASE DE DATOS'!$A:$I,3,0),0)</f>
        <v>0</v>
      </c>
      <c r="L336" s="46">
        <f>IFERROR(VLOOKUP($E336,'BASE DE DATOS'!$A:$I,3,0),0)</f>
        <v>0</v>
      </c>
      <c r="M336" s="70"/>
      <c r="N336" s="3"/>
    </row>
    <row r="337" spans="4:14" x14ac:dyDescent="0.25">
      <c r="D337" s="46" t="str">
        <f>IFERROR(VLOOKUP($E337,'BASE DE DATOS'!$A:$I,2,0)," ")</f>
        <v xml:space="preserve"> </v>
      </c>
      <c r="F337" s="46">
        <f>IFERROR(VLOOKUP($E350,'BASE DE DATOS'!$A:$I,3,0),0)</f>
        <v>0</v>
      </c>
      <c r="G337" s="46">
        <f>IFERROR(VLOOKUP($E337,'BASE DE DATOS'!$A:$I,3,0),0)</f>
        <v>0</v>
      </c>
      <c r="H337" s="46">
        <f>IFERROR(VLOOKUP($E337,'BASE DE DATOS'!$A:$I,3,0),0)</f>
        <v>0</v>
      </c>
      <c r="I337" s="46">
        <f>IFERROR(VLOOKUP($E337,'BASE DE DATOS'!$A:$I,3,0),0)</f>
        <v>0</v>
      </c>
      <c r="J337" s="46">
        <f>IFERROR(VLOOKUP($E337,'BASE DE DATOS'!$A:$I,3,0),0)</f>
        <v>0</v>
      </c>
      <c r="K337" s="46">
        <f>IFERROR(VLOOKUP($E596,'BASE DE DATOS'!$A:$I,3,0),0)</f>
        <v>0</v>
      </c>
      <c r="L337" s="46">
        <f>IFERROR(VLOOKUP($E337,'BASE DE DATOS'!$A:$I,3,0),0)</f>
        <v>0</v>
      </c>
      <c r="M337" s="70"/>
      <c r="N337" s="3"/>
    </row>
    <row r="338" spans="4:14" x14ac:dyDescent="0.25">
      <c r="D338" s="46" t="str">
        <f>IFERROR(VLOOKUP($E338,'BASE DE DATOS'!$A:$I,2,0)," ")</f>
        <v xml:space="preserve"> </v>
      </c>
      <c r="F338" s="46">
        <f>IFERROR(VLOOKUP($E351,'BASE DE DATOS'!$A:$I,3,0),0)</f>
        <v>0</v>
      </c>
      <c r="G338" s="46">
        <f>IFERROR(VLOOKUP($E338,'BASE DE DATOS'!$A:$I,3,0),0)</f>
        <v>0</v>
      </c>
      <c r="H338" s="46">
        <f>IFERROR(VLOOKUP($E338,'BASE DE DATOS'!$A:$I,3,0),0)</f>
        <v>0</v>
      </c>
      <c r="I338" s="46">
        <f>IFERROR(VLOOKUP($E338,'BASE DE DATOS'!$A:$I,3,0),0)</f>
        <v>0</v>
      </c>
      <c r="J338" s="46">
        <f>IFERROR(VLOOKUP($E338,'BASE DE DATOS'!$A:$I,3,0),0)</f>
        <v>0</v>
      </c>
      <c r="K338" s="46">
        <f>IFERROR(VLOOKUP($E597,'BASE DE DATOS'!$A:$I,3,0),0)</f>
        <v>0</v>
      </c>
      <c r="L338" s="46">
        <f>IFERROR(VLOOKUP($E338,'BASE DE DATOS'!$A:$I,3,0),0)</f>
        <v>0</v>
      </c>
      <c r="M338" s="70"/>
      <c r="N338" s="3"/>
    </row>
    <row r="339" spans="4:14" x14ac:dyDescent="0.25">
      <c r="D339" s="46" t="str">
        <f>IFERROR(VLOOKUP($E339,'BASE DE DATOS'!$A:$I,2,0)," ")</f>
        <v xml:space="preserve"> </v>
      </c>
      <c r="F339" s="46">
        <f>IFERROR(VLOOKUP($E352,'BASE DE DATOS'!$A:$I,3,0),0)</f>
        <v>0</v>
      </c>
      <c r="G339" s="46">
        <f>IFERROR(VLOOKUP($E339,'BASE DE DATOS'!$A:$I,3,0),0)</f>
        <v>0</v>
      </c>
      <c r="H339" s="46">
        <f>IFERROR(VLOOKUP($E339,'BASE DE DATOS'!$A:$I,3,0),0)</f>
        <v>0</v>
      </c>
      <c r="I339" s="46">
        <f>IFERROR(VLOOKUP($E339,'BASE DE DATOS'!$A:$I,3,0),0)</f>
        <v>0</v>
      </c>
      <c r="J339" s="46">
        <f>IFERROR(VLOOKUP($E339,'BASE DE DATOS'!$A:$I,3,0),0)</f>
        <v>0</v>
      </c>
      <c r="K339" s="46">
        <f>IFERROR(VLOOKUP($E598,'BASE DE DATOS'!$A:$I,3,0),0)</f>
        <v>0</v>
      </c>
      <c r="L339" s="46">
        <f>IFERROR(VLOOKUP($E339,'BASE DE DATOS'!$A:$I,3,0),0)</f>
        <v>0</v>
      </c>
      <c r="M339" s="70"/>
      <c r="N339" s="3"/>
    </row>
    <row r="340" spans="4:14" x14ac:dyDescent="0.25">
      <c r="D340" s="46" t="str">
        <f>IFERROR(VLOOKUP($E340,'BASE DE DATOS'!$A:$I,2,0)," ")</f>
        <v xml:space="preserve"> </v>
      </c>
      <c r="F340" s="46">
        <f>IFERROR(VLOOKUP($E353,'BASE DE DATOS'!$A:$I,3,0),0)</f>
        <v>0</v>
      </c>
      <c r="G340" s="46">
        <f>IFERROR(VLOOKUP($E340,'BASE DE DATOS'!$A:$I,3,0),0)</f>
        <v>0</v>
      </c>
      <c r="H340" s="46">
        <f>IFERROR(VLOOKUP($E340,'BASE DE DATOS'!$A:$I,3,0),0)</f>
        <v>0</v>
      </c>
      <c r="I340" s="46">
        <f>IFERROR(VLOOKUP($E340,'BASE DE DATOS'!$A:$I,3,0),0)</f>
        <v>0</v>
      </c>
      <c r="J340" s="46">
        <f>IFERROR(VLOOKUP($E340,'BASE DE DATOS'!$A:$I,3,0),0)</f>
        <v>0</v>
      </c>
      <c r="K340" s="46">
        <f>IFERROR(VLOOKUP($E599,'BASE DE DATOS'!$A:$I,3,0),0)</f>
        <v>0</v>
      </c>
      <c r="L340" s="46">
        <f>IFERROR(VLOOKUP($E340,'BASE DE DATOS'!$A:$I,3,0),0)</f>
        <v>0</v>
      </c>
      <c r="M340" s="70"/>
      <c r="N340" s="3"/>
    </row>
    <row r="341" spans="4:14" x14ac:dyDescent="0.25">
      <c r="D341" s="46" t="str">
        <f>IFERROR(VLOOKUP($E341,'BASE DE DATOS'!$A:$I,2,0)," ")</f>
        <v xml:space="preserve"> </v>
      </c>
      <c r="F341" s="46">
        <f>IFERROR(VLOOKUP($E354,'BASE DE DATOS'!$A:$I,3,0),0)</f>
        <v>0</v>
      </c>
      <c r="G341" s="46">
        <f>IFERROR(VLOOKUP($E341,'BASE DE DATOS'!$A:$I,3,0),0)</f>
        <v>0</v>
      </c>
      <c r="H341" s="46">
        <f>IFERROR(VLOOKUP($E341,'BASE DE DATOS'!$A:$I,3,0),0)</f>
        <v>0</v>
      </c>
      <c r="I341" s="46">
        <f>IFERROR(VLOOKUP($E341,'BASE DE DATOS'!$A:$I,3,0),0)</f>
        <v>0</v>
      </c>
      <c r="J341" s="46">
        <f>IFERROR(VLOOKUP($E341,'BASE DE DATOS'!$A:$I,3,0),0)</f>
        <v>0</v>
      </c>
      <c r="K341" s="46">
        <f>IFERROR(VLOOKUP($E600,'BASE DE DATOS'!$A:$I,3,0),0)</f>
        <v>0</v>
      </c>
      <c r="L341" s="46">
        <f>IFERROR(VLOOKUP($E341,'BASE DE DATOS'!$A:$I,3,0),0)</f>
        <v>0</v>
      </c>
      <c r="M341" s="70"/>
      <c r="N341" s="3"/>
    </row>
    <row r="342" spans="4:14" x14ac:dyDescent="0.25">
      <c r="D342" s="46" t="str">
        <f>IFERROR(VLOOKUP($E342,'BASE DE DATOS'!$A:$I,2,0)," ")</f>
        <v xml:space="preserve"> </v>
      </c>
      <c r="F342" s="46">
        <f>IFERROR(VLOOKUP($E355,'BASE DE DATOS'!$A:$I,3,0),0)</f>
        <v>0</v>
      </c>
      <c r="G342" s="46">
        <f>IFERROR(VLOOKUP($E342,'BASE DE DATOS'!$A:$I,3,0),0)</f>
        <v>0</v>
      </c>
      <c r="H342" s="46">
        <f>IFERROR(VLOOKUP($E342,'BASE DE DATOS'!$A:$I,3,0),0)</f>
        <v>0</v>
      </c>
      <c r="I342" s="46">
        <f>IFERROR(VLOOKUP($E342,'BASE DE DATOS'!$A:$I,3,0),0)</f>
        <v>0</v>
      </c>
      <c r="J342" s="46">
        <f>IFERROR(VLOOKUP($E342,'BASE DE DATOS'!$A:$I,3,0),0)</f>
        <v>0</v>
      </c>
      <c r="K342" s="46">
        <f>IFERROR(VLOOKUP($E601,'BASE DE DATOS'!$A:$I,3,0),0)</f>
        <v>0</v>
      </c>
      <c r="L342" s="46">
        <f>IFERROR(VLOOKUP($E342,'BASE DE DATOS'!$A:$I,3,0),0)</f>
        <v>0</v>
      </c>
      <c r="M342" s="70"/>
      <c r="N342" s="3"/>
    </row>
    <row r="343" spans="4:14" x14ac:dyDescent="0.25">
      <c r="D343" s="46" t="str">
        <f>IFERROR(VLOOKUP($E343,'BASE DE DATOS'!$A:$I,2,0)," ")</f>
        <v xml:space="preserve"> </v>
      </c>
      <c r="F343" s="46">
        <f>IFERROR(VLOOKUP($E356,'BASE DE DATOS'!$A:$I,3,0),0)</f>
        <v>0</v>
      </c>
      <c r="G343" s="46">
        <f>IFERROR(VLOOKUP($E343,'BASE DE DATOS'!$A:$I,3,0),0)</f>
        <v>0</v>
      </c>
      <c r="H343" s="46">
        <f>IFERROR(VLOOKUP($E343,'BASE DE DATOS'!$A:$I,3,0),0)</f>
        <v>0</v>
      </c>
      <c r="I343" s="46">
        <f>IFERROR(VLOOKUP($E343,'BASE DE DATOS'!$A:$I,3,0),0)</f>
        <v>0</v>
      </c>
      <c r="J343" s="46">
        <f>IFERROR(VLOOKUP($E343,'BASE DE DATOS'!$A:$I,3,0),0)</f>
        <v>0</v>
      </c>
      <c r="K343" s="46">
        <f>IFERROR(VLOOKUP($E602,'BASE DE DATOS'!$A:$I,3,0),0)</f>
        <v>0</v>
      </c>
      <c r="L343" s="46">
        <f>IFERROR(VLOOKUP($E343,'BASE DE DATOS'!$A:$I,3,0),0)</f>
        <v>0</v>
      </c>
      <c r="M343" s="70"/>
      <c r="N343" s="3"/>
    </row>
    <row r="344" spans="4:14" x14ac:dyDescent="0.25">
      <c r="D344" s="46" t="str">
        <f>IFERROR(VLOOKUP($E344,'BASE DE DATOS'!$A:$I,2,0)," ")</f>
        <v xml:space="preserve"> </v>
      </c>
      <c r="F344" s="46">
        <f>IFERROR(VLOOKUP($E357,'BASE DE DATOS'!$A:$I,3,0),0)</f>
        <v>0</v>
      </c>
      <c r="G344" s="46">
        <f>IFERROR(VLOOKUP($E344,'BASE DE DATOS'!$A:$I,3,0),0)</f>
        <v>0</v>
      </c>
      <c r="H344" s="46">
        <f>IFERROR(VLOOKUP($E344,'BASE DE DATOS'!$A:$I,3,0),0)</f>
        <v>0</v>
      </c>
      <c r="I344" s="46">
        <f>IFERROR(VLOOKUP($E344,'BASE DE DATOS'!$A:$I,3,0),0)</f>
        <v>0</v>
      </c>
      <c r="J344" s="46">
        <f>IFERROR(VLOOKUP($E344,'BASE DE DATOS'!$A:$I,3,0),0)</f>
        <v>0</v>
      </c>
      <c r="K344" s="46">
        <f>IFERROR(VLOOKUP($E603,'BASE DE DATOS'!$A:$I,3,0),0)</f>
        <v>0</v>
      </c>
      <c r="L344" s="46">
        <f>IFERROR(VLOOKUP($E344,'BASE DE DATOS'!$A:$I,3,0),0)</f>
        <v>0</v>
      </c>
      <c r="M344" s="70"/>
      <c r="N344" s="3"/>
    </row>
    <row r="345" spans="4:14" x14ac:dyDescent="0.25">
      <c r="D345" s="46" t="str">
        <f>IFERROR(VLOOKUP($E345,'BASE DE DATOS'!$A:$I,2,0)," ")</f>
        <v xml:space="preserve"> </v>
      </c>
      <c r="F345" s="46">
        <f>IFERROR(VLOOKUP($E358,'BASE DE DATOS'!$A:$I,3,0),0)</f>
        <v>0</v>
      </c>
      <c r="G345" s="46">
        <f>IFERROR(VLOOKUP($E345,'BASE DE DATOS'!$A:$I,3,0),0)</f>
        <v>0</v>
      </c>
      <c r="H345" s="46">
        <f>IFERROR(VLOOKUP($E345,'BASE DE DATOS'!$A:$I,3,0),0)</f>
        <v>0</v>
      </c>
      <c r="I345" s="46">
        <f>IFERROR(VLOOKUP($E345,'BASE DE DATOS'!$A:$I,3,0),0)</f>
        <v>0</v>
      </c>
      <c r="J345" s="46">
        <f>IFERROR(VLOOKUP($E345,'BASE DE DATOS'!$A:$I,3,0),0)</f>
        <v>0</v>
      </c>
      <c r="K345" s="46">
        <f>IFERROR(VLOOKUP($E604,'BASE DE DATOS'!$A:$I,3,0),0)</f>
        <v>0</v>
      </c>
      <c r="L345" s="46">
        <f>IFERROR(VLOOKUP($E345,'BASE DE DATOS'!$A:$I,3,0),0)</f>
        <v>0</v>
      </c>
      <c r="M345" s="70"/>
      <c r="N345" s="3"/>
    </row>
    <row r="346" spans="4:14" x14ac:dyDescent="0.25">
      <c r="D346" s="46" t="str">
        <f>IFERROR(VLOOKUP($E346,'BASE DE DATOS'!$A:$I,2,0)," ")</f>
        <v xml:space="preserve"> </v>
      </c>
      <c r="F346" s="46">
        <f>IFERROR(VLOOKUP($E359,'BASE DE DATOS'!$A:$I,3,0),0)</f>
        <v>0</v>
      </c>
      <c r="G346" s="46">
        <f>IFERROR(VLOOKUP($E346,'BASE DE DATOS'!$A:$I,3,0),0)</f>
        <v>0</v>
      </c>
      <c r="H346" s="46">
        <f>IFERROR(VLOOKUP($E346,'BASE DE DATOS'!$A:$I,3,0),0)</f>
        <v>0</v>
      </c>
      <c r="I346" s="46">
        <f>IFERROR(VLOOKUP($E346,'BASE DE DATOS'!$A:$I,3,0),0)</f>
        <v>0</v>
      </c>
      <c r="J346" s="46">
        <f>IFERROR(VLOOKUP($E346,'BASE DE DATOS'!$A:$I,3,0),0)</f>
        <v>0</v>
      </c>
      <c r="K346" s="46">
        <f>IFERROR(VLOOKUP($E605,'BASE DE DATOS'!$A:$I,3,0),0)</f>
        <v>0</v>
      </c>
      <c r="L346" s="46">
        <f>IFERROR(VLOOKUP($E346,'BASE DE DATOS'!$A:$I,3,0),0)</f>
        <v>0</v>
      </c>
      <c r="M346" s="70"/>
      <c r="N346" s="3"/>
    </row>
    <row r="347" spans="4:14" x14ac:dyDescent="0.25">
      <c r="D347" s="46" t="str">
        <f>IFERROR(VLOOKUP($E347,'BASE DE DATOS'!$A:$I,2,0)," ")</f>
        <v xml:space="preserve"> </v>
      </c>
      <c r="F347" s="46">
        <f>IFERROR(VLOOKUP($E360,'BASE DE DATOS'!$A:$I,3,0),0)</f>
        <v>0</v>
      </c>
      <c r="G347" s="46">
        <f>IFERROR(VLOOKUP($E347,'BASE DE DATOS'!$A:$I,3,0),0)</f>
        <v>0</v>
      </c>
      <c r="H347" s="46">
        <f>IFERROR(VLOOKUP($E347,'BASE DE DATOS'!$A:$I,3,0),0)</f>
        <v>0</v>
      </c>
      <c r="I347" s="46">
        <f>IFERROR(VLOOKUP($E347,'BASE DE DATOS'!$A:$I,3,0),0)</f>
        <v>0</v>
      </c>
      <c r="J347" s="46">
        <f>IFERROR(VLOOKUP($E347,'BASE DE DATOS'!$A:$I,3,0),0)</f>
        <v>0</v>
      </c>
      <c r="K347" s="46">
        <f>IFERROR(VLOOKUP($E606,'BASE DE DATOS'!$A:$I,3,0),0)</f>
        <v>0</v>
      </c>
      <c r="L347" s="46">
        <f>IFERROR(VLOOKUP($E347,'BASE DE DATOS'!$A:$I,3,0),0)</f>
        <v>0</v>
      </c>
      <c r="M347" s="70"/>
      <c r="N347" s="3"/>
    </row>
    <row r="348" spans="4:14" x14ac:dyDescent="0.25">
      <c r="D348" s="46" t="str">
        <f>IFERROR(VLOOKUP($E348,'BASE DE DATOS'!$A:$I,2,0)," ")</f>
        <v xml:space="preserve"> </v>
      </c>
      <c r="F348" s="46">
        <f>IFERROR(VLOOKUP($E361,'BASE DE DATOS'!$A:$I,3,0),0)</f>
        <v>0</v>
      </c>
      <c r="G348" s="46">
        <f>IFERROR(VLOOKUP($E348,'BASE DE DATOS'!$A:$I,3,0),0)</f>
        <v>0</v>
      </c>
      <c r="H348" s="46">
        <f>IFERROR(VLOOKUP($E348,'BASE DE DATOS'!$A:$I,3,0),0)</f>
        <v>0</v>
      </c>
      <c r="I348" s="46">
        <f>IFERROR(VLOOKUP($E348,'BASE DE DATOS'!$A:$I,3,0),0)</f>
        <v>0</v>
      </c>
      <c r="J348" s="46">
        <f>IFERROR(VLOOKUP($E348,'BASE DE DATOS'!$A:$I,3,0),0)</f>
        <v>0</v>
      </c>
      <c r="K348" s="46">
        <f>IFERROR(VLOOKUP($E607,'BASE DE DATOS'!$A:$I,3,0),0)</f>
        <v>0</v>
      </c>
      <c r="L348" s="46">
        <f>IFERROR(VLOOKUP($E348,'BASE DE DATOS'!$A:$I,3,0),0)</f>
        <v>0</v>
      </c>
      <c r="M348" s="70"/>
      <c r="N348" s="3"/>
    </row>
    <row r="349" spans="4:14" x14ac:dyDescent="0.25">
      <c r="D349" s="46" t="str">
        <f>IFERROR(VLOOKUP($E349,'BASE DE DATOS'!$A:$I,2,0)," ")</f>
        <v xml:space="preserve"> </v>
      </c>
      <c r="F349" s="46">
        <f>IFERROR(VLOOKUP($E362,'BASE DE DATOS'!$A:$I,3,0),0)</f>
        <v>0</v>
      </c>
      <c r="G349" s="46">
        <f>IFERROR(VLOOKUP($E349,'BASE DE DATOS'!$A:$I,3,0),0)</f>
        <v>0</v>
      </c>
      <c r="H349" s="46">
        <f>IFERROR(VLOOKUP($E349,'BASE DE DATOS'!$A:$I,3,0),0)</f>
        <v>0</v>
      </c>
      <c r="I349" s="46">
        <f>IFERROR(VLOOKUP($E349,'BASE DE DATOS'!$A:$I,3,0),0)</f>
        <v>0</v>
      </c>
      <c r="J349" s="46">
        <f>IFERROR(VLOOKUP($E349,'BASE DE DATOS'!$A:$I,3,0),0)</f>
        <v>0</v>
      </c>
      <c r="K349" s="46">
        <f>IFERROR(VLOOKUP($E608,'BASE DE DATOS'!$A:$I,3,0),0)</f>
        <v>0</v>
      </c>
      <c r="L349" s="46">
        <f>IFERROR(VLOOKUP($E349,'BASE DE DATOS'!$A:$I,3,0),0)</f>
        <v>0</v>
      </c>
      <c r="M349" s="70"/>
      <c r="N349" s="3"/>
    </row>
    <row r="350" spans="4:14" x14ac:dyDescent="0.25">
      <c r="D350" s="46" t="str">
        <f>IFERROR(VLOOKUP($E350,'BASE DE DATOS'!$A:$I,2,0)," ")</f>
        <v xml:space="preserve"> </v>
      </c>
      <c r="F350" s="46">
        <f>IFERROR(VLOOKUP($E363,'BASE DE DATOS'!$A:$I,3,0),0)</f>
        <v>0</v>
      </c>
      <c r="G350" s="46">
        <f>IFERROR(VLOOKUP($E350,'BASE DE DATOS'!$A:$I,3,0),0)</f>
        <v>0</v>
      </c>
      <c r="H350" s="46">
        <f>IFERROR(VLOOKUP($E350,'BASE DE DATOS'!$A:$I,3,0),0)</f>
        <v>0</v>
      </c>
      <c r="I350" s="46">
        <f>IFERROR(VLOOKUP($E350,'BASE DE DATOS'!$A:$I,3,0),0)</f>
        <v>0</v>
      </c>
      <c r="J350" s="46">
        <f>IFERROR(VLOOKUP($E350,'BASE DE DATOS'!$A:$I,3,0),0)</f>
        <v>0</v>
      </c>
      <c r="K350" s="46">
        <f>IFERROR(VLOOKUP($E609,'BASE DE DATOS'!$A:$I,3,0),0)</f>
        <v>0</v>
      </c>
      <c r="L350" s="46">
        <f>IFERROR(VLOOKUP($E350,'BASE DE DATOS'!$A:$I,3,0),0)</f>
        <v>0</v>
      </c>
      <c r="M350" s="70"/>
      <c r="N350" s="3"/>
    </row>
    <row r="351" spans="4:14" x14ac:dyDescent="0.25">
      <c r="D351" s="46" t="str">
        <f>IFERROR(VLOOKUP($E351,'BASE DE DATOS'!$A:$I,2,0)," ")</f>
        <v xml:space="preserve"> </v>
      </c>
      <c r="F351" s="46">
        <f>IFERROR(VLOOKUP($E364,'BASE DE DATOS'!$A:$I,3,0),0)</f>
        <v>0</v>
      </c>
      <c r="G351" s="46">
        <f>IFERROR(VLOOKUP($E351,'BASE DE DATOS'!$A:$I,3,0),0)</f>
        <v>0</v>
      </c>
      <c r="H351" s="46">
        <f>IFERROR(VLOOKUP($E351,'BASE DE DATOS'!$A:$I,3,0),0)</f>
        <v>0</v>
      </c>
      <c r="I351" s="46">
        <f>IFERROR(VLOOKUP($E351,'BASE DE DATOS'!$A:$I,3,0),0)</f>
        <v>0</v>
      </c>
      <c r="J351" s="46">
        <f>IFERROR(VLOOKUP($E351,'BASE DE DATOS'!$A:$I,3,0),0)</f>
        <v>0</v>
      </c>
      <c r="K351" s="46">
        <f>IFERROR(VLOOKUP($E610,'BASE DE DATOS'!$A:$I,3,0),0)</f>
        <v>0</v>
      </c>
      <c r="L351" s="46">
        <f>IFERROR(VLOOKUP($E351,'BASE DE DATOS'!$A:$I,3,0),0)</f>
        <v>0</v>
      </c>
      <c r="M351" s="70"/>
      <c r="N351" s="3"/>
    </row>
    <row r="352" spans="4:14" x14ac:dyDescent="0.25">
      <c r="D352" s="46" t="str">
        <f>IFERROR(VLOOKUP($E352,'BASE DE DATOS'!$A:$I,2,0)," ")</f>
        <v xml:space="preserve"> </v>
      </c>
      <c r="F352" s="46">
        <f>IFERROR(VLOOKUP($E365,'BASE DE DATOS'!$A:$I,3,0),0)</f>
        <v>0</v>
      </c>
      <c r="G352" s="46">
        <f>IFERROR(VLOOKUP($E352,'BASE DE DATOS'!$A:$I,3,0),0)</f>
        <v>0</v>
      </c>
      <c r="H352" s="46">
        <f>IFERROR(VLOOKUP($E352,'BASE DE DATOS'!$A:$I,3,0),0)</f>
        <v>0</v>
      </c>
      <c r="I352" s="46">
        <f>IFERROR(VLOOKUP($E352,'BASE DE DATOS'!$A:$I,3,0),0)</f>
        <v>0</v>
      </c>
      <c r="J352" s="46">
        <f>IFERROR(VLOOKUP($E352,'BASE DE DATOS'!$A:$I,3,0),0)</f>
        <v>0</v>
      </c>
      <c r="K352" s="46">
        <f>IFERROR(VLOOKUP($E611,'BASE DE DATOS'!$A:$I,3,0),0)</f>
        <v>0</v>
      </c>
      <c r="L352" s="46">
        <f>IFERROR(VLOOKUP($E352,'BASE DE DATOS'!$A:$I,3,0),0)</f>
        <v>0</v>
      </c>
      <c r="M352" s="70"/>
      <c r="N352" s="1"/>
    </row>
    <row r="353" spans="4:14" x14ac:dyDescent="0.25">
      <c r="D353" s="46" t="str">
        <f>IFERROR(VLOOKUP($E353,'BASE DE DATOS'!$A:$I,2,0)," ")</f>
        <v xml:space="preserve"> </v>
      </c>
      <c r="F353" s="46">
        <f>IFERROR(VLOOKUP($E366,'BASE DE DATOS'!$A:$I,3,0),0)</f>
        <v>0</v>
      </c>
      <c r="G353" s="46">
        <f>IFERROR(VLOOKUP($E353,'BASE DE DATOS'!$A:$I,3,0),0)</f>
        <v>0</v>
      </c>
      <c r="H353" s="46">
        <f>IFERROR(VLOOKUP($E353,'BASE DE DATOS'!$A:$I,3,0),0)</f>
        <v>0</v>
      </c>
      <c r="I353" s="46">
        <f>IFERROR(VLOOKUP($E353,'BASE DE DATOS'!$A:$I,3,0),0)</f>
        <v>0</v>
      </c>
      <c r="J353" s="46">
        <f>IFERROR(VLOOKUP($E353,'BASE DE DATOS'!$A:$I,3,0),0)</f>
        <v>0</v>
      </c>
      <c r="K353" s="46">
        <f>IFERROR(VLOOKUP($E612,'BASE DE DATOS'!$A:$I,3,0),0)</f>
        <v>0</v>
      </c>
      <c r="L353" s="46">
        <f>IFERROR(VLOOKUP($E353,'BASE DE DATOS'!$A:$I,3,0),0)</f>
        <v>0</v>
      </c>
      <c r="M353" s="70"/>
      <c r="N353" s="1"/>
    </row>
    <row r="354" spans="4:14" x14ac:dyDescent="0.25">
      <c r="D354" s="46" t="str">
        <f>IFERROR(VLOOKUP($E354,'BASE DE DATOS'!$A:$I,2,0)," ")</f>
        <v xml:space="preserve"> </v>
      </c>
      <c r="F354" s="46">
        <f>IFERROR(VLOOKUP($E367,'BASE DE DATOS'!$A:$I,3,0),0)</f>
        <v>0</v>
      </c>
      <c r="G354" s="46">
        <f>IFERROR(VLOOKUP($E354,'BASE DE DATOS'!$A:$I,3,0),0)</f>
        <v>0</v>
      </c>
      <c r="H354" s="46">
        <f>IFERROR(VLOOKUP($E354,'BASE DE DATOS'!$A:$I,3,0),0)</f>
        <v>0</v>
      </c>
      <c r="I354" s="46">
        <f>IFERROR(VLOOKUP($E354,'BASE DE DATOS'!$A:$I,3,0),0)</f>
        <v>0</v>
      </c>
      <c r="J354" s="46">
        <f>IFERROR(VLOOKUP($E354,'BASE DE DATOS'!$A:$I,3,0),0)</f>
        <v>0</v>
      </c>
      <c r="K354" s="46">
        <f>IFERROR(VLOOKUP($E613,'BASE DE DATOS'!$A:$I,3,0),0)</f>
        <v>0</v>
      </c>
      <c r="L354" s="46">
        <f>IFERROR(VLOOKUP($E354,'BASE DE DATOS'!$A:$I,3,0),0)</f>
        <v>0</v>
      </c>
      <c r="M354" s="70"/>
      <c r="N354" s="1"/>
    </row>
    <row r="355" spans="4:14" x14ac:dyDescent="0.25">
      <c r="D355" s="46" t="str">
        <f>IFERROR(VLOOKUP($E355,'BASE DE DATOS'!$A:$I,2,0)," ")</f>
        <v xml:space="preserve"> </v>
      </c>
      <c r="F355" s="46">
        <f>IFERROR(VLOOKUP($E368,'BASE DE DATOS'!$A:$I,3,0),0)</f>
        <v>0</v>
      </c>
      <c r="G355" s="46">
        <f>IFERROR(VLOOKUP($E355,'BASE DE DATOS'!$A:$I,3,0),0)</f>
        <v>0</v>
      </c>
      <c r="H355" s="46">
        <f>IFERROR(VLOOKUP($E355,'BASE DE DATOS'!$A:$I,3,0),0)</f>
        <v>0</v>
      </c>
      <c r="I355" s="46">
        <f>IFERROR(VLOOKUP($E355,'BASE DE DATOS'!$A:$I,3,0),0)</f>
        <v>0</v>
      </c>
      <c r="J355" s="46">
        <f>IFERROR(VLOOKUP($E355,'BASE DE DATOS'!$A:$I,3,0),0)</f>
        <v>0</v>
      </c>
      <c r="K355" s="46">
        <f>IFERROR(VLOOKUP($E614,'BASE DE DATOS'!$A:$I,3,0),0)</f>
        <v>0</v>
      </c>
      <c r="L355" s="46">
        <f>IFERROR(VLOOKUP($E355,'BASE DE DATOS'!$A:$I,3,0),0)</f>
        <v>0</v>
      </c>
      <c r="M355" s="70"/>
      <c r="N355" s="1"/>
    </row>
    <row r="356" spans="4:14" x14ac:dyDescent="0.25">
      <c r="D356" s="46" t="str">
        <f>IFERROR(VLOOKUP($E356,'BASE DE DATOS'!$A:$I,2,0)," ")</f>
        <v xml:space="preserve"> </v>
      </c>
      <c r="F356" s="46">
        <f>IFERROR(VLOOKUP($E369,'BASE DE DATOS'!$A:$I,3,0),0)</f>
        <v>0</v>
      </c>
      <c r="G356" s="46">
        <f>IFERROR(VLOOKUP($E356,'BASE DE DATOS'!$A:$I,3,0),0)</f>
        <v>0</v>
      </c>
      <c r="H356" s="46">
        <f>IFERROR(VLOOKUP($E356,'BASE DE DATOS'!$A:$I,3,0),0)</f>
        <v>0</v>
      </c>
      <c r="I356" s="46">
        <f>IFERROR(VLOOKUP($E356,'BASE DE DATOS'!$A:$I,3,0),0)</f>
        <v>0</v>
      </c>
      <c r="J356" s="46">
        <f>IFERROR(VLOOKUP($E356,'BASE DE DATOS'!$A:$I,3,0),0)</f>
        <v>0</v>
      </c>
      <c r="K356" s="46">
        <f>IFERROR(VLOOKUP($E615,'BASE DE DATOS'!$A:$I,3,0),0)</f>
        <v>0</v>
      </c>
      <c r="L356" s="46">
        <f>IFERROR(VLOOKUP($E356,'BASE DE DATOS'!$A:$I,3,0),0)</f>
        <v>0</v>
      </c>
      <c r="M356" s="70"/>
      <c r="N356" s="1"/>
    </row>
    <row r="357" spans="4:14" x14ac:dyDescent="0.25">
      <c r="D357" s="46" t="str">
        <f>IFERROR(VLOOKUP($E357,'BASE DE DATOS'!$A:$I,2,0)," ")</f>
        <v xml:space="preserve"> </v>
      </c>
      <c r="F357" s="46">
        <f>IFERROR(VLOOKUP($E370,'BASE DE DATOS'!$A:$I,3,0),0)</f>
        <v>0</v>
      </c>
      <c r="G357" s="46">
        <f>IFERROR(VLOOKUP($E357,'BASE DE DATOS'!$A:$I,3,0),0)</f>
        <v>0</v>
      </c>
      <c r="H357" s="46">
        <f>IFERROR(VLOOKUP($E357,'BASE DE DATOS'!$A:$I,3,0),0)</f>
        <v>0</v>
      </c>
      <c r="I357" s="46">
        <f>IFERROR(VLOOKUP($E357,'BASE DE DATOS'!$A:$I,3,0),0)</f>
        <v>0</v>
      </c>
      <c r="J357" s="46">
        <f>IFERROR(VLOOKUP($E357,'BASE DE DATOS'!$A:$I,3,0),0)</f>
        <v>0</v>
      </c>
      <c r="K357" s="46">
        <f>IFERROR(VLOOKUP($E616,'BASE DE DATOS'!$A:$I,3,0),0)</f>
        <v>0</v>
      </c>
      <c r="L357" s="46">
        <f>IFERROR(VLOOKUP($E357,'BASE DE DATOS'!$A:$I,3,0),0)</f>
        <v>0</v>
      </c>
      <c r="M357" s="70"/>
      <c r="N357" s="1"/>
    </row>
    <row r="358" spans="4:14" x14ac:dyDescent="0.25">
      <c r="D358" s="46" t="str">
        <f>IFERROR(VLOOKUP($E358,'BASE DE DATOS'!$A:$I,2,0)," ")</f>
        <v xml:space="preserve"> </v>
      </c>
      <c r="F358" s="46">
        <f>IFERROR(VLOOKUP($E371,'BASE DE DATOS'!$A:$I,3,0),0)</f>
        <v>0</v>
      </c>
      <c r="G358" s="46">
        <f>IFERROR(VLOOKUP($E358,'BASE DE DATOS'!$A:$I,3,0),0)</f>
        <v>0</v>
      </c>
      <c r="H358" s="46">
        <f>IFERROR(VLOOKUP($E358,'BASE DE DATOS'!$A:$I,3,0),0)</f>
        <v>0</v>
      </c>
      <c r="I358" s="46">
        <f>IFERROR(VLOOKUP($E358,'BASE DE DATOS'!$A:$I,3,0),0)</f>
        <v>0</v>
      </c>
      <c r="J358" s="46">
        <f>IFERROR(VLOOKUP($E358,'BASE DE DATOS'!$A:$I,3,0),0)</f>
        <v>0</v>
      </c>
      <c r="K358" s="46">
        <f>IFERROR(VLOOKUP($E617,'BASE DE DATOS'!$A:$I,3,0),0)</f>
        <v>0</v>
      </c>
      <c r="L358" s="46">
        <f>IFERROR(VLOOKUP($E358,'BASE DE DATOS'!$A:$I,3,0),0)</f>
        <v>0</v>
      </c>
      <c r="M358" s="70"/>
      <c r="N358" s="1"/>
    </row>
    <row r="359" spans="4:14" x14ac:dyDescent="0.25">
      <c r="D359" s="46" t="str">
        <f>IFERROR(VLOOKUP($E359,'BASE DE DATOS'!$A:$I,2,0)," ")</f>
        <v xml:space="preserve"> </v>
      </c>
      <c r="F359" s="46">
        <f>IFERROR(VLOOKUP($E372,'BASE DE DATOS'!$A:$I,3,0),0)</f>
        <v>0</v>
      </c>
      <c r="G359" s="46">
        <f>IFERROR(VLOOKUP($E359,'BASE DE DATOS'!$A:$I,3,0),0)</f>
        <v>0</v>
      </c>
      <c r="H359" s="46">
        <f>IFERROR(VLOOKUP($E359,'BASE DE DATOS'!$A:$I,3,0),0)</f>
        <v>0</v>
      </c>
      <c r="I359" s="46">
        <f>IFERROR(VLOOKUP($E359,'BASE DE DATOS'!$A:$I,3,0),0)</f>
        <v>0</v>
      </c>
      <c r="J359" s="46">
        <f>IFERROR(VLOOKUP($E359,'BASE DE DATOS'!$A:$I,3,0),0)</f>
        <v>0</v>
      </c>
      <c r="K359" s="46">
        <f>IFERROR(VLOOKUP($E618,'BASE DE DATOS'!$A:$I,3,0),0)</f>
        <v>0</v>
      </c>
      <c r="L359" s="46">
        <f>IFERROR(VLOOKUP($E359,'BASE DE DATOS'!$A:$I,3,0),0)</f>
        <v>0</v>
      </c>
      <c r="M359" s="70"/>
      <c r="N359" s="1"/>
    </row>
    <row r="360" spans="4:14" x14ac:dyDescent="0.25">
      <c r="D360" s="46" t="str">
        <f>IFERROR(VLOOKUP($E360,'BASE DE DATOS'!$A:$I,2,0)," ")</f>
        <v xml:space="preserve"> </v>
      </c>
      <c r="F360" s="46">
        <f>IFERROR(VLOOKUP($E373,'BASE DE DATOS'!$A:$I,3,0),0)</f>
        <v>0</v>
      </c>
      <c r="G360" s="46">
        <f>IFERROR(VLOOKUP($E360,'BASE DE DATOS'!$A:$I,3,0),0)</f>
        <v>0</v>
      </c>
      <c r="H360" s="46">
        <f>IFERROR(VLOOKUP($E360,'BASE DE DATOS'!$A:$I,3,0),0)</f>
        <v>0</v>
      </c>
      <c r="I360" s="46">
        <f>IFERROR(VLOOKUP($E360,'BASE DE DATOS'!$A:$I,3,0),0)</f>
        <v>0</v>
      </c>
      <c r="J360" s="46">
        <f>IFERROR(VLOOKUP($E360,'BASE DE DATOS'!$A:$I,3,0),0)</f>
        <v>0</v>
      </c>
      <c r="K360" s="46">
        <f>IFERROR(VLOOKUP($E619,'BASE DE DATOS'!$A:$I,3,0),0)</f>
        <v>0</v>
      </c>
      <c r="L360" s="46">
        <f>IFERROR(VLOOKUP($E360,'BASE DE DATOS'!$A:$I,3,0),0)</f>
        <v>0</v>
      </c>
      <c r="M360" s="70"/>
      <c r="N360" s="1"/>
    </row>
    <row r="361" spans="4:14" x14ac:dyDescent="0.25">
      <c r="D361" s="46" t="str">
        <f>IFERROR(VLOOKUP($E361,'BASE DE DATOS'!$A:$I,2,0)," ")</f>
        <v xml:space="preserve"> </v>
      </c>
      <c r="F361" s="46">
        <f>IFERROR(VLOOKUP($E374,'BASE DE DATOS'!$A:$I,3,0),0)</f>
        <v>0</v>
      </c>
      <c r="G361" s="46">
        <f>IFERROR(VLOOKUP($E361,'BASE DE DATOS'!$A:$I,3,0),0)</f>
        <v>0</v>
      </c>
      <c r="H361" s="46">
        <f>IFERROR(VLOOKUP($E361,'BASE DE DATOS'!$A:$I,3,0),0)</f>
        <v>0</v>
      </c>
      <c r="I361" s="46">
        <f>IFERROR(VLOOKUP($E361,'BASE DE DATOS'!$A:$I,3,0),0)</f>
        <v>0</v>
      </c>
      <c r="J361" s="46">
        <f>IFERROR(VLOOKUP($E361,'BASE DE DATOS'!$A:$I,3,0),0)</f>
        <v>0</v>
      </c>
      <c r="K361" s="46">
        <f>IFERROR(VLOOKUP($E620,'BASE DE DATOS'!$A:$I,3,0),0)</f>
        <v>0</v>
      </c>
      <c r="L361" s="46">
        <f>IFERROR(VLOOKUP($E361,'BASE DE DATOS'!$A:$I,3,0),0)</f>
        <v>0</v>
      </c>
      <c r="M361" s="70"/>
      <c r="N361" s="1"/>
    </row>
    <row r="362" spans="4:14" x14ac:dyDescent="0.25">
      <c r="D362" s="46" t="str">
        <f>IFERROR(VLOOKUP($E362,'BASE DE DATOS'!$A:$I,2,0)," ")</f>
        <v xml:space="preserve"> </v>
      </c>
      <c r="F362" s="46">
        <f>IFERROR(VLOOKUP($E375,'BASE DE DATOS'!$A:$I,3,0),0)</f>
        <v>0</v>
      </c>
      <c r="G362" s="46">
        <f>IFERROR(VLOOKUP($E362,'BASE DE DATOS'!$A:$I,3,0),0)</f>
        <v>0</v>
      </c>
      <c r="H362" s="46">
        <f>IFERROR(VLOOKUP($E362,'BASE DE DATOS'!$A:$I,3,0),0)</f>
        <v>0</v>
      </c>
      <c r="I362" s="46">
        <f>IFERROR(VLOOKUP($E362,'BASE DE DATOS'!$A:$I,3,0),0)</f>
        <v>0</v>
      </c>
      <c r="J362" s="46">
        <f>IFERROR(VLOOKUP($E362,'BASE DE DATOS'!$A:$I,3,0),0)</f>
        <v>0</v>
      </c>
      <c r="K362" s="46">
        <f>IFERROR(VLOOKUP($E621,'BASE DE DATOS'!$A:$I,3,0),0)</f>
        <v>0</v>
      </c>
      <c r="L362" s="46">
        <f>IFERROR(VLOOKUP($E362,'BASE DE DATOS'!$A:$I,3,0),0)</f>
        <v>0</v>
      </c>
      <c r="M362" s="70"/>
      <c r="N362" s="1"/>
    </row>
    <row r="363" spans="4:14" x14ac:dyDescent="0.25">
      <c r="D363" s="46" t="str">
        <f>IFERROR(VLOOKUP($E363,'BASE DE DATOS'!$A:$I,2,0)," ")</f>
        <v xml:space="preserve"> </v>
      </c>
      <c r="F363" s="46">
        <f>IFERROR(VLOOKUP($E376,'BASE DE DATOS'!$A:$I,3,0),0)</f>
        <v>0</v>
      </c>
      <c r="G363" s="46">
        <f>IFERROR(VLOOKUP($E363,'BASE DE DATOS'!$A:$I,3,0),0)</f>
        <v>0</v>
      </c>
      <c r="H363" s="46">
        <f>IFERROR(VLOOKUP($E363,'BASE DE DATOS'!$A:$I,3,0),0)</f>
        <v>0</v>
      </c>
      <c r="I363" s="46">
        <f>IFERROR(VLOOKUP($E363,'BASE DE DATOS'!$A:$I,3,0),0)</f>
        <v>0</v>
      </c>
      <c r="J363" s="46">
        <f>IFERROR(VLOOKUP($E363,'BASE DE DATOS'!$A:$I,3,0),0)</f>
        <v>0</v>
      </c>
      <c r="K363" s="46">
        <f>IFERROR(VLOOKUP($E622,'BASE DE DATOS'!$A:$I,3,0),0)</f>
        <v>0</v>
      </c>
      <c r="L363" s="46">
        <f>IFERROR(VLOOKUP($E363,'BASE DE DATOS'!$A:$I,3,0),0)</f>
        <v>0</v>
      </c>
      <c r="M363" s="70"/>
      <c r="N363" s="1"/>
    </row>
    <row r="364" spans="4:14" x14ac:dyDescent="0.25">
      <c r="D364" s="46" t="str">
        <f>IFERROR(VLOOKUP($E364,'BASE DE DATOS'!$A:$I,2,0)," ")</f>
        <v xml:space="preserve"> </v>
      </c>
      <c r="F364" s="46">
        <f>IFERROR(VLOOKUP($E377,'BASE DE DATOS'!$A:$I,3,0),0)</f>
        <v>0</v>
      </c>
      <c r="G364" s="46">
        <f>IFERROR(VLOOKUP($E364,'BASE DE DATOS'!$A:$I,3,0),0)</f>
        <v>0</v>
      </c>
      <c r="H364" s="46">
        <f>IFERROR(VLOOKUP($E364,'BASE DE DATOS'!$A:$I,3,0),0)</f>
        <v>0</v>
      </c>
      <c r="I364" s="46">
        <f>IFERROR(VLOOKUP($E364,'BASE DE DATOS'!$A:$I,3,0),0)</f>
        <v>0</v>
      </c>
      <c r="J364" s="46">
        <f>IFERROR(VLOOKUP($E364,'BASE DE DATOS'!$A:$I,3,0),0)</f>
        <v>0</v>
      </c>
      <c r="K364" s="46">
        <f>IFERROR(VLOOKUP($E623,'BASE DE DATOS'!$A:$I,3,0),0)</f>
        <v>0</v>
      </c>
      <c r="L364" s="46">
        <f>IFERROR(VLOOKUP($E364,'BASE DE DATOS'!$A:$I,3,0),0)</f>
        <v>0</v>
      </c>
      <c r="M364" s="70"/>
      <c r="N364" s="1"/>
    </row>
    <row r="365" spans="4:14" x14ac:dyDescent="0.25">
      <c r="D365" s="46" t="str">
        <f>IFERROR(VLOOKUP($E365,'BASE DE DATOS'!$A:$I,2,0)," ")</f>
        <v xml:space="preserve"> </v>
      </c>
      <c r="F365" s="46">
        <f>IFERROR(VLOOKUP($E378,'BASE DE DATOS'!$A:$I,3,0),0)</f>
        <v>0</v>
      </c>
      <c r="G365" s="46">
        <f>IFERROR(VLOOKUP($E365,'BASE DE DATOS'!$A:$I,3,0),0)</f>
        <v>0</v>
      </c>
      <c r="H365" s="46">
        <f>IFERROR(VLOOKUP($E365,'BASE DE DATOS'!$A:$I,3,0),0)</f>
        <v>0</v>
      </c>
      <c r="I365" s="46">
        <f>IFERROR(VLOOKUP($E365,'BASE DE DATOS'!$A:$I,3,0),0)</f>
        <v>0</v>
      </c>
      <c r="J365" s="46">
        <f>IFERROR(VLOOKUP($E365,'BASE DE DATOS'!$A:$I,3,0),0)</f>
        <v>0</v>
      </c>
      <c r="K365" s="46">
        <f>IFERROR(VLOOKUP($E624,'BASE DE DATOS'!$A:$I,3,0),0)</f>
        <v>0</v>
      </c>
      <c r="L365" s="46">
        <f>IFERROR(VLOOKUP($E365,'BASE DE DATOS'!$A:$I,3,0),0)</f>
        <v>0</v>
      </c>
      <c r="M365" s="70"/>
      <c r="N365" s="46">
        <f>IFERROR(VLOOKUP(#REF!,'BASE DE DATOS'!$A:$I,3,0),0)</f>
        <v>0</v>
      </c>
    </row>
    <row r="366" spans="4:14" x14ac:dyDescent="0.25">
      <c r="D366" s="46" t="str">
        <f>IFERROR(VLOOKUP($E366,'BASE DE DATOS'!$A:$I,2,0)," ")</f>
        <v xml:space="preserve"> </v>
      </c>
      <c r="F366" s="46">
        <f>IFERROR(VLOOKUP($E379,'BASE DE DATOS'!$A:$I,3,0),0)</f>
        <v>0</v>
      </c>
      <c r="G366" s="46">
        <f>IFERROR(VLOOKUP($E366,'BASE DE DATOS'!$A:$I,3,0),0)</f>
        <v>0</v>
      </c>
      <c r="H366" s="46">
        <f>IFERROR(VLOOKUP($E366,'BASE DE DATOS'!$A:$I,3,0),0)</f>
        <v>0</v>
      </c>
      <c r="I366" s="46">
        <f>IFERROR(VLOOKUP($E366,'BASE DE DATOS'!$A:$I,3,0),0)</f>
        <v>0</v>
      </c>
      <c r="J366" s="46">
        <f>IFERROR(VLOOKUP($E366,'BASE DE DATOS'!$A:$I,3,0),0)</f>
        <v>0</v>
      </c>
      <c r="K366" s="46">
        <f>IFERROR(VLOOKUP($E625,'BASE DE DATOS'!$A:$I,3,0),0)</f>
        <v>0</v>
      </c>
      <c r="L366" s="46">
        <f>IFERROR(VLOOKUP($E366,'BASE DE DATOS'!$A:$I,3,0),0)</f>
        <v>0</v>
      </c>
      <c r="M366" s="70"/>
      <c r="N366" s="46">
        <f>IFERROR(VLOOKUP(#REF!,'BASE DE DATOS'!$A:$I,3,0),0)</f>
        <v>0</v>
      </c>
    </row>
    <row r="367" spans="4:14" x14ac:dyDescent="0.25">
      <c r="D367" s="46" t="str">
        <f>IFERROR(VLOOKUP($E367,'BASE DE DATOS'!$A:$I,2,0)," ")</f>
        <v xml:space="preserve"> </v>
      </c>
      <c r="F367" s="46">
        <f>IFERROR(VLOOKUP($E380,'BASE DE DATOS'!$A:$I,3,0),0)</f>
        <v>0</v>
      </c>
      <c r="G367" s="46">
        <f>IFERROR(VLOOKUP($E367,'BASE DE DATOS'!$A:$I,3,0),0)</f>
        <v>0</v>
      </c>
      <c r="H367" s="46">
        <f>IFERROR(VLOOKUP($E367,'BASE DE DATOS'!$A:$I,3,0),0)</f>
        <v>0</v>
      </c>
      <c r="I367" s="46">
        <f>IFERROR(VLOOKUP($E367,'BASE DE DATOS'!$A:$I,3,0),0)</f>
        <v>0</v>
      </c>
      <c r="J367" s="46">
        <f>IFERROR(VLOOKUP($E367,'BASE DE DATOS'!$A:$I,3,0),0)</f>
        <v>0</v>
      </c>
      <c r="K367" s="46">
        <f>IFERROR(VLOOKUP($E626,'BASE DE DATOS'!$A:$I,3,0),0)</f>
        <v>0</v>
      </c>
      <c r="L367" s="46">
        <f>IFERROR(VLOOKUP($E367,'BASE DE DATOS'!$A:$I,3,0),0)</f>
        <v>0</v>
      </c>
      <c r="M367" s="70"/>
      <c r="N367" s="46">
        <f>IFERROR(VLOOKUP(#REF!,'BASE DE DATOS'!$A:$I,3,0),0)</f>
        <v>0</v>
      </c>
    </row>
    <row r="368" spans="4:14" x14ac:dyDescent="0.25">
      <c r="D368" s="46" t="str">
        <f>IFERROR(VLOOKUP($E368,'BASE DE DATOS'!$A:$I,2,0)," ")</f>
        <v xml:space="preserve"> </v>
      </c>
      <c r="F368" s="46">
        <f>IFERROR(VLOOKUP($E381,'BASE DE DATOS'!$A:$I,3,0),0)</f>
        <v>0</v>
      </c>
      <c r="G368" s="46">
        <f>IFERROR(VLOOKUP($E368,'BASE DE DATOS'!$A:$I,3,0),0)</f>
        <v>0</v>
      </c>
      <c r="H368" s="46">
        <f>IFERROR(VLOOKUP($E368,'BASE DE DATOS'!$A:$I,3,0),0)</f>
        <v>0</v>
      </c>
      <c r="I368" s="46">
        <f>IFERROR(VLOOKUP($E368,'BASE DE DATOS'!$A:$I,3,0),0)</f>
        <v>0</v>
      </c>
      <c r="J368" s="46">
        <f>IFERROR(VLOOKUP($E368,'BASE DE DATOS'!$A:$I,3,0),0)</f>
        <v>0</v>
      </c>
      <c r="K368" s="46">
        <f>IFERROR(VLOOKUP($E627,'BASE DE DATOS'!$A:$I,3,0),0)</f>
        <v>0</v>
      </c>
      <c r="L368" s="46">
        <f>IFERROR(VLOOKUP($E368,'BASE DE DATOS'!$A:$I,3,0),0)</f>
        <v>0</v>
      </c>
      <c r="M368" s="70"/>
      <c r="N368" s="46">
        <f>IFERROR(VLOOKUP(#REF!,'BASE DE DATOS'!$A:$I,3,0),0)</f>
        <v>0</v>
      </c>
    </row>
    <row r="369" spans="4:15" x14ac:dyDescent="0.25">
      <c r="D369" s="46" t="str">
        <f>IFERROR(VLOOKUP($E369,'BASE DE DATOS'!$A:$I,2,0)," ")</f>
        <v xml:space="preserve"> </v>
      </c>
      <c r="F369" s="46">
        <f>IFERROR(VLOOKUP($E382,'BASE DE DATOS'!$A:$I,3,0),0)</f>
        <v>0</v>
      </c>
      <c r="G369" s="46">
        <f>IFERROR(VLOOKUP($E369,'BASE DE DATOS'!$A:$I,3,0),0)</f>
        <v>0</v>
      </c>
      <c r="H369" s="46">
        <f>IFERROR(VLOOKUP($E369,'BASE DE DATOS'!$A:$I,3,0),0)</f>
        <v>0</v>
      </c>
      <c r="I369" s="46">
        <f>IFERROR(VLOOKUP($E369,'BASE DE DATOS'!$A:$I,3,0),0)</f>
        <v>0</v>
      </c>
      <c r="J369" s="46">
        <f>IFERROR(VLOOKUP($E369,'BASE DE DATOS'!$A:$I,3,0),0)</f>
        <v>0</v>
      </c>
      <c r="K369" s="46">
        <f>IFERROR(VLOOKUP($E628,'BASE DE DATOS'!$A:$I,3,0),0)</f>
        <v>0</v>
      </c>
      <c r="L369" s="46">
        <f>IFERROR(VLOOKUP($E369,'BASE DE DATOS'!$A:$I,3,0),0)</f>
        <v>0</v>
      </c>
      <c r="M369" s="70"/>
      <c r="N369" s="46">
        <f>IFERROR(VLOOKUP(#REF!,'BASE DE DATOS'!$A:$I,3,0),0)</f>
        <v>0</v>
      </c>
    </row>
    <row r="370" spans="4:15" x14ac:dyDescent="0.25">
      <c r="D370" s="46" t="str">
        <f>IFERROR(VLOOKUP($E370,'BASE DE DATOS'!$A:$I,2,0)," ")</f>
        <v xml:space="preserve"> </v>
      </c>
      <c r="F370" s="46">
        <f>IFERROR(VLOOKUP($E383,'BASE DE DATOS'!$A:$I,3,0),0)</f>
        <v>0</v>
      </c>
      <c r="G370" s="46">
        <f>IFERROR(VLOOKUP($E370,'BASE DE DATOS'!$A:$I,3,0),0)</f>
        <v>0</v>
      </c>
      <c r="H370" s="46">
        <f>IFERROR(VLOOKUP($E370,'BASE DE DATOS'!$A:$I,3,0),0)</f>
        <v>0</v>
      </c>
      <c r="I370" s="46">
        <f>IFERROR(VLOOKUP($E370,'BASE DE DATOS'!$A:$I,3,0),0)</f>
        <v>0</v>
      </c>
      <c r="J370" s="46">
        <f>IFERROR(VLOOKUP($E370,'BASE DE DATOS'!$A:$I,3,0),0)</f>
        <v>0</v>
      </c>
      <c r="K370" s="46">
        <f>IFERROR(VLOOKUP($E629,'BASE DE DATOS'!$A:$I,3,0),0)</f>
        <v>0</v>
      </c>
      <c r="L370" s="46">
        <f>IFERROR(VLOOKUP($E370,'BASE DE DATOS'!$A:$I,3,0),0)</f>
        <v>0</v>
      </c>
      <c r="M370" s="70"/>
      <c r="N370" s="46">
        <f>IFERROR(VLOOKUP(#REF!,'BASE DE DATOS'!$A:$I,3,0),0)</f>
        <v>0</v>
      </c>
    </row>
    <row r="371" spans="4:15" x14ac:dyDescent="0.25">
      <c r="D371" s="46" t="str">
        <f>IFERROR(VLOOKUP($E371,'BASE DE DATOS'!$A:$I,2,0)," ")</f>
        <v xml:space="preserve"> </v>
      </c>
      <c r="F371" s="46">
        <f>IFERROR(VLOOKUP($E384,'BASE DE DATOS'!$A:$I,3,0),0)</f>
        <v>0</v>
      </c>
      <c r="G371" s="46">
        <f>IFERROR(VLOOKUP($E371,'BASE DE DATOS'!$A:$I,3,0),0)</f>
        <v>0</v>
      </c>
      <c r="H371" s="46">
        <f>IFERROR(VLOOKUP($E371,'BASE DE DATOS'!$A:$I,3,0),0)</f>
        <v>0</v>
      </c>
      <c r="I371" s="46">
        <f>IFERROR(VLOOKUP($E371,'BASE DE DATOS'!$A:$I,3,0),0)</f>
        <v>0</v>
      </c>
      <c r="J371" s="46">
        <f>IFERROR(VLOOKUP($E371,'BASE DE DATOS'!$A:$I,3,0),0)</f>
        <v>0</v>
      </c>
      <c r="K371" s="46">
        <f>IFERROR(VLOOKUP($E630,'BASE DE DATOS'!$A:$I,3,0),0)</f>
        <v>0</v>
      </c>
      <c r="L371" s="46">
        <f>IFERROR(VLOOKUP($E371,'BASE DE DATOS'!$A:$I,3,0),0)</f>
        <v>0</v>
      </c>
      <c r="M371" s="70"/>
      <c r="N371" s="46">
        <f>IFERROR(VLOOKUP(#REF!,'BASE DE DATOS'!$A:$I,3,0),0)</f>
        <v>0</v>
      </c>
    </row>
    <row r="372" spans="4:15" x14ac:dyDescent="0.25">
      <c r="D372" s="46" t="str">
        <f>IFERROR(VLOOKUP($E372,'BASE DE DATOS'!$A:$I,2,0)," ")</f>
        <v xml:space="preserve"> </v>
      </c>
      <c r="F372" s="46">
        <f>IFERROR(VLOOKUP($E385,'BASE DE DATOS'!$A:$I,3,0),0)</f>
        <v>0</v>
      </c>
      <c r="G372" s="46">
        <f>IFERROR(VLOOKUP($E372,'BASE DE DATOS'!$A:$I,3,0),0)</f>
        <v>0</v>
      </c>
      <c r="H372" s="46">
        <f>IFERROR(VLOOKUP($E372,'BASE DE DATOS'!$A:$I,3,0),0)</f>
        <v>0</v>
      </c>
      <c r="I372" s="46">
        <f>IFERROR(VLOOKUP($E372,'BASE DE DATOS'!$A:$I,3,0),0)</f>
        <v>0</v>
      </c>
      <c r="J372" s="46">
        <f>IFERROR(VLOOKUP($E372,'BASE DE DATOS'!$A:$I,3,0),0)</f>
        <v>0</v>
      </c>
      <c r="K372" s="46">
        <f>IFERROR(VLOOKUP($E631,'BASE DE DATOS'!$A:$I,3,0),0)</f>
        <v>0</v>
      </c>
      <c r="L372" s="46">
        <f>IFERROR(VLOOKUP($E372,'BASE DE DATOS'!$A:$I,3,0),0)</f>
        <v>0</v>
      </c>
      <c r="M372" s="70"/>
      <c r="N372" s="46">
        <f>IFERROR(VLOOKUP(#REF!,'BASE DE DATOS'!$A:$I,3,0),0)</f>
        <v>0</v>
      </c>
    </row>
    <row r="373" spans="4:15" x14ac:dyDescent="0.25">
      <c r="D373" s="46" t="str">
        <f>IFERROR(VLOOKUP($E373,'BASE DE DATOS'!$A:$I,2,0)," ")</f>
        <v xml:space="preserve"> </v>
      </c>
      <c r="F373" s="46">
        <f>IFERROR(VLOOKUP($E386,'BASE DE DATOS'!$A:$I,3,0),0)</f>
        <v>0</v>
      </c>
      <c r="G373" s="46">
        <f>IFERROR(VLOOKUP($E373,'BASE DE DATOS'!$A:$I,3,0),0)</f>
        <v>0</v>
      </c>
      <c r="H373" s="46">
        <f>IFERROR(VLOOKUP($E373,'BASE DE DATOS'!$A:$I,3,0),0)</f>
        <v>0</v>
      </c>
      <c r="I373" s="46">
        <f>IFERROR(VLOOKUP($E373,'BASE DE DATOS'!$A:$I,3,0),0)</f>
        <v>0</v>
      </c>
      <c r="J373" s="46">
        <f>IFERROR(VLOOKUP($E373,'BASE DE DATOS'!$A:$I,3,0),0)</f>
        <v>0</v>
      </c>
      <c r="K373" s="46">
        <f>IFERROR(VLOOKUP($E632,'BASE DE DATOS'!$A:$I,3,0),0)</f>
        <v>0</v>
      </c>
      <c r="L373" s="46">
        <f>IFERROR(VLOOKUP($E373,'BASE DE DATOS'!$A:$I,3,0),0)</f>
        <v>0</v>
      </c>
      <c r="M373" s="70"/>
      <c r="N373" s="46">
        <f>IFERROR(VLOOKUP(#REF!,'BASE DE DATOS'!$A:$I,3,0),0)</f>
        <v>0</v>
      </c>
    </row>
    <row r="374" spans="4:15" x14ac:dyDescent="0.25">
      <c r="D374" s="46" t="str">
        <f>IFERROR(VLOOKUP($E374,'BASE DE DATOS'!$A:$I,2,0)," ")</f>
        <v xml:space="preserve"> </v>
      </c>
      <c r="F374" s="46">
        <f>IFERROR(VLOOKUP($E387,'BASE DE DATOS'!$A:$I,3,0),0)</f>
        <v>0</v>
      </c>
      <c r="G374" s="46">
        <f>IFERROR(VLOOKUP($E374,'BASE DE DATOS'!$A:$I,3,0),0)</f>
        <v>0</v>
      </c>
      <c r="H374" s="46">
        <f>IFERROR(VLOOKUP($E374,'BASE DE DATOS'!$A:$I,3,0),0)</f>
        <v>0</v>
      </c>
      <c r="I374" s="46">
        <f>IFERROR(VLOOKUP($E374,'BASE DE DATOS'!$A:$I,3,0),0)</f>
        <v>0</v>
      </c>
      <c r="J374" s="46">
        <f>IFERROR(VLOOKUP($E374,'BASE DE DATOS'!$A:$I,3,0),0)</f>
        <v>0</v>
      </c>
      <c r="K374" s="46">
        <f>IFERROR(VLOOKUP($E633,'BASE DE DATOS'!$A:$I,3,0),0)</f>
        <v>0</v>
      </c>
      <c r="L374" s="46">
        <f>IFERROR(VLOOKUP($E374,'BASE DE DATOS'!$A:$I,3,0),0)</f>
        <v>0</v>
      </c>
      <c r="M374" s="70"/>
      <c r="N374" s="46">
        <f>IFERROR(VLOOKUP(#REF!,'BASE DE DATOS'!$A:$I,3,0),0)</f>
        <v>0</v>
      </c>
    </row>
    <row r="375" spans="4:15" x14ac:dyDescent="0.25">
      <c r="D375" s="46" t="str">
        <f>IFERROR(VLOOKUP($E375,'BASE DE DATOS'!$A:$I,2,0)," ")</f>
        <v xml:space="preserve"> </v>
      </c>
      <c r="F375" s="46">
        <f>IFERROR(VLOOKUP($E388,'BASE DE DATOS'!$A:$I,3,0),0)</f>
        <v>0</v>
      </c>
      <c r="G375" s="46">
        <f>IFERROR(VLOOKUP($E375,'BASE DE DATOS'!$A:$I,3,0),0)</f>
        <v>0</v>
      </c>
      <c r="H375" s="46">
        <f>IFERROR(VLOOKUP($E375,'BASE DE DATOS'!$A:$I,3,0),0)</f>
        <v>0</v>
      </c>
      <c r="I375" s="46">
        <f>IFERROR(VLOOKUP($E375,'BASE DE DATOS'!$A:$I,3,0),0)</f>
        <v>0</v>
      </c>
      <c r="J375" s="46">
        <f>IFERROR(VLOOKUP($E375,'BASE DE DATOS'!$A:$I,3,0),0)</f>
        <v>0</v>
      </c>
      <c r="K375" s="46">
        <f>IFERROR(VLOOKUP($E634,'BASE DE DATOS'!$A:$I,3,0),0)</f>
        <v>0</v>
      </c>
      <c r="L375" s="46">
        <f>IFERROR(VLOOKUP($E375,'BASE DE DATOS'!$A:$I,3,0),0)</f>
        <v>0</v>
      </c>
      <c r="M375" s="70"/>
      <c r="N375" s="46">
        <f>IFERROR(VLOOKUP(#REF!,'BASE DE DATOS'!$A:$I,3,0),0)</f>
        <v>0</v>
      </c>
    </row>
    <row r="376" spans="4:15" x14ac:dyDescent="0.25">
      <c r="D376" s="46" t="str">
        <f>IFERROR(VLOOKUP($E376,'BASE DE DATOS'!$A:$I,2,0)," ")</f>
        <v xml:space="preserve"> </v>
      </c>
      <c r="F376" s="46">
        <f>IFERROR(VLOOKUP($E389,'BASE DE DATOS'!$A:$I,3,0),0)</f>
        <v>0</v>
      </c>
      <c r="G376" s="46">
        <f>IFERROR(VLOOKUP($E376,'BASE DE DATOS'!$A:$I,3,0),0)</f>
        <v>0</v>
      </c>
      <c r="H376" s="46">
        <f>IFERROR(VLOOKUP($E376,'BASE DE DATOS'!$A:$I,3,0),0)</f>
        <v>0</v>
      </c>
      <c r="I376" s="46">
        <f>IFERROR(VLOOKUP($E376,'BASE DE DATOS'!$A:$I,3,0),0)</f>
        <v>0</v>
      </c>
      <c r="J376" s="46">
        <f>IFERROR(VLOOKUP($E376,'BASE DE DATOS'!$A:$I,3,0),0)</f>
        <v>0</v>
      </c>
      <c r="K376" s="46">
        <f>IFERROR(VLOOKUP($E635,'BASE DE DATOS'!$A:$I,3,0),0)</f>
        <v>0</v>
      </c>
      <c r="L376" s="46">
        <f>IFERROR(VLOOKUP($E376,'BASE DE DATOS'!$A:$I,3,0),0)</f>
        <v>0</v>
      </c>
      <c r="M376" s="70"/>
      <c r="N376" s="46">
        <f>IFERROR(VLOOKUP(#REF!,'BASE DE DATOS'!$A:$I,3,0),0)</f>
        <v>0</v>
      </c>
    </row>
    <row r="377" spans="4:15" x14ac:dyDescent="0.25">
      <c r="D377" s="46" t="str">
        <f>IFERROR(VLOOKUP($E377,'BASE DE DATOS'!$A:$I,2,0)," ")</f>
        <v xml:space="preserve"> </v>
      </c>
      <c r="F377" s="46">
        <f>IFERROR(VLOOKUP($E390,'BASE DE DATOS'!$A:$I,3,0),0)</f>
        <v>0</v>
      </c>
      <c r="G377" s="46">
        <f>IFERROR(VLOOKUP($E377,'BASE DE DATOS'!$A:$I,3,0),0)</f>
        <v>0</v>
      </c>
      <c r="H377" s="46">
        <f>IFERROR(VLOOKUP($E377,'BASE DE DATOS'!$A:$I,3,0),0)</f>
        <v>0</v>
      </c>
      <c r="I377" s="46">
        <f>IFERROR(VLOOKUP($E377,'BASE DE DATOS'!$A:$I,3,0),0)</f>
        <v>0</v>
      </c>
      <c r="J377" s="46">
        <f>IFERROR(VLOOKUP($E377,'BASE DE DATOS'!$A:$I,3,0),0)</f>
        <v>0</v>
      </c>
      <c r="K377" s="46">
        <f>IFERROR(VLOOKUP($E636,'BASE DE DATOS'!$A:$I,3,0),0)</f>
        <v>0</v>
      </c>
      <c r="L377" s="46">
        <f>IFERROR(VLOOKUP($E377,'BASE DE DATOS'!$A:$I,3,0),0)</f>
        <v>0</v>
      </c>
      <c r="M377" s="70"/>
      <c r="N377" s="46">
        <f>IFERROR(VLOOKUP(#REF!,'BASE DE DATOS'!$A:$I,3,0),0)</f>
        <v>0</v>
      </c>
    </row>
    <row r="378" spans="4:15" x14ac:dyDescent="0.25">
      <c r="D378" s="46" t="str">
        <f>IFERROR(VLOOKUP($E378,'BASE DE DATOS'!$A:$I,2,0)," ")</f>
        <v xml:space="preserve"> </v>
      </c>
      <c r="F378" s="46">
        <f>IFERROR(VLOOKUP($E391,'BASE DE DATOS'!$A:$I,3,0),0)</f>
        <v>0</v>
      </c>
      <c r="G378" s="46">
        <f>IFERROR(VLOOKUP($E378,'BASE DE DATOS'!$A:$I,3,0),0)</f>
        <v>0</v>
      </c>
      <c r="H378" s="46">
        <f>IFERROR(VLOOKUP($E378,'BASE DE DATOS'!$A:$I,3,0),0)</f>
        <v>0</v>
      </c>
      <c r="I378" s="46">
        <f>IFERROR(VLOOKUP($E378,'BASE DE DATOS'!$A:$I,3,0),0)</f>
        <v>0</v>
      </c>
      <c r="J378" s="46">
        <f>IFERROR(VLOOKUP($E378,'BASE DE DATOS'!$A:$I,3,0),0)</f>
        <v>0</v>
      </c>
      <c r="K378" s="46">
        <f>IFERROR(VLOOKUP($E637,'BASE DE DATOS'!$A:$I,3,0),0)</f>
        <v>0</v>
      </c>
      <c r="L378" s="46">
        <f>IFERROR(VLOOKUP($E378,'BASE DE DATOS'!$A:$I,3,0),0)</f>
        <v>0</v>
      </c>
      <c r="M378" s="70"/>
      <c r="N378" s="46">
        <f>IFERROR(VLOOKUP(#REF!,'BASE DE DATOS'!$A:$I,3,0),0)</f>
        <v>0</v>
      </c>
    </row>
    <row r="379" spans="4:15" x14ac:dyDescent="0.25">
      <c r="D379" s="46" t="str">
        <f>IFERROR(VLOOKUP($E379,'BASE DE DATOS'!$A:$I,2,0)," ")</f>
        <v xml:space="preserve"> </v>
      </c>
      <c r="F379" s="46">
        <f>IFERROR(VLOOKUP($E392,'BASE DE DATOS'!$A:$I,3,0),0)</f>
        <v>0</v>
      </c>
      <c r="G379" s="46">
        <f>IFERROR(VLOOKUP($E379,'BASE DE DATOS'!$A:$I,3,0),0)</f>
        <v>0</v>
      </c>
      <c r="H379" s="46">
        <f>IFERROR(VLOOKUP($E379,'BASE DE DATOS'!$A:$I,3,0),0)</f>
        <v>0</v>
      </c>
      <c r="I379" s="46">
        <f>IFERROR(VLOOKUP($E379,'BASE DE DATOS'!$A:$I,3,0),0)</f>
        <v>0</v>
      </c>
      <c r="J379" s="46">
        <f>IFERROR(VLOOKUP($E379,'BASE DE DATOS'!$A:$I,3,0),0)</f>
        <v>0</v>
      </c>
      <c r="K379" s="46">
        <f>IFERROR(VLOOKUP($E638,'BASE DE DATOS'!$A:$I,3,0),0)</f>
        <v>0</v>
      </c>
      <c r="L379" s="46">
        <f>IFERROR(VLOOKUP($E379,'BASE DE DATOS'!$A:$I,3,0),0)</f>
        <v>0</v>
      </c>
      <c r="M379" s="70"/>
      <c r="N379" s="46">
        <f>IFERROR(VLOOKUP(#REF!,'BASE DE DATOS'!$A:$I,3,0),0)</f>
        <v>0</v>
      </c>
    </row>
    <row r="380" spans="4:15" x14ac:dyDescent="0.25">
      <c r="D380" s="46" t="str">
        <f>IFERROR(VLOOKUP($E380,'BASE DE DATOS'!$A:$I,2,0)," ")</f>
        <v xml:space="preserve"> </v>
      </c>
      <c r="F380" s="46">
        <f>IFERROR(VLOOKUP($E393,'BASE DE DATOS'!$A:$I,3,0),0)</f>
        <v>0</v>
      </c>
      <c r="G380" s="46">
        <f>IFERROR(VLOOKUP($E380,'BASE DE DATOS'!$A:$I,3,0),0)</f>
        <v>0</v>
      </c>
      <c r="H380" s="46">
        <f>IFERROR(VLOOKUP($E380,'BASE DE DATOS'!$A:$I,3,0),0)</f>
        <v>0</v>
      </c>
      <c r="I380" s="46">
        <f>IFERROR(VLOOKUP($E380,'BASE DE DATOS'!$A:$I,3,0),0)</f>
        <v>0</v>
      </c>
      <c r="J380" s="46">
        <f>IFERROR(VLOOKUP($E380,'BASE DE DATOS'!$A:$I,3,0),0)</f>
        <v>0</v>
      </c>
      <c r="K380" s="46">
        <f>IFERROR(VLOOKUP($E639,'BASE DE DATOS'!$A:$I,3,0),0)</f>
        <v>0</v>
      </c>
      <c r="L380" s="46">
        <f>IFERROR(VLOOKUP($E380,'BASE DE DATOS'!$A:$I,3,0),0)</f>
        <v>0</v>
      </c>
      <c r="N380" s="46">
        <f>IFERROR(VLOOKUP(#REF!,'BASE DE DATOS'!$A:$I,3,0),0)</f>
        <v>0</v>
      </c>
    </row>
    <row r="381" spans="4:15" x14ac:dyDescent="0.25">
      <c r="D381" s="46" t="str">
        <f>IFERROR(VLOOKUP($E381,'BASE DE DATOS'!$A:$I,2,0)," ")</f>
        <v xml:space="preserve"> </v>
      </c>
      <c r="F381" s="46">
        <f>IFERROR(VLOOKUP($E394,'BASE DE DATOS'!$A:$I,3,0),0)</f>
        <v>0</v>
      </c>
      <c r="G381" s="46">
        <f>IFERROR(VLOOKUP($E381,'BASE DE DATOS'!$A:$I,3,0),0)</f>
        <v>0</v>
      </c>
      <c r="H381" s="46">
        <f>IFERROR(VLOOKUP($E381,'BASE DE DATOS'!$A:$I,3,0),0)</f>
        <v>0</v>
      </c>
      <c r="I381" s="46">
        <f>IFERROR(VLOOKUP($E381,'BASE DE DATOS'!$A:$I,3,0),0)</f>
        <v>0</v>
      </c>
      <c r="J381" s="46">
        <f>IFERROR(VLOOKUP($E381,'BASE DE DATOS'!$A:$I,3,0),0)</f>
        <v>0</v>
      </c>
      <c r="K381" s="46">
        <f>IFERROR(VLOOKUP($E640,'BASE DE DATOS'!$A:$I,3,0),0)</f>
        <v>0</v>
      </c>
      <c r="L381" s="46">
        <f>IFERROR(VLOOKUP($E381,'BASE DE DATOS'!$A:$I,3,0),0)</f>
        <v>0</v>
      </c>
      <c r="N381" s="46">
        <f>IFERROR(VLOOKUP(#REF!,'BASE DE DATOS'!$A:$I,3,0),0)</f>
        <v>0</v>
      </c>
    </row>
    <row r="382" spans="4:15" x14ac:dyDescent="0.25">
      <c r="D382" s="46" t="str">
        <f>IFERROR(VLOOKUP($E382,'BASE DE DATOS'!$A:$I,2,0)," ")</f>
        <v xml:space="preserve"> </v>
      </c>
      <c r="F382" s="46">
        <f>IFERROR(VLOOKUP($E395,'BASE DE DATOS'!$A:$I,3,0),0)</f>
        <v>0</v>
      </c>
      <c r="G382" s="46">
        <f>IFERROR(VLOOKUP($E382,'BASE DE DATOS'!$A:$I,3,0),0)</f>
        <v>0</v>
      </c>
      <c r="H382" s="46">
        <f>IFERROR(VLOOKUP($E382,'BASE DE DATOS'!$A:$I,3,0),0)</f>
        <v>0</v>
      </c>
      <c r="I382" s="46">
        <f>IFERROR(VLOOKUP($E382,'BASE DE DATOS'!$A:$I,3,0),0)</f>
        <v>0</v>
      </c>
      <c r="J382" s="46">
        <f>IFERROR(VLOOKUP($E382,'BASE DE DATOS'!$A:$I,3,0),0)</f>
        <v>0</v>
      </c>
      <c r="K382" s="46">
        <f>IFERROR(VLOOKUP($E641,'BASE DE DATOS'!$A:$I,3,0),0)</f>
        <v>0</v>
      </c>
      <c r="L382" s="46">
        <f>IFERROR(VLOOKUP($E382,'BASE DE DATOS'!$A:$I,3,0),0)</f>
        <v>0</v>
      </c>
      <c r="N382" s="46">
        <f>IFERROR(VLOOKUP(#REF!,'BASE DE DATOS'!$A:$I,3,0),0)</f>
        <v>0</v>
      </c>
    </row>
    <row r="383" spans="4:15" x14ac:dyDescent="0.25">
      <c r="D383" s="46" t="str">
        <f>IFERROR(VLOOKUP($E383,'BASE DE DATOS'!$A:$I,2,0)," ")</f>
        <v xml:space="preserve"> </v>
      </c>
      <c r="F383" s="46">
        <f>IFERROR(VLOOKUP($E396,'BASE DE DATOS'!$A:$I,3,0),0)</f>
        <v>0</v>
      </c>
      <c r="G383" s="46">
        <f>IFERROR(VLOOKUP($E383,'BASE DE DATOS'!$A:$I,3,0),0)</f>
        <v>0</v>
      </c>
      <c r="H383" s="46">
        <f>IFERROR(VLOOKUP($E383,'BASE DE DATOS'!$A:$I,3,0),0)</f>
        <v>0</v>
      </c>
      <c r="I383" s="46">
        <f>IFERROR(VLOOKUP($E383,'BASE DE DATOS'!$A:$I,3,0),0)</f>
        <v>0</v>
      </c>
      <c r="J383" s="46">
        <f>IFERROR(VLOOKUP($E383,'BASE DE DATOS'!$A:$I,3,0),0)</f>
        <v>0</v>
      </c>
      <c r="K383" s="46">
        <f>IFERROR(VLOOKUP($E642,'BASE DE DATOS'!$A:$I,3,0),0)</f>
        <v>0</v>
      </c>
      <c r="L383" s="46">
        <f>IFERROR(VLOOKUP($E383,'BASE DE DATOS'!$A:$I,3,0),0)</f>
        <v>0</v>
      </c>
      <c r="N383" s="46">
        <f>IFERROR(VLOOKUP(#REF!,'BASE DE DATOS'!$A:$I,3,0),0)</f>
        <v>0</v>
      </c>
      <c r="O383" s="1"/>
    </row>
    <row r="384" spans="4:15" x14ac:dyDescent="0.25">
      <c r="D384" s="46" t="str">
        <f>IFERROR(VLOOKUP($E384,'BASE DE DATOS'!$A:$I,2,0)," ")</f>
        <v xml:space="preserve"> </v>
      </c>
      <c r="F384" s="46">
        <f>IFERROR(VLOOKUP($E397,'BASE DE DATOS'!$A:$I,3,0),0)</f>
        <v>0</v>
      </c>
      <c r="G384" s="46">
        <f>IFERROR(VLOOKUP($E384,'BASE DE DATOS'!$A:$I,3,0),0)</f>
        <v>0</v>
      </c>
      <c r="H384" s="46">
        <f>IFERROR(VLOOKUP($E384,'BASE DE DATOS'!$A:$I,3,0),0)</f>
        <v>0</v>
      </c>
      <c r="I384" s="46">
        <f>IFERROR(VLOOKUP($E384,'BASE DE DATOS'!$A:$I,3,0),0)</f>
        <v>0</v>
      </c>
      <c r="J384" s="46">
        <f>IFERROR(VLOOKUP($E384,'BASE DE DATOS'!$A:$I,3,0),0)</f>
        <v>0</v>
      </c>
      <c r="K384" s="46">
        <f>IFERROR(VLOOKUP($E643,'BASE DE DATOS'!$A:$I,3,0),0)</f>
        <v>0</v>
      </c>
      <c r="L384" s="46">
        <f>IFERROR(VLOOKUP($E384,'BASE DE DATOS'!$A:$I,3,0),0)</f>
        <v>0</v>
      </c>
      <c r="N384" s="46">
        <f>IFERROR(VLOOKUP(#REF!,'BASE DE DATOS'!$A:$I,3,0),0)</f>
        <v>0</v>
      </c>
      <c r="O384" s="1"/>
    </row>
    <row r="385" spans="4:15" x14ac:dyDescent="0.25">
      <c r="D385" s="46" t="str">
        <f>IFERROR(VLOOKUP($E385,'BASE DE DATOS'!$A:$I,2,0)," ")</f>
        <v xml:space="preserve"> </v>
      </c>
      <c r="F385" s="46">
        <f>IFERROR(VLOOKUP($E398,'BASE DE DATOS'!$A:$I,3,0),0)</f>
        <v>0</v>
      </c>
      <c r="G385" s="46">
        <f>IFERROR(VLOOKUP($E385,'BASE DE DATOS'!$A:$I,3,0),0)</f>
        <v>0</v>
      </c>
      <c r="H385" s="46">
        <f>IFERROR(VLOOKUP($E385,'BASE DE DATOS'!$A:$I,3,0),0)</f>
        <v>0</v>
      </c>
      <c r="I385" s="46">
        <f>IFERROR(VLOOKUP($E385,'BASE DE DATOS'!$A:$I,3,0),0)</f>
        <v>0</v>
      </c>
      <c r="J385" s="46">
        <f>IFERROR(VLOOKUP($E385,'BASE DE DATOS'!$A:$I,3,0),0)</f>
        <v>0</v>
      </c>
      <c r="K385" s="46">
        <f>IFERROR(VLOOKUP($E644,'BASE DE DATOS'!$A:$I,3,0),0)</f>
        <v>0</v>
      </c>
      <c r="L385" s="46">
        <f>IFERROR(VLOOKUP($E385,'BASE DE DATOS'!$A:$I,3,0),0)</f>
        <v>0</v>
      </c>
      <c r="N385" s="46">
        <f>IFERROR(VLOOKUP(#REF!,'BASE DE DATOS'!$A:$I,3,0),0)</f>
        <v>0</v>
      </c>
      <c r="O385" s="1"/>
    </row>
    <row r="386" spans="4:15" x14ac:dyDescent="0.25">
      <c r="D386" s="46" t="str">
        <f>IFERROR(VLOOKUP($E386,'BASE DE DATOS'!$A:$I,2,0)," ")</f>
        <v xml:space="preserve"> </v>
      </c>
      <c r="F386" s="46">
        <f>IFERROR(VLOOKUP($E399,'BASE DE DATOS'!$A:$I,3,0),0)</f>
        <v>0</v>
      </c>
      <c r="G386" s="46">
        <f>IFERROR(VLOOKUP($E386,'BASE DE DATOS'!$A:$I,3,0),0)</f>
        <v>0</v>
      </c>
      <c r="H386" s="46">
        <f>IFERROR(VLOOKUP($E386,'BASE DE DATOS'!$A:$I,3,0),0)</f>
        <v>0</v>
      </c>
      <c r="I386" s="46">
        <f>IFERROR(VLOOKUP($E386,'BASE DE DATOS'!$A:$I,3,0),0)</f>
        <v>0</v>
      </c>
      <c r="J386" s="46">
        <f>IFERROR(VLOOKUP($E386,'BASE DE DATOS'!$A:$I,3,0),0)</f>
        <v>0</v>
      </c>
      <c r="K386" s="46">
        <f>IFERROR(VLOOKUP($E645,'BASE DE DATOS'!$A:$I,3,0),0)</f>
        <v>0</v>
      </c>
      <c r="L386" s="46">
        <f>IFERROR(VLOOKUP($E386,'BASE DE DATOS'!$A:$I,3,0),0)</f>
        <v>0</v>
      </c>
      <c r="N386" s="46">
        <f>IFERROR(VLOOKUP(#REF!,'BASE DE DATOS'!$A:$I,3,0),0)</f>
        <v>0</v>
      </c>
      <c r="O386" s="1"/>
    </row>
    <row r="387" spans="4:15" x14ac:dyDescent="0.25">
      <c r="D387" s="46" t="str">
        <f>IFERROR(VLOOKUP($E387,'BASE DE DATOS'!$A:$I,2,0)," ")</f>
        <v xml:space="preserve"> </v>
      </c>
      <c r="F387" s="46">
        <f>IFERROR(VLOOKUP($E400,'BASE DE DATOS'!$A:$I,3,0),0)</f>
        <v>0</v>
      </c>
      <c r="G387" s="46">
        <f>IFERROR(VLOOKUP($E387,'BASE DE DATOS'!$A:$I,3,0),0)</f>
        <v>0</v>
      </c>
      <c r="H387" s="46">
        <f>IFERROR(VLOOKUP($E387,'BASE DE DATOS'!$A:$I,3,0),0)</f>
        <v>0</v>
      </c>
      <c r="I387" s="46">
        <f>IFERROR(VLOOKUP($E387,'BASE DE DATOS'!$A:$I,3,0),0)</f>
        <v>0</v>
      </c>
      <c r="J387" s="46">
        <f>IFERROR(VLOOKUP($E387,'BASE DE DATOS'!$A:$I,3,0),0)</f>
        <v>0</v>
      </c>
      <c r="K387" s="46">
        <f>IFERROR(VLOOKUP($E646,'BASE DE DATOS'!$A:$I,3,0),0)</f>
        <v>0</v>
      </c>
      <c r="L387" s="46">
        <f>IFERROR(VLOOKUP($E387,'BASE DE DATOS'!$A:$I,3,0),0)</f>
        <v>0</v>
      </c>
      <c r="O387" s="1"/>
    </row>
    <row r="388" spans="4:15" x14ac:dyDescent="0.25">
      <c r="D388" s="46" t="str">
        <f>IFERROR(VLOOKUP($E388,'BASE DE DATOS'!$A:$I,2,0)," ")</f>
        <v xml:space="preserve"> </v>
      </c>
      <c r="F388" s="46">
        <f>IFERROR(VLOOKUP($E401,'BASE DE DATOS'!$A:$I,3,0),0)</f>
        <v>0</v>
      </c>
      <c r="G388" s="46">
        <f>IFERROR(VLOOKUP($E388,'BASE DE DATOS'!$A:$I,3,0),0)</f>
        <v>0</v>
      </c>
      <c r="H388" s="46">
        <f>IFERROR(VLOOKUP($E388,'BASE DE DATOS'!$A:$I,3,0),0)</f>
        <v>0</v>
      </c>
      <c r="I388" s="46">
        <f>IFERROR(VLOOKUP($E388,'BASE DE DATOS'!$A:$I,3,0),0)</f>
        <v>0</v>
      </c>
      <c r="J388" s="46">
        <f>IFERROR(VLOOKUP($E388,'BASE DE DATOS'!$A:$I,3,0),0)</f>
        <v>0</v>
      </c>
      <c r="K388" s="46">
        <f>IFERROR(VLOOKUP($E647,'BASE DE DATOS'!$A:$I,3,0),0)</f>
        <v>0</v>
      </c>
      <c r="L388" s="46">
        <f>IFERROR(VLOOKUP($E388,'BASE DE DATOS'!$A:$I,3,0),0)</f>
        <v>0</v>
      </c>
      <c r="O388" s="1"/>
    </row>
    <row r="389" spans="4:15" x14ac:dyDescent="0.25">
      <c r="D389" s="46" t="str">
        <f>IFERROR(VLOOKUP($E389,'BASE DE DATOS'!$A:$I,2,0)," ")</f>
        <v xml:space="preserve"> </v>
      </c>
      <c r="F389" s="46">
        <f>IFERROR(VLOOKUP($E402,'BASE DE DATOS'!$A:$I,3,0),0)</f>
        <v>0</v>
      </c>
      <c r="G389" s="46">
        <f>IFERROR(VLOOKUP($E389,'BASE DE DATOS'!$A:$I,3,0),0)</f>
        <v>0</v>
      </c>
      <c r="H389" s="46">
        <f>IFERROR(VLOOKUP($E389,'BASE DE DATOS'!$A:$I,3,0),0)</f>
        <v>0</v>
      </c>
      <c r="I389" s="46">
        <f>IFERROR(VLOOKUP($E389,'BASE DE DATOS'!$A:$I,3,0),0)</f>
        <v>0</v>
      </c>
      <c r="J389" s="46">
        <f>IFERROR(VLOOKUP($E389,'BASE DE DATOS'!$A:$I,3,0),0)</f>
        <v>0</v>
      </c>
      <c r="K389" s="46">
        <f>IFERROR(VLOOKUP($E648,'BASE DE DATOS'!$A:$I,3,0),0)</f>
        <v>0</v>
      </c>
      <c r="L389" s="46">
        <f>IFERROR(VLOOKUP($E389,'BASE DE DATOS'!$A:$I,3,0),0)</f>
        <v>0</v>
      </c>
      <c r="O389" s="1"/>
    </row>
    <row r="390" spans="4:15" x14ac:dyDescent="0.25">
      <c r="D390" s="46" t="str">
        <f>IFERROR(VLOOKUP($E390,'BASE DE DATOS'!$A:$I,2,0)," ")</f>
        <v xml:space="preserve"> </v>
      </c>
      <c r="F390" s="46">
        <f>IFERROR(VLOOKUP($E403,'BASE DE DATOS'!$A:$I,3,0),0)</f>
        <v>0</v>
      </c>
      <c r="G390" s="46">
        <f>IFERROR(VLOOKUP($E390,'BASE DE DATOS'!$A:$I,3,0),0)</f>
        <v>0</v>
      </c>
      <c r="H390" s="46">
        <f>IFERROR(VLOOKUP($E390,'BASE DE DATOS'!$A:$I,3,0),0)</f>
        <v>0</v>
      </c>
      <c r="I390" s="46">
        <f>IFERROR(VLOOKUP($E390,'BASE DE DATOS'!$A:$I,3,0),0)</f>
        <v>0</v>
      </c>
      <c r="J390" s="46">
        <f>IFERROR(VLOOKUP($E390,'BASE DE DATOS'!$A:$I,3,0),0)</f>
        <v>0</v>
      </c>
      <c r="K390" s="46">
        <f>IFERROR(VLOOKUP($E649,'BASE DE DATOS'!$A:$I,3,0),0)</f>
        <v>0</v>
      </c>
      <c r="L390" s="46">
        <f>IFERROR(VLOOKUP($E390,'BASE DE DATOS'!$A:$I,3,0),0)</f>
        <v>0</v>
      </c>
      <c r="O390" s="1"/>
    </row>
    <row r="391" spans="4:15" x14ac:dyDescent="0.25">
      <c r="D391" s="46" t="str">
        <f>IFERROR(VLOOKUP($E391,'BASE DE DATOS'!$A:$I,2,0)," ")</f>
        <v xml:space="preserve"> </v>
      </c>
      <c r="F391" s="46">
        <f>IFERROR(VLOOKUP($E404,'BASE DE DATOS'!$A:$I,3,0),0)</f>
        <v>0</v>
      </c>
      <c r="G391" s="46">
        <f>IFERROR(VLOOKUP($E391,'BASE DE DATOS'!$A:$I,3,0),0)</f>
        <v>0</v>
      </c>
      <c r="H391" s="46">
        <f>IFERROR(VLOOKUP($E391,'BASE DE DATOS'!$A:$I,3,0),0)</f>
        <v>0</v>
      </c>
      <c r="I391" s="46">
        <f>IFERROR(VLOOKUP($E391,'BASE DE DATOS'!$A:$I,3,0),0)</f>
        <v>0</v>
      </c>
      <c r="J391" s="46">
        <f>IFERROR(VLOOKUP($E391,'BASE DE DATOS'!$A:$I,3,0),0)</f>
        <v>0</v>
      </c>
      <c r="K391" s="46">
        <f>IFERROR(VLOOKUP($E650,'BASE DE DATOS'!$A:$I,3,0),0)</f>
        <v>0</v>
      </c>
      <c r="L391" s="46">
        <f>IFERROR(VLOOKUP($E391,'BASE DE DATOS'!$A:$I,3,0),0)</f>
        <v>0</v>
      </c>
    </row>
    <row r="392" spans="4:15" x14ac:dyDescent="0.25">
      <c r="D392" s="46" t="str">
        <f>IFERROR(VLOOKUP($E392,'BASE DE DATOS'!$A:$I,2,0)," ")</f>
        <v xml:space="preserve"> </v>
      </c>
      <c r="F392" s="46">
        <f>IFERROR(VLOOKUP($E405,'BASE DE DATOS'!$A:$I,3,0),0)</f>
        <v>0</v>
      </c>
      <c r="G392" s="46">
        <f>IFERROR(VLOOKUP($E392,'BASE DE DATOS'!$A:$I,3,0),0)</f>
        <v>0</v>
      </c>
      <c r="H392" s="46">
        <f>IFERROR(VLOOKUP($E392,'BASE DE DATOS'!$A:$I,3,0),0)</f>
        <v>0</v>
      </c>
      <c r="I392" s="46">
        <f>IFERROR(VLOOKUP($E392,'BASE DE DATOS'!$A:$I,3,0),0)</f>
        <v>0</v>
      </c>
      <c r="J392" s="46">
        <f>IFERROR(VLOOKUP($E392,'BASE DE DATOS'!$A:$I,3,0),0)</f>
        <v>0</v>
      </c>
      <c r="K392" s="46">
        <f>IFERROR(VLOOKUP($E651,'BASE DE DATOS'!$A:$I,3,0),0)</f>
        <v>0</v>
      </c>
      <c r="L392" s="46">
        <f>IFERROR(VLOOKUP($E392,'BASE DE DATOS'!$A:$I,3,0),0)</f>
        <v>0</v>
      </c>
    </row>
    <row r="393" spans="4:15" x14ac:dyDescent="0.25">
      <c r="D393" s="46" t="str">
        <f>IFERROR(VLOOKUP($E393,'BASE DE DATOS'!$A:$I,2,0)," ")</f>
        <v xml:space="preserve"> </v>
      </c>
      <c r="F393" s="46">
        <f>IFERROR(VLOOKUP($E406,'BASE DE DATOS'!$A:$I,3,0),0)</f>
        <v>0</v>
      </c>
      <c r="G393" s="46">
        <f>IFERROR(VLOOKUP($E393,'BASE DE DATOS'!$A:$I,3,0),0)</f>
        <v>0</v>
      </c>
      <c r="H393" s="46">
        <f>IFERROR(VLOOKUP($E393,'BASE DE DATOS'!$A:$I,3,0),0)</f>
        <v>0</v>
      </c>
      <c r="I393" s="46">
        <f>IFERROR(VLOOKUP($E393,'BASE DE DATOS'!$A:$I,3,0),0)</f>
        <v>0</v>
      </c>
      <c r="J393" s="46">
        <f>IFERROR(VLOOKUP($E393,'BASE DE DATOS'!$A:$I,3,0),0)</f>
        <v>0</v>
      </c>
      <c r="K393" s="46">
        <f>IFERROR(VLOOKUP($E652,'BASE DE DATOS'!$A:$I,3,0),0)</f>
        <v>0</v>
      </c>
      <c r="L393" s="46">
        <f>IFERROR(VLOOKUP($E393,'BASE DE DATOS'!$A:$I,3,0),0)</f>
        <v>0</v>
      </c>
    </row>
    <row r="394" spans="4:15" x14ac:dyDescent="0.25">
      <c r="D394" s="46" t="str">
        <f>IFERROR(VLOOKUP($E394,'BASE DE DATOS'!$A:$I,2,0)," ")</f>
        <v xml:space="preserve"> </v>
      </c>
      <c r="F394" s="46">
        <f>IFERROR(VLOOKUP($E407,'BASE DE DATOS'!$A:$I,3,0),0)</f>
        <v>0</v>
      </c>
      <c r="G394" s="46">
        <f>IFERROR(VLOOKUP($E394,'BASE DE DATOS'!$A:$I,3,0),0)</f>
        <v>0</v>
      </c>
      <c r="H394" s="46">
        <f>IFERROR(VLOOKUP($E394,'BASE DE DATOS'!$A:$I,3,0),0)</f>
        <v>0</v>
      </c>
      <c r="I394" s="46">
        <f>IFERROR(VLOOKUP($E394,'BASE DE DATOS'!$A:$I,3,0),0)</f>
        <v>0</v>
      </c>
      <c r="J394" s="46">
        <f>IFERROR(VLOOKUP($E394,'BASE DE DATOS'!$A:$I,3,0),0)</f>
        <v>0</v>
      </c>
      <c r="K394" s="46">
        <f>IFERROR(VLOOKUP($E653,'BASE DE DATOS'!$A:$I,3,0),0)</f>
        <v>0</v>
      </c>
      <c r="L394" s="46">
        <f>IFERROR(VLOOKUP($E394,'BASE DE DATOS'!$A:$I,3,0),0)</f>
        <v>0</v>
      </c>
    </row>
    <row r="395" spans="4:15" x14ac:dyDescent="0.25">
      <c r="D395" s="46" t="str">
        <f>IFERROR(VLOOKUP($E395,'BASE DE DATOS'!$A:$I,2,0)," ")</f>
        <v xml:space="preserve"> </v>
      </c>
      <c r="F395" s="46">
        <f>IFERROR(VLOOKUP($E408,'BASE DE DATOS'!$A:$I,3,0),0)</f>
        <v>0</v>
      </c>
      <c r="G395" s="46">
        <f>IFERROR(VLOOKUP($E395,'BASE DE DATOS'!$A:$I,3,0),0)</f>
        <v>0</v>
      </c>
      <c r="H395" s="46">
        <f>IFERROR(VLOOKUP($E395,'BASE DE DATOS'!$A:$I,3,0),0)</f>
        <v>0</v>
      </c>
      <c r="I395" s="46">
        <f>IFERROR(VLOOKUP($E395,'BASE DE DATOS'!$A:$I,3,0),0)</f>
        <v>0</v>
      </c>
      <c r="J395" s="46">
        <f>IFERROR(VLOOKUP($E395,'BASE DE DATOS'!$A:$I,3,0),0)</f>
        <v>0</v>
      </c>
      <c r="K395" s="46">
        <f>IFERROR(VLOOKUP($E654,'BASE DE DATOS'!$A:$I,3,0),0)</f>
        <v>0</v>
      </c>
      <c r="L395" s="46">
        <f>IFERROR(VLOOKUP($E395,'BASE DE DATOS'!$A:$I,3,0),0)</f>
        <v>0</v>
      </c>
    </row>
    <row r="396" spans="4:15" x14ac:dyDescent="0.25">
      <c r="D396" s="46" t="str">
        <f>IFERROR(VLOOKUP($E396,'BASE DE DATOS'!$A:$I,2,0)," ")</f>
        <v xml:space="preserve"> </v>
      </c>
      <c r="F396" s="46">
        <f>IFERROR(VLOOKUP($E409,'BASE DE DATOS'!$A:$I,3,0),0)</f>
        <v>0</v>
      </c>
      <c r="G396" s="46">
        <f>IFERROR(VLOOKUP($E396,'BASE DE DATOS'!$A:$I,3,0),0)</f>
        <v>0</v>
      </c>
      <c r="H396" s="46">
        <f>IFERROR(VLOOKUP($E396,'BASE DE DATOS'!$A:$I,3,0),0)</f>
        <v>0</v>
      </c>
      <c r="I396" s="46">
        <f>IFERROR(VLOOKUP($E396,'BASE DE DATOS'!$A:$I,3,0),0)</f>
        <v>0</v>
      </c>
      <c r="J396" s="46">
        <f>IFERROR(VLOOKUP($E396,'BASE DE DATOS'!$A:$I,3,0),0)</f>
        <v>0</v>
      </c>
      <c r="K396" s="46">
        <f>IFERROR(VLOOKUP($E655,'BASE DE DATOS'!$A:$I,3,0),0)</f>
        <v>0</v>
      </c>
      <c r="L396" s="46">
        <f>IFERROR(VLOOKUP($E396,'BASE DE DATOS'!$A:$I,3,0),0)</f>
        <v>0</v>
      </c>
    </row>
    <row r="397" spans="4:15" x14ac:dyDescent="0.25">
      <c r="D397" s="46" t="str">
        <f>IFERROR(VLOOKUP($E397,'BASE DE DATOS'!$A:$I,2,0)," ")</f>
        <v xml:space="preserve"> </v>
      </c>
      <c r="F397" s="46">
        <f>IFERROR(VLOOKUP($E410,'BASE DE DATOS'!$A:$I,3,0),0)</f>
        <v>0</v>
      </c>
      <c r="G397" s="46">
        <f>IFERROR(VLOOKUP($E397,'BASE DE DATOS'!$A:$I,3,0),0)</f>
        <v>0</v>
      </c>
      <c r="H397" s="46">
        <f>IFERROR(VLOOKUP($E397,'BASE DE DATOS'!$A:$I,3,0),0)</f>
        <v>0</v>
      </c>
      <c r="I397" s="46">
        <f>IFERROR(VLOOKUP($E397,'BASE DE DATOS'!$A:$I,3,0),0)</f>
        <v>0</v>
      </c>
      <c r="J397" s="46">
        <f>IFERROR(VLOOKUP($E397,'BASE DE DATOS'!$A:$I,3,0),0)</f>
        <v>0</v>
      </c>
      <c r="K397" s="46">
        <f>IFERROR(VLOOKUP($E656,'BASE DE DATOS'!$A:$I,3,0),0)</f>
        <v>0</v>
      </c>
      <c r="L397" s="46">
        <f>IFERROR(VLOOKUP($E397,'BASE DE DATOS'!$A:$I,3,0),0)</f>
        <v>0</v>
      </c>
    </row>
    <row r="398" spans="4:15" x14ac:dyDescent="0.25">
      <c r="D398" s="46" t="str">
        <f>IFERROR(VLOOKUP($E398,'BASE DE DATOS'!$A:$I,2,0)," ")</f>
        <v xml:space="preserve"> </v>
      </c>
      <c r="F398" s="46">
        <f>IFERROR(VLOOKUP($E411,'BASE DE DATOS'!$A:$I,3,0),0)</f>
        <v>0</v>
      </c>
      <c r="G398" s="46">
        <f>IFERROR(VLOOKUP($E398,'BASE DE DATOS'!$A:$I,3,0),0)</f>
        <v>0</v>
      </c>
      <c r="H398" s="46">
        <f>IFERROR(VLOOKUP($E398,'BASE DE DATOS'!$A:$I,3,0),0)</f>
        <v>0</v>
      </c>
      <c r="I398" s="46">
        <f>IFERROR(VLOOKUP($E398,'BASE DE DATOS'!$A:$I,3,0),0)</f>
        <v>0</v>
      </c>
      <c r="J398" s="46">
        <f>IFERROR(VLOOKUP($E398,'BASE DE DATOS'!$A:$I,3,0),0)</f>
        <v>0</v>
      </c>
      <c r="K398" s="46">
        <f>IFERROR(VLOOKUP($E657,'BASE DE DATOS'!$A:$I,3,0),0)</f>
        <v>0</v>
      </c>
      <c r="L398" s="46">
        <f>IFERROR(VLOOKUP($E398,'BASE DE DATOS'!$A:$I,3,0),0)</f>
        <v>0</v>
      </c>
    </row>
    <row r="399" spans="4:15" x14ac:dyDescent="0.25">
      <c r="D399" s="46" t="str">
        <f>IFERROR(VLOOKUP($E399,'BASE DE DATOS'!$A:$I,2,0)," ")</f>
        <v xml:space="preserve"> </v>
      </c>
      <c r="F399" s="46">
        <f>IFERROR(VLOOKUP($E412,'BASE DE DATOS'!$A:$I,3,0),0)</f>
        <v>0</v>
      </c>
      <c r="G399" s="46">
        <f>IFERROR(VLOOKUP($E399,'BASE DE DATOS'!$A:$I,3,0),0)</f>
        <v>0</v>
      </c>
      <c r="H399" s="46">
        <f>IFERROR(VLOOKUP($E399,'BASE DE DATOS'!$A:$I,3,0),0)</f>
        <v>0</v>
      </c>
      <c r="I399" s="46">
        <f>IFERROR(VLOOKUP($E399,'BASE DE DATOS'!$A:$I,3,0),0)</f>
        <v>0</v>
      </c>
      <c r="J399" s="46">
        <f>IFERROR(VLOOKUP($E399,'BASE DE DATOS'!$A:$I,3,0),0)</f>
        <v>0</v>
      </c>
      <c r="K399" s="46">
        <f>IFERROR(VLOOKUP($E658,'BASE DE DATOS'!$A:$I,3,0),0)</f>
        <v>0</v>
      </c>
      <c r="L399" s="46">
        <f>IFERROR(VLOOKUP($E399,'BASE DE DATOS'!$A:$I,3,0),0)</f>
        <v>0</v>
      </c>
    </row>
    <row r="400" spans="4:15" x14ac:dyDescent="0.25">
      <c r="D400" s="46" t="str">
        <f>IFERROR(VLOOKUP($E400,'BASE DE DATOS'!$A:$I,2,0)," ")</f>
        <v xml:space="preserve"> </v>
      </c>
      <c r="F400" s="46">
        <f>IFERROR(VLOOKUP($E413,'BASE DE DATOS'!$A:$I,3,0),0)</f>
        <v>0</v>
      </c>
      <c r="G400" s="46">
        <f>IFERROR(VLOOKUP($E400,'BASE DE DATOS'!$A:$I,3,0),0)</f>
        <v>0</v>
      </c>
      <c r="H400" s="46">
        <f>IFERROR(VLOOKUP($E400,'BASE DE DATOS'!$A:$I,3,0),0)</f>
        <v>0</v>
      </c>
      <c r="I400" s="46">
        <f>IFERROR(VLOOKUP($E400,'BASE DE DATOS'!$A:$I,3,0),0)</f>
        <v>0</v>
      </c>
      <c r="J400" s="46">
        <f>IFERROR(VLOOKUP($E400,'BASE DE DATOS'!$A:$I,3,0),0)</f>
        <v>0</v>
      </c>
      <c r="K400" s="46">
        <f>IFERROR(VLOOKUP($E659,'BASE DE DATOS'!$A:$I,3,0),0)</f>
        <v>0</v>
      </c>
      <c r="L400" s="46">
        <f>IFERROR(VLOOKUP($E400,'BASE DE DATOS'!$A:$I,3,0),0)</f>
        <v>0</v>
      </c>
    </row>
    <row r="401" spans="4:12" x14ac:dyDescent="0.25">
      <c r="D401" s="46" t="str">
        <f>IFERROR(VLOOKUP($E401,'BASE DE DATOS'!$A:$I,2,0)," ")</f>
        <v xml:space="preserve"> </v>
      </c>
      <c r="F401" s="46">
        <f>IFERROR(VLOOKUP($E414,'BASE DE DATOS'!$A:$I,3,0),0)</f>
        <v>0</v>
      </c>
      <c r="G401" s="46">
        <f>IFERROR(VLOOKUP($E401,'BASE DE DATOS'!$A:$I,3,0),0)</f>
        <v>0</v>
      </c>
      <c r="H401" s="46">
        <f>IFERROR(VLOOKUP($E401,'BASE DE DATOS'!$A:$I,3,0),0)</f>
        <v>0</v>
      </c>
      <c r="I401" s="46">
        <f>IFERROR(VLOOKUP($E401,'BASE DE DATOS'!$A:$I,3,0),0)</f>
        <v>0</v>
      </c>
      <c r="J401" s="46">
        <f>IFERROR(VLOOKUP($E401,'BASE DE DATOS'!$A:$I,3,0),0)</f>
        <v>0</v>
      </c>
      <c r="K401" s="46">
        <f>IFERROR(VLOOKUP($E660,'BASE DE DATOS'!$A:$I,3,0),0)</f>
        <v>0</v>
      </c>
      <c r="L401" s="46">
        <f>IFERROR(VLOOKUP($E401,'BASE DE DATOS'!$A:$I,3,0),0)</f>
        <v>0</v>
      </c>
    </row>
    <row r="402" spans="4:12" x14ac:dyDescent="0.25">
      <c r="D402" s="46" t="str">
        <f>IFERROR(VLOOKUP($E402,'BASE DE DATOS'!$A:$I,2,0)," ")</f>
        <v xml:space="preserve"> </v>
      </c>
      <c r="F402" s="46">
        <f>IFERROR(VLOOKUP($E415,'BASE DE DATOS'!$A:$I,3,0),0)</f>
        <v>0</v>
      </c>
      <c r="G402" s="46">
        <f>IFERROR(VLOOKUP($E402,'BASE DE DATOS'!$A:$I,3,0),0)</f>
        <v>0</v>
      </c>
      <c r="H402" s="46">
        <f>IFERROR(VLOOKUP($E402,'BASE DE DATOS'!$A:$I,3,0),0)</f>
        <v>0</v>
      </c>
      <c r="I402" s="46">
        <f>IFERROR(VLOOKUP($E402,'BASE DE DATOS'!$A:$I,3,0),0)</f>
        <v>0</v>
      </c>
      <c r="J402" s="46">
        <f>IFERROR(VLOOKUP($E402,'BASE DE DATOS'!$A:$I,3,0),0)</f>
        <v>0</v>
      </c>
      <c r="K402" s="46">
        <f>IFERROR(VLOOKUP($E661,'BASE DE DATOS'!$A:$I,3,0),0)</f>
        <v>0</v>
      </c>
      <c r="L402" s="46">
        <f>IFERROR(VLOOKUP($E402,'BASE DE DATOS'!$A:$I,3,0),0)</f>
        <v>0</v>
      </c>
    </row>
    <row r="403" spans="4:12" x14ac:dyDescent="0.25">
      <c r="D403" s="46" t="str">
        <f>IFERROR(VLOOKUP($E403,'BASE DE DATOS'!$A:$I,2,0)," ")</f>
        <v xml:space="preserve"> </v>
      </c>
      <c r="F403" s="46">
        <f>IFERROR(VLOOKUP($E416,'BASE DE DATOS'!$A:$I,3,0),0)</f>
        <v>0</v>
      </c>
      <c r="G403" s="46">
        <f>IFERROR(VLOOKUP($E403,'BASE DE DATOS'!$A:$I,3,0),0)</f>
        <v>0</v>
      </c>
      <c r="H403" s="46">
        <f>IFERROR(VLOOKUP($E403,'BASE DE DATOS'!$A:$I,3,0),0)</f>
        <v>0</v>
      </c>
      <c r="I403" s="46">
        <f>IFERROR(VLOOKUP($E403,'BASE DE DATOS'!$A:$I,3,0),0)</f>
        <v>0</v>
      </c>
      <c r="J403" s="46">
        <f>IFERROR(VLOOKUP($E403,'BASE DE DATOS'!$A:$I,3,0),0)</f>
        <v>0</v>
      </c>
      <c r="K403" s="46">
        <f>IFERROR(VLOOKUP($E662,'BASE DE DATOS'!$A:$I,3,0),0)</f>
        <v>0</v>
      </c>
      <c r="L403" s="46">
        <f>IFERROR(VLOOKUP($E403,'BASE DE DATOS'!$A:$I,3,0),0)</f>
        <v>0</v>
      </c>
    </row>
    <row r="404" spans="4:12" x14ac:dyDescent="0.25">
      <c r="D404" s="46" t="str">
        <f>IFERROR(VLOOKUP($E404,'BASE DE DATOS'!$A:$I,2,0)," ")</f>
        <v xml:space="preserve"> </v>
      </c>
      <c r="F404" s="46">
        <f>IFERROR(VLOOKUP($E417,'BASE DE DATOS'!$A:$I,3,0),0)</f>
        <v>0</v>
      </c>
      <c r="G404" s="46">
        <f>IFERROR(VLOOKUP($E404,'BASE DE DATOS'!$A:$I,3,0),0)</f>
        <v>0</v>
      </c>
      <c r="H404" s="46">
        <f>IFERROR(VLOOKUP($E404,'BASE DE DATOS'!$A:$I,3,0),0)</f>
        <v>0</v>
      </c>
      <c r="I404" s="46">
        <f>IFERROR(VLOOKUP($E404,'BASE DE DATOS'!$A:$I,3,0),0)</f>
        <v>0</v>
      </c>
      <c r="J404" s="46">
        <f>IFERROR(VLOOKUP($E404,'BASE DE DATOS'!$A:$I,3,0),0)</f>
        <v>0</v>
      </c>
      <c r="K404" s="46">
        <f>IFERROR(VLOOKUP($E663,'BASE DE DATOS'!$A:$I,3,0),0)</f>
        <v>0</v>
      </c>
      <c r="L404" s="46">
        <f>IFERROR(VLOOKUP($E404,'BASE DE DATOS'!$A:$I,3,0),0)</f>
        <v>0</v>
      </c>
    </row>
    <row r="405" spans="4:12" x14ac:dyDescent="0.25">
      <c r="D405" s="46" t="str">
        <f>IFERROR(VLOOKUP($E405,'BASE DE DATOS'!$A:$I,2,0)," ")</f>
        <v xml:space="preserve"> </v>
      </c>
      <c r="F405" s="46">
        <f>IFERROR(VLOOKUP($E418,'BASE DE DATOS'!$A:$I,3,0),0)</f>
        <v>0</v>
      </c>
      <c r="G405" s="46">
        <f>IFERROR(VLOOKUP($E405,'BASE DE DATOS'!$A:$I,3,0),0)</f>
        <v>0</v>
      </c>
      <c r="H405" s="46">
        <f>IFERROR(VLOOKUP($E405,'BASE DE DATOS'!$A:$I,3,0),0)</f>
        <v>0</v>
      </c>
      <c r="I405" s="46">
        <f>IFERROR(VLOOKUP($E405,'BASE DE DATOS'!$A:$I,3,0),0)</f>
        <v>0</v>
      </c>
      <c r="J405" s="46">
        <f>IFERROR(VLOOKUP($E405,'BASE DE DATOS'!$A:$I,3,0),0)</f>
        <v>0</v>
      </c>
      <c r="K405" s="46">
        <f>IFERROR(VLOOKUP($E664,'BASE DE DATOS'!$A:$I,3,0),0)</f>
        <v>0</v>
      </c>
      <c r="L405" s="46">
        <f>IFERROR(VLOOKUP($E405,'BASE DE DATOS'!$A:$I,3,0),0)</f>
        <v>0</v>
      </c>
    </row>
    <row r="406" spans="4:12" x14ac:dyDescent="0.25">
      <c r="D406" s="46" t="str">
        <f>IFERROR(VLOOKUP($E406,'BASE DE DATOS'!$A:$I,2,0)," ")</f>
        <v xml:space="preserve"> </v>
      </c>
      <c r="F406" s="46">
        <f>IFERROR(VLOOKUP($E419,'BASE DE DATOS'!$A:$I,3,0),0)</f>
        <v>0</v>
      </c>
      <c r="G406" s="46">
        <f>IFERROR(VLOOKUP($E406,'BASE DE DATOS'!$A:$I,3,0),0)</f>
        <v>0</v>
      </c>
      <c r="H406" s="46">
        <f>IFERROR(VLOOKUP($E406,'BASE DE DATOS'!$A:$I,3,0),0)</f>
        <v>0</v>
      </c>
      <c r="I406" s="46">
        <f>IFERROR(VLOOKUP($E406,'BASE DE DATOS'!$A:$I,3,0),0)</f>
        <v>0</v>
      </c>
      <c r="J406" s="46">
        <f>IFERROR(VLOOKUP($E406,'BASE DE DATOS'!$A:$I,3,0),0)</f>
        <v>0</v>
      </c>
      <c r="K406" s="46">
        <f>IFERROR(VLOOKUP($E665,'BASE DE DATOS'!$A:$I,3,0),0)</f>
        <v>0</v>
      </c>
      <c r="L406" s="46">
        <f>IFERROR(VLOOKUP($E406,'BASE DE DATOS'!$A:$I,3,0),0)</f>
        <v>0</v>
      </c>
    </row>
    <row r="407" spans="4:12" x14ac:dyDescent="0.25">
      <c r="D407" s="46" t="str">
        <f>IFERROR(VLOOKUP($E407,'BASE DE DATOS'!$A:$I,2,0)," ")</f>
        <v xml:space="preserve"> </v>
      </c>
      <c r="F407" s="46">
        <f>IFERROR(VLOOKUP($E420,'BASE DE DATOS'!$A:$I,3,0),0)</f>
        <v>0</v>
      </c>
      <c r="G407" s="46">
        <f>IFERROR(VLOOKUP($E407,'BASE DE DATOS'!$A:$I,3,0),0)</f>
        <v>0</v>
      </c>
      <c r="H407" s="46">
        <f>IFERROR(VLOOKUP($E407,'BASE DE DATOS'!$A:$I,3,0),0)</f>
        <v>0</v>
      </c>
      <c r="I407" s="46">
        <f>IFERROR(VLOOKUP($E407,'BASE DE DATOS'!$A:$I,3,0),0)</f>
        <v>0</v>
      </c>
      <c r="J407" s="46">
        <f>IFERROR(VLOOKUP($E407,'BASE DE DATOS'!$A:$I,3,0),0)</f>
        <v>0</v>
      </c>
      <c r="K407" s="46">
        <f>IFERROR(VLOOKUP($E666,'BASE DE DATOS'!$A:$I,3,0),0)</f>
        <v>0</v>
      </c>
      <c r="L407" s="46">
        <f>IFERROR(VLOOKUP($E407,'BASE DE DATOS'!$A:$I,3,0),0)</f>
        <v>0</v>
      </c>
    </row>
    <row r="408" spans="4:12" x14ac:dyDescent="0.25">
      <c r="D408" s="46" t="str">
        <f>IFERROR(VLOOKUP($E408,'BASE DE DATOS'!$A:$I,2,0)," ")</f>
        <v xml:space="preserve"> </v>
      </c>
      <c r="F408" s="46">
        <f>IFERROR(VLOOKUP($E421,'BASE DE DATOS'!$A:$I,3,0),0)</f>
        <v>0</v>
      </c>
      <c r="G408" s="46">
        <f>IFERROR(VLOOKUP($E408,'BASE DE DATOS'!$A:$I,3,0),0)</f>
        <v>0</v>
      </c>
      <c r="H408" s="46">
        <f>IFERROR(VLOOKUP($E408,'BASE DE DATOS'!$A:$I,3,0),0)</f>
        <v>0</v>
      </c>
      <c r="I408" s="46">
        <f>IFERROR(VLOOKUP($E408,'BASE DE DATOS'!$A:$I,3,0),0)</f>
        <v>0</v>
      </c>
      <c r="J408" s="46">
        <f>IFERROR(VLOOKUP($E408,'BASE DE DATOS'!$A:$I,3,0),0)</f>
        <v>0</v>
      </c>
      <c r="K408" s="46">
        <f>IFERROR(VLOOKUP($E667,'BASE DE DATOS'!$A:$I,3,0),0)</f>
        <v>0</v>
      </c>
      <c r="L408" s="46">
        <f>IFERROR(VLOOKUP($E408,'BASE DE DATOS'!$A:$I,3,0),0)</f>
        <v>0</v>
      </c>
    </row>
    <row r="409" spans="4:12" x14ac:dyDescent="0.25">
      <c r="D409" s="46" t="str">
        <f>IFERROR(VLOOKUP($E409,'BASE DE DATOS'!$A:$I,2,0)," ")</f>
        <v xml:space="preserve"> </v>
      </c>
      <c r="F409" s="46">
        <f>IFERROR(VLOOKUP($E422,'BASE DE DATOS'!$A:$I,3,0),0)</f>
        <v>0</v>
      </c>
      <c r="G409" s="46">
        <f>IFERROR(VLOOKUP($E409,'BASE DE DATOS'!$A:$I,3,0),0)</f>
        <v>0</v>
      </c>
      <c r="H409" s="46">
        <f>IFERROR(VLOOKUP($E409,'BASE DE DATOS'!$A:$I,3,0),0)</f>
        <v>0</v>
      </c>
      <c r="I409" s="46">
        <f>IFERROR(VLOOKUP($E409,'BASE DE DATOS'!$A:$I,3,0),0)</f>
        <v>0</v>
      </c>
      <c r="J409" s="46">
        <f>IFERROR(VLOOKUP($E409,'BASE DE DATOS'!$A:$I,3,0),0)</f>
        <v>0</v>
      </c>
      <c r="K409" s="46">
        <f>IFERROR(VLOOKUP($E668,'BASE DE DATOS'!$A:$I,3,0),0)</f>
        <v>0</v>
      </c>
      <c r="L409" s="46">
        <f>IFERROR(VLOOKUP($E409,'BASE DE DATOS'!$A:$I,3,0),0)</f>
        <v>0</v>
      </c>
    </row>
    <row r="410" spans="4:12" x14ac:dyDescent="0.25">
      <c r="D410" s="46" t="str">
        <f>IFERROR(VLOOKUP($E410,'BASE DE DATOS'!$A:$I,2,0)," ")</f>
        <v xml:space="preserve"> </v>
      </c>
      <c r="F410" s="46">
        <f>IFERROR(VLOOKUP($E423,'BASE DE DATOS'!$A:$I,3,0),0)</f>
        <v>0</v>
      </c>
      <c r="G410" s="46">
        <f>IFERROR(VLOOKUP($E410,'BASE DE DATOS'!$A:$I,3,0),0)</f>
        <v>0</v>
      </c>
      <c r="H410" s="46">
        <f>IFERROR(VLOOKUP($E410,'BASE DE DATOS'!$A:$I,3,0),0)</f>
        <v>0</v>
      </c>
      <c r="I410" s="46">
        <f>IFERROR(VLOOKUP($E410,'BASE DE DATOS'!$A:$I,3,0),0)</f>
        <v>0</v>
      </c>
      <c r="J410" s="46">
        <f>IFERROR(VLOOKUP($E410,'BASE DE DATOS'!$A:$I,3,0),0)</f>
        <v>0</v>
      </c>
      <c r="K410" s="46">
        <f>IFERROR(VLOOKUP($E669,'BASE DE DATOS'!$A:$I,3,0),0)</f>
        <v>0</v>
      </c>
      <c r="L410" s="46">
        <f>IFERROR(VLOOKUP($E410,'BASE DE DATOS'!$A:$I,3,0),0)</f>
        <v>0</v>
      </c>
    </row>
    <row r="411" spans="4:12" x14ac:dyDescent="0.25">
      <c r="D411" s="46" t="str">
        <f>IFERROR(VLOOKUP($E411,'BASE DE DATOS'!$A:$I,2,0)," ")</f>
        <v xml:space="preserve"> </v>
      </c>
      <c r="F411" s="46">
        <f>IFERROR(VLOOKUP($E424,'BASE DE DATOS'!$A:$I,3,0),0)</f>
        <v>0</v>
      </c>
      <c r="G411" s="46">
        <f>IFERROR(VLOOKUP($E411,'BASE DE DATOS'!$A:$I,3,0),0)</f>
        <v>0</v>
      </c>
      <c r="H411" s="46">
        <f>IFERROR(VLOOKUP($E411,'BASE DE DATOS'!$A:$I,3,0),0)</f>
        <v>0</v>
      </c>
      <c r="I411" s="46">
        <f>IFERROR(VLOOKUP($E411,'BASE DE DATOS'!$A:$I,3,0),0)</f>
        <v>0</v>
      </c>
      <c r="J411" s="46">
        <f>IFERROR(VLOOKUP($E411,'BASE DE DATOS'!$A:$I,3,0),0)</f>
        <v>0</v>
      </c>
      <c r="K411" s="46">
        <f>IFERROR(VLOOKUP($E670,'BASE DE DATOS'!$A:$I,3,0),0)</f>
        <v>0</v>
      </c>
      <c r="L411" s="46">
        <f>IFERROR(VLOOKUP($E411,'BASE DE DATOS'!$A:$I,3,0),0)</f>
        <v>0</v>
      </c>
    </row>
    <row r="412" spans="4:12" x14ac:dyDescent="0.25">
      <c r="D412" s="46" t="str">
        <f>IFERROR(VLOOKUP($E412,'BASE DE DATOS'!$A:$I,2,0)," ")</f>
        <v xml:space="preserve"> </v>
      </c>
      <c r="F412" s="46">
        <f>IFERROR(VLOOKUP($E425,'BASE DE DATOS'!$A:$I,3,0),0)</f>
        <v>0</v>
      </c>
      <c r="G412" s="46">
        <f>IFERROR(VLOOKUP($E412,'BASE DE DATOS'!$A:$I,3,0),0)</f>
        <v>0</v>
      </c>
      <c r="H412" s="46">
        <f>IFERROR(VLOOKUP($E412,'BASE DE DATOS'!$A:$I,3,0),0)</f>
        <v>0</v>
      </c>
      <c r="I412" s="46">
        <f>IFERROR(VLOOKUP($E412,'BASE DE DATOS'!$A:$I,3,0),0)</f>
        <v>0</v>
      </c>
      <c r="J412" s="46">
        <f>IFERROR(VLOOKUP($E412,'BASE DE DATOS'!$A:$I,3,0),0)</f>
        <v>0</v>
      </c>
      <c r="K412" s="46">
        <f>IFERROR(VLOOKUP($E671,'BASE DE DATOS'!$A:$I,3,0),0)</f>
        <v>0</v>
      </c>
      <c r="L412" s="46">
        <f>IFERROR(VLOOKUP($E412,'BASE DE DATOS'!$A:$I,3,0),0)</f>
        <v>0</v>
      </c>
    </row>
    <row r="413" spans="4:12" x14ac:dyDescent="0.25">
      <c r="D413" s="46" t="str">
        <f>IFERROR(VLOOKUP($E413,'BASE DE DATOS'!$A:$I,2,0)," ")</f>
        <v xml:space="preserve"> </v>
      </c>
      <c r="F413" s="46">
        <f>IFERROR(VLOOKUP($E426,'BASE DE DATOS'!$A:$I,3,0),0)</f>
        <v>0</v>
      </c>
      <c r="G413" s="46">
        <f>IFERROR(VLOOKUP($E413,'BASE DE DATOS'!$A:$I,3,0),0)</f>
        <v>0</v>
      </c>
      <c r="H413" s="46">
        <f>IFERROR(VLOOKUP($E413,'BASE DE DATOS'!$A:$I,3,0),0)</f>
        <v>0</v>
      </c>
      <c r="I413" s="46">
        <f>IFERROR(VLOOKUP($E413,'BASE DE DATOS'!$A:$I,3,0),0)</f>
        <v>0</v>
      </c>
      <c r="J413" s="46">
        <f>IFERROR(VLOOKUP($E413,'BASE DE DATOS'!$A:$I,3,0),0)</f>
        <v>0</v>
      </c>
      <c r="K413" s="46">
        <f>IFERROR(VLOOKUP($E672,'BASE DE DATOS'!$A:$I,3,0),0)</f>
        <v>0</v>
      </c>
      <c r="L413" s="46">
        <f>IFERROR(VLOOKUP($E413,'BASE DE DATOS'!$A:$I,3,0),0)</f>
        <v>0</v>
      </c>
    </row>
    <row r="414" spans="4:12" x14ac:dyDescent="0.25">
      <c r="D414" s="46" t="str">
        <f>IFERROR(VLOOKUP($E414,'BASE DE DATOS'!$A:$I,2,0)," ")</f>
        <v xml:space="preserve"> </v>
      </c>
      <c r="F414" s="46">
        <f>IFERROR(VLOOKUP($E427,'BASE DE DATOS'!$A:$I,3,0),0)</f>
        <v>0</v>
      </c>
      <c r="G414" s="46">
        <f>IFERROR(VLOOKUP($E414,'BASE DE DATOS'!$A:$I,3,0),0)</f>
        <v>0</v>
      </c>
      <c r="H414" s="46">
        <f>IFERROR(VLOOKUP($E414,'BASE DE DATOS'!$A:$I,3,0),0)</f>
        <v>0</v>
      </c>
      <c r="I414" s="46">
        <f>IFERROR(VLOOKUP($E414,'BASE DE DATOS'!$A:$I,3,0),0)</f>
        <v>0</v>
      </c>
      <c r="J414" s="46">
        <f>IFERROR(VLOOKUP($E414,'BASE DE DATOS'!$A:$I,3,0),0)</f>
        <v>0</v>
      </c>
      <c r="K414" s="46">
        <f>IFERROR(VLOOKUP($E673,'BASE DE DATOS'!$A:$I,3,0),0)</f>
        <v>0</v>
      </c>
      <c r="L414" s="46">
        <f>IFERROR(VLOOKUP($E414,'BASE DE DATOS'!$A:$I,3,0),0)</f>
        <v>0</v>
      </c>
    </row>
    <row r="415" spans="4:12" x14ac:dyDescent="0.25">
      <c r="D415" s="46" t="str">
        <f>IFERROR(VLOOKUP($E415,'BASE DE DATOS'!$A:$I,2,0)," ")</f>
        <v xml:space="preserve"> </v>
      </c>
      <c r="F415" s="46">
        <f>IFERROR(VLOOKUP($E428,'BASE DE DATOS'!$A:$I,3,0),0)</f>
        <v>0</v>
      </c>
      <c r="G415" s="46">
        <f>IFERROR(VLOOKUP($E415,'BASE DE DATOS'!$A:$I,3,0),0)</f>
        <v>0</v>
      </c>
      <c r="H415" s="46">
        <f>IFERROR(VLOOKUP($E415,'BASE DE DATOS'!$A:$I,3,0),0)</f>
        <v>0</v>
      </c>
      <c r="I415" s="46">
        <f>IFERROR(VLOOKUP($E415,'BASE DE DATOS'!$A:$I,3,0),0)</f>
        <v>0</v>
      </c>
      <c r="J415" s="46">
        <f>IFERROR(VLOOKUP($E415,'BASE DE DATOS'!$A:$I,3,0),0)</f>
        <v>0</v>
      </c>
      <c r="K415" s="46">
        <f>IFERROR(VLOOKUP($E674,'BASE DE DATOS'!$A:$I,3,0),0)</f>
        <v>0</v>
      </c>
      <c r="L415" s="46">
        <f>IFERROR(VLOOKUP($E415,'BASE DE DATOS'!$A:$I,3,0),0)</f>
        <v>0</v>
      </c>
    </row>
    <row r="416" spans="4:12" x14ac:dyDescent="0.25">
      <c r="D416" s="46" t="str">
        <f>IFERROR(VLOOKUP($E416,'BASE DE DATOS'!$A:$I,2,0)," ")</f>
        <v xml:space="preserve"> </v>
      </c>
      <c r="F416" s="46">
        <f>IFERROR(VLOOKUP($E429,'BASE DE DATOS'!$A:$I,3,0),0)</f>
        <v>0</v>
      </c>
      <c r="G416" s="46">
        <f>IFERROR(VLOOKUP($E416,'BASE DE DATOS'!$A:$I,3,0),0)</f>
        <v>0</v>
      </c>
      <c r="H416" s="46">
        <f>IFERROR(VLOOKUP($E416,'BASE DE DATOS'!$A:$I,3,0),0)</f>
        <v>0</v>
      </c>
      <c r="I416" s="46">
        <f>IFERROR(VLOOKUP($E416,'BASE DE DATOS'!$A:$I,3,0),0)</f>
        <v>0</v>
      </c>
      <c r="J416" s="46">
        <f>IFERROR(VLOOKUP($E416,'BASE DE DATOS'!$A:$I,3,0),0)</f>
        <v>0</v>
      </c>
      <c r="K416" s="46">
        <f>IFERROR(VLOOKUP($E675,'BASE DE DATOS'!$A:$I,3,0),0)</f>
        <v>0</v>
      </c>
      <c r="L416" s="46">
        <f>IFERROR(VLOOKUP($E416,'BASE DE DATOS'!$A:$I,3,0),0)</f>
        <v>0</v>
      </c>
    </row>
    <row r="417" spans="4:12" x14ac:dyDescent="0.25">
      <c r="D417" s="46" t="str">
        <f>IFERROR(VLOOKUP($E417,'BASE DE DATOS'!$A:$I,2,0)," ")</f>
        <v xml:space="preserve"> </v>
      </c>
      <c r="F417" s="46">
        <f>IFERROR(VLOOKUP($E430,'BASE DE DATOS'!$A:$I,3,0),0)</f>
        <v>0</v>
      </c>
      <c r="G417" s="46">
        <f>IFERROR(VLOOKUP($E417,'BASE DE DATOS'!$A:$I,3,0),0)</f>
        <v>0</v>
      </c>
      <c r="H417" s="46">
        <f>IFERROR(VLOOKUP($E417,'BASE DE DATOS'!$A:$I,3,0),0)</f>
        <v>0</v>
      </c>
      <c r="I417" s="46">
        <f>IFERROR(VLOOKUP($E417,'BASE DE DATOS'!$A:$I,3,0),0)</f>
        <v>0</v>
      </c>
      <c r="J417" s="46">
        <f>IFERROR(VLOOKUP($E417,'BASE DE DATOS'!$A:$I,3,0),0)</f>
        <v>0</v>
      </c>
      <c r="K417" s="46">
        <f>IFERROR(VLOOKUP($E676,'BASE DE DATOS'!$A:$I,3,0),0)</f>
        <v>0</v>
      </c>
      <c r="L417" s="46">
        <f>IFERROR(VLOOKUP($E417,'BASE DE DATOS'!$A:$I,3,0),0)</f>
        <v>0</v>
      </c>
    </row>
    <row r="418" spans="4:12" x14ac:dyDescent="0.25">
      <c r="D418" s="46" t="str">
        <f>IFERROR(VLOOKUP($E418,'BASE DE DATOS'!$A:$I,2,0)," ")</f>
        <v xml:space="preserve"> </v>
      </c>
      <c r="F418" s="46">
        <f>IFERROR(VLOOKUP($E431,'BASE DE DATOS'!$A:$I,3,0),0)</f>
        <v>0</v>
      </c>
      <c r="G418" s="46">
        <f>IFERROR(VLOOKUP($E418,'BASE DE DATOS'!$A:$I,3,0),0)</f>
        <v>0</v>
      </c>
      <c r="H418" s="46">
        <f>IFERROR(VLOOKUP($E418,'BASE DE DATOS'!$A:$I,3,0),0)</f>
        <v>0</v>
      </c>
      <c r="I418" s="46">
        <f>IFERROR(VLOOKUP($E418,'BASE DE DATOS'!$A:$I,3,0),0)</f>
        <v>0</v>
      </c>
      <c r="J418" s="46">
        <f>IFERROR(VLOOKUP($E418,'BASE DE DATOS'!$A:$I,3,0),0)</f>
        <v>0</v>
      </c>
      <c r="K418" s="46">
        <f>IFERROR(VLOOKUP($E677,'BASE DE DATOS'!$A:$I,3,0),0)</f>
        <v>0</v>
      </c>
      <c r="L418" s="46">
        <f>IFERROR(VLOOKUP($E418,'BASE DE DATOS'!$A:$I,3,0),0)</f>
        <v>0</v>
      </c>
    </row>
    <row r="419" spans="4:12" x14ac:dyDescent="0.25">
      <c r="D419" s="46" t="str">
        <f>IFERROR(VLOOKUP($E419,'BASE DE DATOS'!$A:$I,2,0)," ")</f>
        <v xml:space="preserve"> </v>
      </c>
      <c r="F419" s="46">
        <f>IFERROR(VLOOKUP($E432,'BASE DE DATOS'!$A:$I,3,0),0)</f>
        <v>0</v>
      </c>
      <c r="G419" s="46">
        <f>IFERROR(VLOOKUP($E419,'BASE DE DATOS'!$A:$I,3,0),0)</f>
        <v>0</v>
      </c>
      <c r="H419" s="46">
        <f>IFERROR(VLOOKUP($E419,'BASE DE DATOS'!$A:$I,3,0),0)</f>
        <v>0</v>
      </c>
      <c r="I419" s="46">
        <f>IFERROR(VLOOKUP($E419,'BASE DE DATOS'!$A:$I,3,0),0)</f>
        <v>0</v>
      </c>
      <c r="J419" s="46">
        <f>IFERROR(VLOOKUP($E419,'BASE DE DATOS'!$A:$I,3,0),0)</f>
        <v>0</v>
      </c>
      <c r="K419" s="46">
        <f>IFERROR(VLOOKUP($E678,'BASE DE DATOS'!$A:$I,3,0),0)</f>
        <v>0</v>
      </c>
      <c r="L419" s="46">
        <f>IFERROR(VLOOKUP($E419,'BASE DE DATOS'!$A:$I,3,0),0)</f>
        <v>0</v>
      </c>
    </row>
    <row r="420" spans="4:12" x14ac:dyDescent="0.25">
      <c r="D420" s="46" t="str">
        <f>IFERROR(VLOOKUP($E420,'BASE DE DATOS'!$A:$I,2,0)," ")</f>
        <v xml:space="preserve"> </v>
      </c>
      <c r="F420" s="46">
        <f>IFERROR(VLOOKUP($E433,'BASE DE DATOS'!$A:$I,3,0),0)</f>
        <v>0</v>
      </c>
      <c r="G420" s="46">
        <f>IFERROR(VLOOKUP($E420,'BASE DE DATOS'!$A:$I,3,0),0)</f>
        <v>0</v>
      </c>
      <c r="H420" s="46">
        <f>IFERROR(VLOOKUP($E420,'BASE DE DATOS'!$A:$I,3,0),0)</f>
        <v>0</v>
      </c>
      <c r="I420" s="46">
        <f>IFERROR(VLOOKUP($E420,'BASE DE DATOS'!$A:$I,3,0),0)</f>
        <v>0</v>
      </c>
      <c r="J420" s="46">
        <f>IFERROR(VLOOKUP($E420,'BASE DE DATOS'!$A:$I,3,0),0)</f>
        <v>0</v>
      </c>
      <c r="K420" s="46">
        <f>IFERROR(VLOOKUP($E679,'BASE DE DATOS'!$A:$I,3,0),0)</f>
        <v>0</v>
      </c>
      <c r="L420" s="46">
        <f>IFERROR(VLOOKUP($E420,'BASE DE DATOS'!$A:$I,3,0),0)</f>
        <v>0</v>
      </c>
    </row>
    <row r="421" spans="4:12" x14ac:dyDescent="0.25">
      <c r="D421" s="46" t="str">
        <f>IFERROR(VLOOKUP($E421,'BASE DE DATOS'!$A:$I,2,0)," ")</f>
        <v xml:space="preserve"> </v>
      </c>
      <c r="F421" s="46">
        <f>IFERROR(VLOOKUP($E434,'BASE DE DATOS'!$A:$I,3,0),0)</f>
        <v>0</v>
      </c>
      <c r="G421" s="46">
        <f>IFERROR(VLOOKUP($E421,'BASE DE DATOS'!$A:$I,3,0),0)</f>
        <v>0</v>
      </c>
      <c r="H421" s="46">
        <f>IFERROR(VLOOKUP($E421,'BASE DE DATOS'!$A:$I,3,0),0)</f>
        <v>0</v>
      </c>
      <c r="I421" s="46">
        <f>IFERROR(VLOOKUP($E421,'BASE DE DATOS'!$A:$I,3,0),0)</f>
        <v>0</v>
      </c>
      <c r="J421" s="46">
        <f>IFERROR(VLOOKUP($E421,'BASE DE DATOS'!$A:$I,3,0),0)</f>
        <v>0</v>
      </c>
      <c r="K421" s="46">
        <f>IFERROR(VLOOKUP($E680,'BASE DE DATOS'!$A:$I,3,0),0)</f>
        <v>0</v>
      </c>
      <c r="L421" s="46">
        <f>IFERROR(VLOOKUP($E421,'BASE DE DATOS'!$A:$I,3,0),0)</f>
        <v>0</v>
      </c>
    </row>
    <row r="422" spans="4:12" x14ac:dyDescent="0.25">
      <c r="D422" s="46" t="str">
        <f>IFERROR(VLOOKUP($E422,'BASE DE DATOS'!$A:$I,2,0)," ")</f>
        <v xml:space="preserve"> </v>
      </c>
      <c r="F422" s="46">
        <f>IFERROR(VLOOKUP($E435,'BASE DE DATOS'!$A:$I,3,0),0)</f>
        <v>0</v>
      </c>
      <c r="G422" s="46">
        <f>IFERROR(VLOOKUP($E422,'BASE DE DATOS'!$A:$I,3,0),0)</f>
        <v>0</v>
      </c>
      <c r="H422" s="46">
        <f>IFERROR(VLOOKUP($E422,'BASE DE DATOS'!$A:$I,3,0),0)</f>
        <v>0</v>
      </c>
      <c r="I422" s="46">
        <f>IFERROR(VLOOKUP($E422,'BASE DE DATOS'!$A:$I,3,0),0)</f>
        <v>0</v>
      </c>
      <c r="J422" s="46">
        <f>IFERROR(VLOOKUP($E422,'BASE DE DATOS'!$A:$I,3,0),0)</f>
        <v>0</v>
      </c>
      <c r="K422" s="46">
        <f>IFERROR(VLOOKUP($E681,'BASE DE DATOS'!$A:$I,3,0),0)</f>
        <v>0</v>
      </c>
      <c r="L422" s="46">
        <f>IFERROR(VLOOKUP($E422,'BASE DE DATOS'!$A:$I,3,0),0)</f>
        <v>0</v>
      </c>
    </row>
    <row r="423" spans="4:12" x14ac:dyDescent="0.25">
      <c r="D423" s="46" t="str">
        <f>IFERROR(VLOOKUP($E423,'BASE DE DATOS'!$A:$I,2,0)," ")</f>
        <v xml:space="preserve"> </v>
      </c>
      <c r="F423" s="46">
        <f>IFERROR(VLOOKUP($E436,'BASE DE DATOS'!$A:$I,3,0),0)</f>
        <v>0</v>
      </c>
      <c r="G423" s="46">
        <f>IFERROR(VLOOKUP($E423,'BASE DE DATOS'!$A:$I,3,0),0)</f>
        <v>0</v>
      </c>
      <c r="H423" s="46">
        <f>IFERROR(VLOOKUP($E423,'BASE DE DATOS'!$A:$I,3,0),0)</f>
        <v>0</v>
      </c>
      <c r="I423" s="46">
        <f>IFERROR(VLOOKUP($E423,'BASE DE DATOS'!$A:$I,3,0),0)</f>
        <v>0</v>
      </c>
      <c r="J423" s="46">
        <f>IFERROR(VLOOKUP($E423,'BASE DE DATOS'!$A:$I,3,0),0)</f>
        <v>0</v>
      </c>
      <c r="K423" s="46">
        <f>IFERROR(VLOOKUP($E682,'BASE DE DATOS'!$A:$I,3,0),0)</f>
        <v>0</v>
      </c>
      <c r="L423" s="46">
        <f>IFERROR(VLOOKUP($E423,'BASE DE DATOS'!$A:$I,3,0),0)</f>
        <v>0</v>
      </c>
    </row>
    <row r="424" spans="4:12" x14ac:dyDescent="0.25">
      <c r="D424" s="46" t="str">
        <f>IFERROR(VLOOKUP($E424,'BASE DE DATOS'!$A:$I,2,0)," ")</f>
        <v xml:space="preserve"> </v>
      </c>
      <c r="F424" s="46">
        <f>IFERROR(VLOOKUP($E437,'BASE DE DATOS'!$A:$I,3,0),0)</f>
        <v>0</v>
      </c>
      <c r="G424" s="46">
        <f>IFERROR(VLOOKUP($E424,'BASE DE DATOS'!$A:$I,3,0),0)</f>
        <v>0</v>
      </c>
      <c r="H424" s="46">
        <f>IFERROR(VLOOKUP($E424,'BASE DE DATOS'!$A:$I,3,0),0)</f>
        <v>0</v>
      </c>
      <c r="I424" s="46">
        <f>IFERROR(VLOOKUP($E424,'BASE DE DATOS'!$A:$I,3,0),0)</f>
        <v>0</v>
      </c>
      <c r="J424" s="46">
        <f>IFERROR(VLOOKUP($E424,'BASE DE DATOS'!$A:$I,3,0),0)</f>
        <v>0</v>
      </c>
      <c r="K424" s="46">
        <f>IFERROR(VLOOKUP($E683,'BASE DE DATOS'!$A:$I,3,0),0)</f>
        <v>0</v>
      </c>
      <c r="L424" s="46">
        <f>IFERROR(VLOOKUP($E424,'BASE DE DATOS'!$A:$I,3,0),0)</f>
        <v>0</v>
      </c>
    </row>
    <row r="425" spans="4:12" x14ac:dyDescent="0.25">
      <c r="D425" s="46" t="str">
        <f>IFERROR(VLOOKUP($E425,'BASE DE DATOS'!$A:$I,2,0)," ")</f>
        <v xml:space="preserve"> </v>
      </c>
      <c r="F425" s="46">
        <f>IFERROR(VLOOKUP($E438,'BASE DE DATOS'!$A:$I,3,0),0)</f>
        <v>0</v>
      </c>
      <c r="G425" s="46">
        <f>IFERROR(VLOOKUP($E425,'BASE DE DATOS'!$A:$I,3,0),0)</f>
        <v>0</v>
      </c>
      <c r="H425" s="46">
        <f>IFERROR(VLOOKUP($E425,'BASE DE DATOS'!$A:$I,3,0),0)</f>
        <v>0</v>
      </c>
      <c r="I425" s="46">
        <f>IFERROR(VLOOKUP($E425,'BASE DE DATOS'!$A:$I,3,0),0)</f>
        <v>0</v>
      </c>
      <c r="J425" s="46">
        <f>IFERROR(VLOOKUP($E425,'BASE DE DATOS'!$A:$I,3,0),0)</f>
        <v>0</v>
      </c>
      <c r="K425" s="46">
        <f>IFERROR(VLOOKUP($E684,'BASE DE DATOS'!$A:$I,3,0),0)</f>
        <v>0</v>
      </c>
      <c r="L425" s="46">
        <f>IFERROR(VLOOKUP($E425,'BASE DE DATOS'!$A:$I,3,0),0)</f>
        <v>0</v>
      </c>
    </row>
    <row r="426" spans="4:12" x14ac:dyDescent="0.25">
      <c r="D426" s="46" t="str">
        <f>IFERROR(VLOOKUP($E426,'BASE DE DATOS'!$A:$I,2,0)," ")</f>
        <v xml:space="preserve"> </v>
      </c>
      <c r="F426" s="46">
        <f>IFERROR(VLOOKUP($E439,'BASE DE DATOS'!$A:$I,3,0),0)</f>
        <v>0</v>
      </c>
      <c r="G426" s="46">
        <f>IFERROR(VLOOKUP($E426,'BASE DE DATOS'!$A:$I,3,0),0)</f>
        <v>0</v>
      </c>
      <c r="H426" s="46">
        <f>IFERROR(VLOOKUP($E426,'BASE DE DATOS'!$A:$I,3,0),0)</f>
        <v>0</v>
      </c>
      <c r="I426" s="46">
        <f>IFERROR(VLOOKUP($E426,'BASE DE DATOS'!$A:$I,3,0),0)</f>
        <v>0</v>
      </c>
      <c r="J426" s="46">
        <f>IFERROR(VLOOKUP($E426,'BASE DE DATOS'!$A:$I,3,0),0)</f>
        <v>0</v>
      </c>
      <c r="K426" s="46">
        <f>IFERROR(VLOOKUP($E685,'BASE DE DATOS'!$A:$I,3,0),0)</f>
        <v>0</v>
      </c>
      <c r="L426" s="46">
        <f>IFERROR(VLOOKUP($E426,'BASE DE DATOS'!$A:$I,3,0),0)</f>
        <v>0</v>
      </c>
    </row>
    <row r="427" spans="4:12" x14ac:dyDescent="0.25">
      <c r="D427" s="46" t="str">
        <f>IFERROR(VLOOKUP($E427,'BASE DE DATOS'!$A:$I,2,0)," ")</f>
        <v xml:space="preserve"> </v>
      </c>
      <c r="F427" s="46">
        <f>IFERROR(VLOOKUP($E440,'BASE DE DATOS'!$A:$I,3,0),0)</f>
        <v>0</v>
      </c>
      <c r="G427" s="46">
        <f>IFERROR(VLOOKUP($E427,'BASE DE DATOS'!$A:$I,3,0),0)</f>
        <v>0</v>
      </c>
      <c r="H427" s="46">
        <f>IFERROR(VLOOKUP($E427,'BASE DE DATOS'!$A:$I,3,0),0)</f>
        <v>0</v>
      </c>
      <c r="I427" s="46">
        <f>IFERROR(VLOOKUP($E427,'BASE DE DATOS'!$A:$I,3,0),0)</f>
        <v>0</v>
      </c>
      <c r="J427" s="46">
        <f>IFERROR(VLOOKUP($E427,'BASE DE DATOS'!$A:$I,3,0),0)</f>
        <v>0</v>
      </c>
      <c r="K427" s="46">
        <f>IFERROR(VLOOKUP($E686,'BASE DE DATOS'!$A:$I,3,0),0)</f>
        <v>0</v>
      </c>
      <c r="L427" s="46">
        <f>IFERROR(VLOOKUP($E427,'BASE DE DATOS'!$A:$I,3,0),0)</f>
        <v>0</v>
      </c>
    </row>
    <row r="428" spans="4:12" x14ac:dyDescent="0.25">
      <c r="D428" s="46" t="str">
        <f>IFERROR(VLOOKUP($E428,'BASE DE DATOS'!$A:$I,2,0)," ")</f>
        <v xml:space="preserve"> </v>
      </c>
      <c r="F428" s="46">
        <f>IFERROR(VLOOKUP($E441,'BASE DE DATOS'!$A:$I,3,0),0)</f>
        <v>0</v>
      </c>
      <c r="G428" s="46">
        <f>IFERROR(VLOOKUP($E428,'BASE DE DATOS'!$A:$I,3,0),0)</f>
        <v>0</v>
      </c>
      <c r="H428" s="46">
        <f>IFERROR(VLOOKUP($E428,'BASE DE DATOS'!$A:$I,3,0),0)</f>
        <v>0</v>
      </c>
      <c r="I428" s="46">
        <f>IFERROR(VLOOKUP($E428,'BASE DE DATOS'!$A:$I,3,0),0)</f>
        <v>0</v>
      </c>
      <c r="J428" s="46">
        <f>IFERROR(VLOOKUP($E428,'BASE DE DATOS'!$A:$I,3,0),0)</f>
        <v>0</v>
      </c>
      <c r="K428" s="46">
        <f>IFERROR(VLOOKUP($E687,'BASE DE DATOS'!$A:$I,3,0),0)</f>
        <v>0</v>
      </c>
      <c r="L428" s="46">
        <f>IFERROR(VLOOKUP($E428,'BASE DE DATOS'!$A:$I,3,0),0)</f>
        <v>0</v>
      </c>
    </row>
    <row r="429" spans="4:12" x14ac:dyDescent="0.25">
      <c r="D429" s="46" t="str">
        <f>IFERROR(VLOOKUP($E429,'BASE DE DATOS'!$A:$I,2,0)," ")</f>
        <v xml:space="preserve"> </v>
      </c>
      <c r="F429" s="46">
        <f>IFERROR(VLOOKUP($E442,'BASE DE DATOS'!$A:$I,3,0),0)</f>
        <v>0</v>
      </c>
      <c r="G429" s="46">
        <f>IFERROR(VLOOKUP($E429,'BASE DE DATOS'!$A:$I,3,0),0)</f>
        <v>0</v>
      </c>
      <c r="H429" s="46">
        <f>IFERROR(VLOOKUP($E429,'BASE DE DATOS'!$A:$I,3,0),0)</f>
        <v>0</v>
      </c>
      <c r="I429" s="46">
        <f>IFERROR(VLOOKUP($E429,'BASE DE DATOS'!$A:$I,3,0),0)</f>
        <v>0</v>
      </c>
      <c r="J429" s="46">
        <f>IFERROR(VLOOKUP($E429,'BASE DE DATOS'!$A:$I,3,0),0)</f>
        <v>0</v>
      </c>
      <c r="K429" s="46">
        <f>IFERROR(VLOOKUP($E688,'BASE DE DATOS'!$A:$I,3,0),0)</f>
        <v>0</v>
      </c>
      <c r="L429" s="46">
        <f>IFERROR(VLOOKUP($E429,'BASE DE DATOS'!$A:$I,3,0),0)</f>
        <v>0</v>
      </c>
    </row>
    <row r="430" spans="4:12" x14ac:dyDescent="0.25">
      <c r="D430" s="46" t="str">
        <f>IFERROR(VLOOKUP($E430,'BASE DE DATOS'!$A:$I,2,0)," ")</f>
        <v xml:space="preserve"> </v>
      </c>
      <c r="F430" s="46">
        <f>IFERROR(VLOOKUP($E443,'BASE DE DATOS'!$A:$I,3,0),0)</f>
        <v>0</v>
      </c>
      <c r="G430" s="46">
        <f>IFERROR(VLOOKUP($E430,'BASE DE DATOS'!$A:$I,3,0),0)</f>
        <v>0</v>
      </c>
      <c r="H430" s="46">
        <f>IFERROR(VLOOKUP($E430,'BASE DE DATOS'!$A:$I,3,0),0)</f>
        <v>0</v>
      </c>
      <c r="I430" s="46">
        <f>IFERROR(VLOOKUP($E430,'BASE DE DATOS'!$A:$I,3,0),0)</f>
        <v>0</v>
      </c>
      <c r="J430" s="46">
        <f>IFERROR(VLOOKUP($E430,'BASE DE DATOS'!$A:$I,3,0),0)</f>
        <v>0</v>
      </c>
      <c r="K430" s="46">
        <f>IFERROR(VLOOKUP($E689,'BASE DE DATOS'!$A:$I,3,0),0)</f>
        <v>0</v>
      </c>
      <c r="L430" s="46">
        <f>IFERROR(VLOOKUP($E430,'BASE DE DATOS'!$A:$I,3,0),0)</f>
        <v>0</v>
      </c>
    </row>
    <row r="431" spans="4:12" x14ac:dyDescent="0.25">
      <c r="D431" s="46" t="str">
        <f>IFERROR(VLOOKUP($E431,'BASE DE DATOS'!$A:$I,2,0)," ")</f>
        <v xml:space="preserve"> </v>
      </c>
      <c r="F431" s="46">
        <f>IFERROR(VLOOKUP($E444,'BASE DE DATOS'!$A:$I,3,0),0)</f>
        <v>0</v>
      </c>
      <c r="G431" s="46">
        <f>IFERROR(VLOOKUP($E431,'BASE DE DATOS'!$A:$I,3,0),0)</f>
        <v>0</v>
      </c>
      <c r="H431" s="46">
        <f>IFERROR(VLOOKUP($E431,'BASE DE DATOS'!$A:$I,3,0),0)</f>
        <v>0</v>
      </c>
      <c r="I431" s="46">
        <f>IFERROR(VLOOKUP($E431,'BASE DE DATOS'!$A:$I,3,0),0)</f>
        <v>0</v>
      </c>
      <c r="J431" s="46">
        <f>IFERROR(VLOOKUP($E431,'BASE DE DATOS'!$A:$I,3,0),0)</f>
        <v>0</v>
      </c>
      <c r="K431" s="46">
        <f>IFERROR(VLOOKUP($E690,'BASE DE DATOS'!$A:$I,3,0),0)</f>
        <v>0</v>
      </c>
      <c r="L431" s="46">
        <f>IFERROR(VLOOKUP($E431,'BASE DE DATOS'!$A:$I,3,0),0)</f>
        <v>0</v>
      </c>
    </row>
    <row r="432" spans="4:12" x14ac:dyDescent="0.25">
      <c r="D432" s="46" t="str">
        <f>IFERROR(VLOOKUP($E432,'BASE DE DATOS'!$A:$I,2,0)," ")</f>
        <v xml:space="preserve"> </v>
      </c>
      <c r="F432" s="46">
        <f>IFERROR(VLOOKUP($E445,'BASE DE DATOS'!$A:$I,3,0),0)</f>
        <v>0</v>
      </c>
      <c r="G432" s="46">
        <f>IFERROR(VLOOKUP($E432,'BASE DE DATOS'!$A:$I,3,0),0)</f>
        <v>0</v>
      </c>
      <c r="H432" s="46">
        <f>IFERROR(VLOOKUP($E432,'BASE DE DATOS'!$A:$I,3,0),0)</f>
        <v>0</v>
      </c>
      <c r="I432" s="46">
        <f>IFERROR(VLOOKUP($E432,'BASE DE DATOS'!$A:$I,3,0),0)</f>
        <v>0</v>
      </c>
      <c r="J432" s="46">
        <f>IFERROR(VLOOKUP($E432,'BASE DE DATOS'!$A:$I,3,0),0)</f>
        <v>0</v>
      </c>
      <c r="K432" s="46">
        <f>IFERROR(VLOOKUP($E691,'BASE DE DATOS'!$A:$I,3,0),0)</f>
        <v>0</v>
      </c>
      <c r="L432" s="46">
        <f>IFERROR(VLOOKUP($E432,'BASE DE DATOS'!$A:$I,3,0),0)</f>
        <v>0</v>
      </c>
    </row>
    <row r="433" spans="4:12" x14ac:dyDescent="0.25">
      <c r="D433" s="46" t="str">
        <f>IFERROR(VLOOKUP($E433,'BASE DE DATOS'!$A:$I,2,0)," ")</f>
        <v xml:space="preserve"> </v>
      </c>
      <c r="F433" s="46">
        <f>IFERROR(VLOOKUP($E446,'BASE DE DATOS'!$A:$I,3,0),0)</f>
        <v>0</v>
      </c>
      <c r="G433" s="46">
        <f>IFERROR(VLOOKUP($E433,'BASE DE DATOS'!$A:$I,3,0),0)</f>
        <v>0</v>
      </c>
      <c r="H433" s="46">
        <f>IFERROR(VLOOKUP($E433,'BASE DE DATOS'!$A:$I,3,0),0)</f>
        <v>0</v>
      </c>
      <c r="I433" s="46">
        <f>IFERROR(VLOOKUP($E433,'BASE DE DATOS'!$A:$I,3,0),0)</f>
        <v>0</v>
      </c>
      <c r="J433" s="46">
        <f>IFERROR(VLOOKUP($E433,'BASE DE DATOS'!$A:$I,3,0),0)</f>
        <v>0</v>
      </c>
      <c r="K433" s="46">
        <f>IFERROR(VLOOKUP($E692,'BASE DE DATOS'!$A:$I,3,0),0)</f>
        <v>0</v>
      </c>
      <c r="L433" s="46">
        <f>IFERROR(VLOOKUP($E433,'BASE DE DATOS'!$A:$I,3,0),0)</f>
        <v>0</v>
      </c>
    </row>
    <row r="434" spans="4:12" x14ac:dyDescent="0.25">
      <c r="D434" s="46" t="str">
        <f>IFERROR(VLOOKUP($E434,'BASE DE DATOS'!$A:$I,2,0)," ")</f>
        <v xml:space="preserve"> </v>
      </c>
      <c r="F434" s="46">
        <f>IFERROR(VLOOKUP($E447,'BASE DE DATOS'!$A:$I,3,0),0)</f>
        <v>0</v>
      </c>
      <c r="G434" s="46">
        <f>IFERROR(VLOOKUP($E434,'BASE DE DATOS'!$A:$I,3,0),0)</f>
        <v>0</v>
      </c>
      <c r="H434" s="46">
        <f>IFERROR(VLOOKUP($E434,'BASE DE DATOS'!$A:$I,3,0),0)</f>
        <v>0</v>
      </c>
      <c r="I434" s="46">
        <f>IFERROR(VLOOKUP($E434,'BASE DE DATOS'!$A:$I,3,0),0)</f>
        <v>0</v>
      </c>
      <c r="J434" s="46">
        <f>IFERROR(VLOOKUP($E434,'BASE DE DATOS'!$A:$I,3,0),0)</f>
        <v>0</v>
      </c>
      <c r="K434" s="46">
        <f>IFERROR(VLOOKUP($E693,'BASE DE DATOS'!$A:$I,3,0),0)</f>
        <v>0</v>
      </c>
      <c r="L434" s="46">
        <f>IFERROR(VLOOKUP($E434,'BASE DE DATOS'!$A:$I,3,0),0)</f>
        <v>0</v>
      </c>
    </row>
    <row r="435" spans="4:12" x14ac:dyDescent="0.25">
      <c r="D435" s="46" t="str">
        <f>IFERROR(VLOOKUP($E435,'BASE DE DATOS'!$A:$I,2,0)," ")</f>
        <v xml:space="preserve"> </v>
      </c>
      <c r="F435" s="46">
        <f>IFERROR(VLOOKUP($E448,'BASE DE DATOS'!$A:$I,3,0),0)</f>
        <v>0</v>
      </c>
      <c r="G435" s="46">
        <f>IFERROR(VLOOKUP($E435,'BASE DE DATOS'!$A:$I,3,0),0)</f>
        <v>0</v>
      </c>
      <c r="H435" s="46">
        <f>IFERROR(VLOOKUP($E435,'BASE DE DATOS'!$A:$I,3,0),0)</f>
        <v>0</v>
      </c>
      <c r="I435" s="46">
        <f>IFERROR(VLOOKUP($E435,'BASE DE DATOS'!$A:$I,3,0),0)</f>
        <v>0</v>
      </c>
      <c r="J435" s="46">
        <f>IFERROR(VLOOKUP($E435,'BASE DE DATOS'!$A:$I,3,0),0)</f>
        <v>0</v>
      </c>
      <c r="K435" s="46">
        <f>IFERROR(VLOOKUP($E694,'BASE DE DATOS'!$A:$I,3,0),0)</f>
        <v>0</v>
      </c>
      <c r="L435" s="46">
        <f>IFERROR(VLOOKUP($E435,'BASE DE DATOS'!$A:$I,3,0),0)</f>
        <v>0</v>
      </c>
    </row>
    <row r="436" spans="4:12" x14ac:dyDescent="0.25">
      <c r="D436" s="46" t="str">
        <f>IFERROR(VLOOKUP($E436,'BASE DE DATOS'!$A:$I,2,0)," ")</f>
        <v xml:space="preserve"> </v>
      </c>
      <c r="F436" s="46">
        <f>IFERROR(VLOOKUP($E449,'BASE DE DATOS'!$A:$I,3,0),0)</f>
        <v>0</v>
      </c>
      <c r="G436" s="46">
        <f>IFERROR(VLOOKUP($E436,'BASE DE DATOS'!$A:$I,3,0),0)</f>
        <v>0</v>
      </c>
      <c r="H436" s="46">
        <f>IFERROR(VLOOKUP($E436,'BASE DE DATOS'!$A:$I,3,0),0)</f>
        <v>0</v>
      </c>
      <c r="I436" s="46">
        <f>IFERROR(VLOOKUP($E436,'BASE DE DATOS'!$A:$I,3,0),0)</f>
        <v>0</v>
      </c>
      <c r="J436" s="46">
        <f>IFERROR(VLOOKUP($E436,'BASE DE DATOS'!$A:$I,3,0),0)</f>
        <v>0</v>
      </c>
      <c r="K436" s="46">
        <f>IFERROR(VLOOKUP($E695,'BASE DE DATOS'!$A:$I,3,0),0)</f>
        <v>0</v>
      </c>
      <c r="L436" s="46">
        <f>IFERROR(VLOOKUP($E436,'BASE DE DATOS'!$A:$I,3,0),0)</f>
        <v>0</v>
      </c>
    </row>
    <row r="437" spans="4:12" x14ac:dyDescent="0.25">
      <c r="D437" s="46" t="str">
        <f>IFERROR(VLOOKUP($E437,'BASE DE DATOS'!$A:$I,2,0)," ")</f>
        <v xml:space="preserve"> </v>
      </c>
      <c r="F437" s="46">
        <f>IFERROR(VLOOKUP($E450,'BASE DE DATOS'!$A:$I,3,0),0)</f>
        <v>0</v>
      </c>
      <c r="G437" s="46">
        <f>IFERROR(VLOOKUP($E437,'BASE DE DATOS'!$A:$I,3,0),0)</f>
        <v>0</v>
      </c>
      <c r="H437" s="46">
        <f>IFERROR(VLOOKUP($E437,'BASE DE DATOS'!$A:$I,3,0),0)</f>
        <v>0</v>
      </c>
      <c r="I437" s="46">
        <f>IFERROR(VLOOKUP($E437,'BASE DE DATOS'!$A:$I,3,0),0)</f>
        <v>0</v>
      </c>
      <c r="J437" s="46">
        <f>IFERROR(VLOOKUP($E437,'BASE DE DATOS'!$A:$I,3,0),0)</f>
        <v>0</v>
      </c>
      <c r="K437" s="46">
        <f>IFERROR(VLOOKUP($E696,'BASE DE DATOS'!$A:$I,3,0),0)</f>
        <v>0</v>
      </c>
      <c r="L437" s="46">
        <f>IFERROR(VLOOKUP($E437,'BASE DE DATOS'!$A:$I,3,0),0)</f>
        <v>0</v>
      </c>
    </row>
    <row r="438" spans="4:12" x14ac:dyDescent="0.25">
      <c r="D438" s="46" t="str">
        <f>IFERROR(VLOOKUP($E438,'BASE DE DATOS'!$A:$I,2,0)," ")</f>
        <v xml:space="preserve"> </v>
      </c>
      <c r="F438" s="46">
        <f>IFERROR(VLOOKUP($E451,'BASE DE DATOS'!$A:$I,3,0),0)</f>
        <v>0</v>
      </c>
      <c r="G438" s="46">
        <f>IFERROR(VLOOKUP($E438,'BASE DE DATOS'!$A:$I,3,0),0)</f>
        <v>0</v>
      </c>
      <c r="H438" s="46">
        <f>IFERROR(VLOOKUP($E438,'BASE DE DATOS'!$A:$I,3,0),0)</f>
        <v>0</v>
      </c>
      <c r="I438" s="46">
        <f>IFERROR(VLOOKUP($E438,'BASE DE DATOS'!$A:$I,3,0),0)</f>
        <v>0</v>
      </c>
      <c r="J438" s="46">
        <f>IFERROR(VLOOKUP($E438,'BASE DE DATOS'!$A:$I,3,0),0)</f>
        <v>0</v>
      </c>
      <c r="K438" s="46">
        <f>IFERROR(VLOOKUP($E697,'BASE DE DATOS'!$A:$I,3,0),0)</f>
        <v>0</v>
      </c>
      <c r="L438" s="46">
        <f>IFERROR(VLOOKUP($E438,'BASE DE DATOS'!$A:$I,3,0),0)</f>
        <v>0</v>
      </c>
    </row>
    <row r="439" spans="4:12" x14ac:dyDescent="0.25">
      <c r="D439" s="46" t="str">
        <f>IFERROR(VLOOKUP($E439,'BASE DE DATOS'!$A:$I,2,0)," ")</f>
        <v xml:space="preserve"> </v>
      </c>
      <c r="F439" s="46">
        <f>IFERROR(VLOOKUP($E452,'BASE DE DATOS'!$A:$I,3,0),0)</f>
        <v>0</v>
      </c>
      <c r="G439" s="46">
        <f>IFERROR(VLOOKUP($E439,'BASE DE DATOS'!$A:$I,3,0),0)</f>
        <v>0</v>
      </c>
      <c r="H439" s="46">
        <f>IFERROR(VLOOKUP($E439,'BASE DE DATOS'!$A:$I,3,0),0)</f>
        <v>0</v>
      </c>
      <c r="I439" s="46">
        <f>IFERROR(VLOOKUP($E439,'BASE DE DATOS'!$A:$I,3,0),0)</f>
        <v>0</v>
      </c>
      <c r="J439" s="46">
        <f>IFERROR(VLOOKUP($E439,'BASE DE DATOS'!$A:$I,3,0),0)</f>
        <v>0</v>
      </c>
      <c r="K439" s="46">
        <f>IFERROR(VLOOKUP($E698,'BASE DE DATOS'!$A:$I,3,0),0)</f>
        <v>0</v>
      </c>
      <c r="L439" s="46">
        <f>IFERROR(VLOOKUP($E439,'BASE DE DATOS'!$A:$I,3,0),0)</f>
        <v>0</v>
      </c>
    </row>
    <row r="440" spans="4:12" x14ac:dyDescent="0.25">
      <c r="D440" s="46" t="str">
        <f>IFERROR(VLOOKUP($E440,'BASE DE DATOS'!$A:$I,2,0)," ")</f>
        <v xml:space="preserve"> </v>
      </c>
      <c r="F440" s="46">
        <f>IFERROR(VLOOKUP($E453,'BASE DE DATOS'!$A:$I,3,0),0)</f>
        <v>0</v>
      </c>
      <c r="G440" s="46">
        <f>IFERROR(VLOOKUP($E440,'BASE DE DATOS'!$A:$I,3,0),0)</f>
        <v>0</v>
      </c>
      <c r="H440" s="46">
        <f>IFERROR(VLOOKUP($E440,'BASE DE DATOS'!$A:$I,3,0),0)</f>
        <v>0</v>
      </c>
      <c r="I440" s="46">
        <f>IFERROR(VLOOKUP($E440,'BASE DE DATOS'!$A:$I,3,0),0)</f>
        <v>0</v>
      </c>
      <c r="J440" s="46">
        <f>IFERROR(VLOOKUP($E440,'BASE DE DATOS'!$A:$I,3,0),0)</f>
        <v>0</v>
      </c>
      <c r="K440" s="46">
        <f>IFERROR(VLOOKUP($E699,'BASE DE DATOS'!$A:$I,3,0),0)</f>
        <v>0</v>
      </c>
      <c r="L440" s="46">
        <f>IFERROR(VLOOKUP($E440,'BASE DE DATOS'!$A:$I,3,0),0)</f>
        <v>0</v>
      </c>
    </row>
    <row r="441" spans="4:12" x14ac:dyDescent="0.25">
      <c r="D441" s="46" t="str">
        <f>IFERROR(VLOOKUP($E441,'BASE DE DATOS'!$A:$I,2,0)," ")</f>
        <v xml:space="preserve"> </v>
      </c>
      <c r="F441" s="46">
        <f>IFERROR(VLOOKUP($E454,'BASE DE DATOS'!$A:$I,3,0),0)</f>
        <v>0</v>
      </c>
      <c r="G441" s="46">
        <f>IFERROR(VLOOKUP($E441,'BASE DE DATOS'!$A:$I,3,0),0)</f>
        <v>0</v>
      </c>
      <c r="H441" s="46">
        <f>IFERROR(VLOOKUP($E441,'BASE DE DATOS'!$A:$I,3,0),0)</f>
        <v>0</v>
      </c>
      <c r="I441" s="46">
        <f>IFERROR(VLOOKUP($E441,'BASE DE DATOS'!$A:$I,3,0),0)</f>
        <v>0</v>
      </c>
      <c r="J441" s="46">
        <f>IFERROR(VLOOKUP($E441,'BASE DE DATOS'!$A:$I,3,0),0)</f>
        <v>0</v>
      </c>
      <c r="K441" s="46">
        <f>IFERROR(VLOOKUP($E700,'BASE DE DATOS'!$A:$I,3,0),0)</f>
        <v>0</v>
      </c>
      <c r="L441" s="46">
        <f>IFERROR(VLOOKUP($E441,'BASE DE DATOS'!$A:$I,3,0),0)</f>
        <v>0</v>
      </c>
    </row>
    <row r="442" spans="4:12" x14ac:dyDescent="0.25">
      <c r="D442" s="46" t="str">
        <f>IFERROR(VLOOKUP($E442,'BASE DE DATOS'!$A:$I,2,0)," ")</f>
        <v xml:space="preserve"> </v>
      </c>
      <c r="F442" s="46">
        <f>IFERROR(VLOOKUP($E455,'BASE DE DATOS'!$A:$I,3,0),0)</f>
        <v>0</v>
      </c>
      <c r="G442" s="46">
        <f>IFERROR(VLOOKUP($E442,'BASE DE DATOS'!$A:$I,3,0),0)</f>
        <v>0</v>
      </c>
      <c r="H442" s="46">
        <f>IFERROR(VLOOKUP($E442,'BASE DE DATOS'!$A:$I,3,0),0)</f>
        <v>0</v>
      </c>
      <c r="I442" s="46">
        <f>IFERROR(VLOOKUP($E442,'BASE DE DATOS'!$A:$I,3,0),0)</f>
        <v>0</v>
      </c>
      <c r="J442" s="46">
        <f>IFERROR(VLOOKUP($E442,'BASE DE DATOS'!$A:$I,3,0),0)</f>
        <v>0</v>
      </c>
      <c r="K442" s="46">
        <f>IFERROR(VLOOKUP($E701,'BASE DE DATOS'!$A:$I,3,0),0)</f>
        <v>0</v>
      </c>
      <c r="L442" s="46">
        <f>IFERROR(VLOOKUP($E442,'BASE DE DATOS'!$A:$I,3,0),0)</f>
        <v>0</v>
      </c>
    </row>
    <row r="443" spans="4:12" x14ac:dyDescent="0.25">
      <c r="D443" s="46" t="str">
        <f>IFERROR(VLOOKUP($E443,'BASE DE DATOS'!$A:$I,2,0)," ")</f>
        <v xml:space="preserve"> </v>
      </c>
      <c r="F443" s="46">
        <f>IFERROR(VLOOKUP($E456,'BASE DE DATOS'!$A:$I,3,0),0)</f>
        <v>0</v>
      </c>
      <c r="G443" s="46">
        <f>IFERROR(VLOOKUP($E443,'BASE DE DATOS'!$A:$I,3,0),0)</f>
        <v>0</v>
      </c>
      <c r="H443" s="46">
        <f>IFERROR(VLOOKUP($E443,'BASE DE DATOS'!$A:$I,3,0),0)</f>
        <v>0</v>
      </c>
      <c r="I443" s="46">
        <f>IFERROR(VLOOKUP($E443,'BASE DE DATOS'!$A:$I,3,0),0)</f>
        <v>0</v>
      </c>
      <c r="J443" s="46">
        <f>IFERROR(VLOOKUP($E443,'BASE DE DATOS'!$A:$I,3,0),0)</f>
        <v>0</v>
      </c>
      <c r="K443" s="46">
        <f>IFERROR(VLOOKUP($E702,'BASE DE DATOS'!$A:$I,3,0),0)</f>
        <v>0</v>
      </c>
      <c r="L443" s="46">
        <f>IFERROR(VLOOKUP($E443,'BASE DE DATOS'!$A:$I,3,0),0)</f>
        <v>0</v>
      </c>
    </row>
    <row r="444" spans="4:12" x14ac:dyDescent="0.25">
      <c r="D444" s="46" t="str">
        <f>IFERROR(VLOOKUP($E444,'BASE DE DATOS'!$A:$I,2,0)," ")</f>
        <v xml:space="preserve"> </v>
      </c>
      <c r="F444" s="46">
        <f>IFERROR(VLOOKUP($E457,'BASE DE DATOS'!$A:$I,3,0),0)</f>
        <v>0</v>
      </c>
      <c r="G444" s="46">
        <f>IFERROR(VLOOKUP($E444,'BASE DE DATOS'!$A:$I,3,0),0)</f>
        <v>0</v>
      </c>
      <c r="H444" s="46">
        <f>IFERROR(VLOOKUP($E444,'BASE DE DATOS'!$A:$I,3,0),0)</f>
        <v>0</v>
      </c>
      <c r="I444" s="46">
        <f>IFERROR(VLOOKUP($E444,'BASE DE DATOS'!$A:$I,3,0),0)</f>
        <v>0</v>
      </c>
      <c r="J444" s="46">
        <f>IFERROR(VLOOKUP($E444,'BASE DE DATOS'!$A:$I,3,0),0)</f>
        <v>0</v>
      </c>
      <c r="K444" s="46">
        <f>IFERROR(VLOOKUP($E703,'BASE DE DATOS'!$A:$I,3,0),0)</f>
        <v>0</v>
      </c>
      <c r="L444" s="46">
        <f>IFERROR(VLOOKUP($E444,'BASE DE DATOS'!$A:$I,3,0),0)</f>
        <v>0</v>
      </c>
    </row>
    <row r="445" spans="4:12" x14ac:dyDescent="0.25">
      <c r="D445" s="46" t="str">
        <f>IFERROR(VLOOKUP($E445,'BASE DE DATOS'!$A:$I,2,0)," ")</f>
        <v xml:space="preserve"> </v>
      </c>
      <c r="F445" s="46">
        <f>IFERROR(VLOOKUP($E458,'BASE DE DATOS'!$A:$I,3,0),0)</f>
        <v>0</v>
      </c>
      <c r="G445" s="46">
        <f>IFERROR(VLOOKUP($E445,'BASE DE DATOS'!$A:$I,3,0),0)</f>
        <v>0</v>
      </c>
      <c r="H445" s="46">
        <f>IFERROR(VLOOKUP($E445,'BASE DE DATOS'!$A:$I,3,0),0)</f>
        <v>0</v>
      </c>
      <c r="I445" s="46">
        <f>IFERROR(VLOOKUP($E445,'BASE DE DATOS'!$A:$I,3,0),0)</f>
        <v>0</v>
      </c>
      <c r="J445" s="46">
        <f>IFERROR(VLOOKUP($E445,'BASE DE DATOS'!$A:$I,3,0),0)</f>
        <v>0</v>
      </c>
      <c r="K445" s="46">
        <f>IFERROR(VLOOKUP($E704,'BASE DE DATOS'!$A:$I,3,0),0)</f>
        <v>0</v>
      </c>
      <c r="L445" s="46">
        <f>IFERROR(VLOOKUP($E445,'BASE DE DATOS'!$A:$I,3,0),0)</f>
        <v>0</v>
      </c>
    </row>
    <row r="446" spans="4:12" x14ac:dyDescent="0.25">
      <c r="D446" s="46" t="str">
        <f>IFERROR(VLOOKUP($E446,'BASE DE DATOS'!$A:$I,2,0)," ")</f>
        <v xml:space="preserve"> </v>
      </c>
      <c r="F446" s="46">
        <f>IFERROR(VLOOKUP($E459,'BASE DE DATOS'!$A:$I,3,0),0)</f>
        <v>0</v>
      </c>
      <c r="G446" s="46">
        <f>IFERROR(VLOOKUP($E446,'BASE DE DATOS'!$A:$I,3,0),0)</f>
        <v>0</v>
      </c>
      <c r="H446" s="46">
        <f>IFERROR(VLOOKUP($E446,'BASE DE DATOS'!$A:$I,3,0),0)</f>
        <v>0</v>
      </c>
      <c r="I446" s="46">
        <f>IFERROR(VLOOKUP($E446,'BASE DE DATOS'!$A:$I,3,0),0)</f>
        <v>0</v>
      </c>
      <c r="J446" s="46">
        <f>IFERROR(VLOOKUP($E446,'BASE DE DATOS'!$A:$I,3,0),0)</f>
        <v>0</v>
      </c>
      <c r="K446" s="46">
        <f>IFERROR(VLOOKUP($E705,'BASE DE DATOS'!$A:$I,3,0),0)</f>
        <v>0</v>
      </c>
      <c r="L446" s="46">
        <f>IFERROR(VLOOKUP($E446,'BASE DE DATOS'!$A:$I,3,0),0)</f>
        <v>0</v>
      </c>
    </row>
    <row r="447" spans="4:12" x14ac:dyDescent="0.25">
      <c r="D447" s="46" t="str">
        <f>IFERROR(VLOOKUP($E447,'BASE DE DATOS'!$A:$I,2,0)," ")</f>
        <v xml:space="preserve"> </v>
      </c>
      <c r="F447" s="46">
        <f>IFERROR(VLOOKUP($E460,'BASE DE DATOS'!$A:$I,3,0),0)</f>
        <v>0</v>
      </c>
      <c r="G447" s="46">
        <f>IFERROR(VLOOKUP($E447,'BASE DE DATOS'!$A:$I,3,0),0)</f>
        <v>0</v>
      </c>
      <c r="H447" s="46">
        <f>IFERROR(VLOOKUP($E447,'BASE DE DATOS'!$A:$I,3,0),0)</f>
        <v>0</v>
      </c>
      <c r="I447" s="46">
        <f>IFERROR(VLOOKUP($E447,'BASE DE DATOS'!$A:$I,3,0),0)</f>
        <v>0</v>
      </c>
      <c r="J447" s="46">
        <f>IFERROR(VLOOKUP($E447,'BASE DE DATOS'!$A:$I,3,0),0)</f>
        <v>0</v>
      </c>
      <c r="K447" s="46">
        <f>IFERROR(VLOOKUP($E706,'BASE DE DATOS'!$A:$I,3,0),0)</f>
        <v>0</v>
      </c>
      <c r="L447" s="46">
        <f>IFERROR(VLOOKUP($E447,'BASE DE DATOS'!$A:$I,3,0),0)</f>
        <v>0</v>
      </c>
    </row>
    <row r="448" spans="4:12" x14ac:dyDescent="0.25">
      <c r="D448" s="46" t="str">
        <f>IFERROR(VLOOKUP($E448,'BASE DE DATOS'!$A:$I,2,0)," ")</f>
        <v xml:space="preserve"> </v>
      </c>
      <c r="F448" s="46">
        <f>IFERROR(VLOOKUP($E461,'BASE DE DATOS'!$A:$I,3,0),0)</f>
        <v>0</v>
      </c>
      <c r="G448" s="46">
        <f>IFERROR(VLOOKUP($E448,'BASE DE DATOS'!$A:$I,3,0),0)</f>
        <v>0</v>
      </c>
      <c r="H448" s="46">
        <f>IFERROR(VLOOKUP($E448,'BASE DE DATOS'!$A:$I,3,0),0)</f>
        <v>0</v>
      </c>
      <c r="I448" s="46">
        <f>IFERROR(VLOOKUP($E448,'BASE DE DATOS'!$A:$I,3,0),0)</f>
        <v>0</v>
      </c>
      <c r="J448" s="46">
        <f>IFERROR(VLOOKUP($E448,'BASE DE DATOS'!$A:$I,3,0),0)</f>
        <v>0</v>
      </c>
      <c r="K448" s="46">
        <f>IFERROR(VLOOKUP($E707,'BASE DE DATOS'!$A:$I,3,0),0)</f>
        <v>0</v>
      </c>
      <c r="L448" s="46">
        <f>IFERROR(VLOOKUP($E448,'BASE DE DATOS'!$A:$I,3,0),0)</f>
        <v>0</v>
      </c>
    </row>
    <row r="449" spans="4:12" x14ac:dyDescent="0.25">
      <c r="D449" s="46" t="str">
        <f>IFERROR(VLOOKUP($E449,'BASE DE DATOS'!$A:$I,2,0)," ")</f>
        <v xml:space="preserve"> </v>
      </c>
      <c r="F449" s="46">
        <f>IFERROR(VLOOKUP($E462,'BASE DE DATOS'!$A:$I,3,0),0)</f>
        <v>0</v>
      </c>
      <c r="G449" s="46">
        <f>IFERROR(VLOOKUP($E449,'BASE DE DATOS'!$A:$I,3,0),0)</f>
        <v>0</v>
      </c>
      <c r="H449" s="46">
        <f>IFERROR(VLOOKUP($E449,'BASE DE DATOS'!$A:$I,3,0),0)</f>
        <v>0</v>
      </c>
      <c r="I449" s="46">
        <f>IFERROR(VLOOKUP($E449,'BASE DE DATOS'!$A:$I,3,0),0)</f>
        <v>0</v>
      </c>
      <c r="J449" s="46">
        <f>IFERROR(VLOOKUP($E449,'BASE DE DATOS'!$A:$I,3,0),0)</f>
        <v>0</v>
      </c>
      <c r="K449" s="46">
        <f>IFERROR(VLOOKUP($E708,'BASE DE DATOS'!$A:$I,3,0),0)</f>
        <v>0</v>
      </c>
      <c r="L449" s="46">
        <f>IFERROR(VLOOKUP($E449,'BASE DE DATOS'!$A:$I,3,0),0)</f>
        <v>0</v>
      </c>
    </row>
    <row r="450" spans="4:12" x14ac:dyDescent="0.25">
      <c r="D450" s="46" t="str">
        <f>IFERROR(VLOOKUP($E450,'BASE DE DATOS'!$A:$I,2,0)," ")</f>
        <v xml:space="preserve"> </v>
      </c>
      <c r="F450" s="46">
        <f>IFERROR(VLOOKUP($E463,'BASE DE DATOS'!$A:$I,3,0),0)</f>
        <v>0</v>
      </c>
      <c r="G450" s="46">
        <f>IFERROR(VLOOKUP($E450,'BASE DE DATOS'!$A:$I,3,0),0)</f>
        <v>0</v>
      </c>
      <c r="H450" s="46">
        <f>IFERROR(VLOOKUP($E450,'BASE DE DATOS'!$A:$I,3,0),0)</f>
        <v>0</v>
      </c>
      <c r="I450" s="46">
        <f>IFERROR(VLOOKUP($E450,'BASE DE DATOS'!$A:$I,3,0),0)</f>
        <v>0</v>
      </c>
      <c r="J450" s="46">
        <f>IFERROR(VLOOKUP($E450,'BASE DE DATOS'!$A:$I,3,0),0)</f>
        <v>0</v>
      </c>
      <c r="K450" s="46">
        <f>IFERROR(VLOOKUP($E709,'BASE DE DATOS'!$A:$I,3,0),0)</f>
        <v>0</v>
      </c>
      <c r="L450" s="46">
        <f>IFERROR(VLOOKUP($E450,'BASE DE DATOS'!$A:$I,3,0),0)</f>
        <v>0</v>
      </c>
    </row>
    <row r="451" spans="4:12" x14ac:dyDescent="0.25">
      <c r="D451" s="46" t="str">
        <f>IFERROR(VLOOKUP($E451,'BASE DE DATOS'!$A:$I,2,0)," ")</f>
        <v xml:space="preserve"> </v>
      </c>
      <c r="F451" s="46">
        <f>IFERROR(VLOOKUP($E464,'BASE DE DATOS'!$A:$I,3,0),0)</f>
        <v>0</v>
      </c>
      <c r="G451" s="46">
        <f>IFERROR(VLOOKUP($E451,'BASE DE DATOS'!$A:$I,3,0),0)</f>
        <v>0</v>
      </c>
      <c r="H451" s="46">
        <f>IFERROR(VLOOKUP($E451,'BASE DE DATOS'!$A:$I,3,0),0)</f>
        <v>0</v>
      </c>
      <c r="I451" s="46">
        <f>IFERROR(VLOOKUP($E451,'BASE DE DATOS'!$A:$I,3,0),0)</f>
        <v>0</v>
      </c>
      <c r="J451" s="46">
        <f>IFERROR(VLOOKUP($E451,'BASE DE DATOS'!$A:$I,3,0),0)</f>
        <v>0</v>
      </c>
      <c r="K451" s="46">
        <f>IFERROR(VLOOKUP($E710,'BASE DE DATOS'!$A:$I,3,0),0)</f>
        <v>0</v>
      </c>
      <c r="L451" s="46">
        <f>IFERROR(VLOOKUP($E451,'BASE DE DATOS'!$A:$I,3,0),0)</f>
        <v>0</v>
      </c>
    </row>
    <row r="452" spans="4:12" x14ac:dyDescent="0.25">
      <c r="D452" s="46" t="str">
        <f>IFERROR(VLOOKUP($E452,'BASE DE DATOS'!$A:$I,2,0)," ")</f>
        <v xml:space="preserve"> </v>
      </c>
      <c r="F452" s="46">
        <f>IFERROR(VLOOKUP($E465,'BASE DE DATOS'!$A:$I,3,0),0)</f>
        <v>0</v>
      </c>
      <c r="G452" s="46">
        <f>IFERROR(VLOOKUP($E452,'BASE DE DATOS'!$A:$I,3,0),0)</f>
        <v>0</v>
      </c>
      <c r="H452" s="46">
        <f>IFERROR(VLOOKUP($E452,'BASE DE DATOS'!$A:$I,3,0),0)</f>
        <v>0</v>
      </c>
      <c r="I452" s="46">
        <f>IFERROR(VLOOKUP($E452,'BASE DE DATOS'!$A:$I,3,0),0)</f>
        <v>0</v>
      </c>
      <c r="J452" s="46">
        <f>IFERROR(VLOOKUP($E452,'BASE DE DATOS'!$A:$I,3,0),0)</f>
        <v>0</v>
      </c>
      <c r="K452" s="46">
        <f>IFERROR(VLOOKUP($E711,'BASE DE DATOS'!$A:$I,3,0),0)</f>
        <v>0</v>
      </c>
      <c r="L452" s="46">
        <f>IFERROR(VLOOKUP($E452,'BASE DE DATOS'!$A:$I,3,0),0)</f>
        <v>0</v>
      </c>
    </row>
    <row r="453" spans="4:12" x14ac:dyDescent="0.25">
      <c r="D453" s="46" t="str">
        <f>IFERROR(VLOOKUP($E453,'BASE DE DATOS'!$A:$I,2,0)," ")</f>
        <v xml:space="preserve"> </v>
      </c>
      <c r="F453" s="46">
        <f>IFERROR(VLOOKUP($E466,'BASE DE DATOS'!$A:$I,3,0),0)</f>
        <v>0</v>
      </c>
      <c r="G453" s="46">
        <f>IFERROR(VLOOKUP($E453,'BASE DE DATOS'!$A:$I,3,0),0)</f>
        <v>0</v>
      </c>
      <c r="H453" s="46">
        <f>IFERROR(VLOOKUP($E453,'BASE DE DATOS'!$A:$I,3,0),0)</f>
        <v>0</v>
      </c>
      <c r="I453" s="46">
        <f>IFERROR(VLOOKUP($E453,'BASE DE DATOS'!$A:$I,3,0),0)</f>
        <v>0</v>
      </c>
      <c r="J453" s="46">
        <f>IFERROR(VLOOKUP($E453,'BASE DE DATOS'!$A:$I,3,0),0)</f>
        <v>0</v>
      </c>
      <c r="K453" s="46">
        <f>IFERROR(VLOOKUP($E712,'BASE DE DATOS'!$A:$I,3,0),0)</f>
        <v>0</v>
      </c>
      <c r="L453" s="46">
        <f>IFERROR(VLOOKUP($E453,'BASE DE DATOS'!$A:$I,3,0),0)</f>
        <v>0</v>
      </c>
    </row>
    <row r="454" spans="4:12" x14ac:dyDescent="0.25">
      <c r="D454" s="46" t="str">
        <f>IFERROR(VLOOKUP($E454,'BASE DE DATOS'!$A:$I,2,0)," ")</f>
        <v xml:space="preserve"> </v>
      </c>
      <c r="F454" s="46">
        <f>IFERROR(VLOOKUP($E467,'BASE DE DATOS'!$A:$I,3,0),0)</f>
        <v>0</v>
      </c>
      <c r="G454" s="46">
        <f>IFERROR(VLOOKUP($E454,'BASE DE DATOS'!$A:$I,3,0),0)</f>
        <v>0</v>
      </c>
      <c r="H454" s="46">
        <f>IFERROR(VLOOKUP($E454,'BASE DE DATOS'!$A:$I,3,0),0)</f>
        <v>0</v>
      </c>
      <c r="I454" s="46">
        <f>IFERROR(VLOOKUP($E454,'BASE DE DATOS'!$A:$I,3,0),0)</f>
        <v>0</v>
      </c>
      <c r="J454" s="46">
        <f>IFERROR(VLOOKUP($E454,'BASE DE DATOS'!$A:$I,3,0),0)</f>
        <v>0</v>
      </c>
      <c r="K454" s="46">
        <f>IFERROR(VLOOKUP($E713,'BASE DE DATOS'!$A:$I,3,0),0)</f>
        <v>0</v>
      </c>
      <c r="L454" s="46">
        <f>IFERROR(VLOOKUP($E454,'BASE DE DATOS'!$A:$I,3,0),0)</f>
        <v>0</v>
      </c>
    </row>
    <row r="455" spans="4:12" x14ac:dyDescent="0.25">
      <c r="D455" s="46" t="str">
        <f>IFERROR(VLOOKUP($E455,'BASE DE DATOS'!$A:$I,2,0)," ")</f>
        <v xml:space="preserve"> </v>
      </c>
      <c r="F455" s="46">
        <f>IFERROR(VLOOKUP($E468,'BASE DE DATOS'!$A:$I,3,0),0)</f>
        <v>0</v>
      </c>
      <c r="G455" s="46">
        <f>IFERROR(VLOOKUP($E455,'BASE DE DATOS'!$A:$I,3,0),0)</f>
        <v>0</v>
      </c>
      <c r="H455" s="46">
        <f>IFERROR(VLOOKUP($E455,'BASE DE DATOS'!$A:$I,3,0),0)</f>
        <v>0</v>
      </c>
      <c r="I455" s="46">
        <f>IFERROR(VLOOKUP($E455,'BASE DE DATOS'!$A:$I,3,0),0)</f>
        <v>0</v>
      </c>
      <c r="J455" s="46">
        <f>IFERROR(VLOOKUP($E455,'BASE DE DATOS'!$A:$I,3,0),0)</f>
        <v>0</v>
      </c>
      <c r="K455" s="46">
        <f>IFERROR(VLOOKUP($E714,'BASE DE DATOS'!$A:$I,3,0),0)</f>
        <v>0</v>
      </c>
      <c r="L455" s="46">
        <f>IFERROR(VLOOKUP($E455,'BASE DE DATOS'!$A:$I,3,0),0)</f>
        <v>0</v>
      </c>
    </row>
    <row r="456" spans="4:12" x14ac:dyDescent="0.25">
      <c r="D456" s="46" t="str">
        <f>IFERROR(VLOOKUP($E456,'BASE DE DATOS'!$A:$I,2,0)," ")</f>
        <v xml:space="preserve"> </v>
      </c>
      <c r="F456" s="46">
        <f>IFERROR(VLOOKUP($E469,'BASE DE DATOS'!$A:$I,3,0),0)</f>
        <v>0</v>
      </c>
      <c r="G456" s="46">
        <f>IFERROR(VLOOKUP($E456,'BASE DE DATOS'!$A:$I,3,0),0)</f>
        <v>0</v>
      </c>
      <c r="H456" s="46">
        <f>IFERROR(VLOOKUP($E456,'BASE DE DATOS'!$A:$I,3,0),0)</f>
        <v>0</v>
      </c>
      <c r="I456" s="46">
        <f>IFERROR(VLOOKUP($E456,'BASE DE DATOS'!$A:$I,3,0),0)</f>
        <v>0</v>
      </c>
      <c r="J456" s="46">
        <f>IFERROR(VLOOKUP($E456,'BASE DE DATOS'!$A:$I,3,0),0)</f>
        <v>0</v>
      </c>
      <c r="K456" s="46">
        <f>IFERROR(VLOOKUP($E715,'BASE DE DATOS'!$A:$I,3,0),0)</f>
        <v>0</v>
      </c>
      <c r="L456" s="46">
        <f>IFERROR(VLOOKUP($E456,'BASE DE DATOS'!$A:$I,3,0),0)</f>
        <v>0</v>
      </c>
    </row>
    <row r="457" spans="4:12" x14ac:dyDescent="0.25">
      <c r="D457" s="46" t="str">
        <f>IFERROR(VLOOKUP($E457,'BASE DE DATOS'!$A:$I,2,0)," ")</f>
        <v xml:space="preserve"> </v>
      </c>
      <c r="F457" s="46">
        <f>IFERROR(VLOOKUP($E470,'BASE DE DATOS'!$A:$I,3,0),0)</f>
        <v>0</v>
      </c>
      <c r="G457" s="46">
        <f>IFERROR(VLOOKUP($E457,'BASE DE DATOS'!$A:$I,3,0),0)</f>
        <v>0</v>
      </c>
      <c r="H457" s="46">
        <f>IFERROR(VLOOKUP($E457,'BASE DE DATOS'!$A:$I,3,0),0)</f>
        <v>0</v>
      </c>
      <c r="I457" s="46">
        <f>IFERROR(VLOOKUP($E457,'BASE DE DATOS'!$A:$I,3,0),0)</f>
        <v>0</v>
      </c>
      <c r="J457" s="46">
        <f>IFERROR(VLOOKUP($E457,'BASE DE DATOS'!$A:$I,3,0),0)</f>
        <v>0</v>
      </c>
      <c r="K457" s="46">
        <f>IFERROR(VLOOKUP($E716,'BASE DE DATOS'!$A:$I,3,0),0)</f>
        <v>0</v>
      </c>
      <c r="L457" s="46">
        <f>IFERROR(VLOOKUP($E457,'BASE DE DATOS'!$A:$I,3,0),0)</f>
        <v>0</v>
      </c>
    </row>
    <row r="458" spans="4:12" x14ac:dyDescent="0.25">
      <c r="D458" s="46" t="str">
        <f>IFERROR(VLOOKUP($E458,'BASE DE DATOS'!$A:$I,2,0)," ")</f>
        <v xml:space="preserve"> </v>
      </c>
      <c r="F458" s="46">
        <f>IFERROR(VLOOKUP($E471,'BASE DE DATOS'!$A:$I,3,0),0)</f>
        <v>0</v>
      </c>
      <c r="G458" s="46">
        <f>IFERROR(VLOOKUP($E458,'BASE DE DATOS'!$A:$I,3,0),0)</f>
        <v>0</v>
      </c>
      <c r="H458" s="46">
        <f>IFERROR(VLOOKUP($E458,'BASE DE DATOS'!$A:$I,3,0),0)</f>
        <v>0</v>
      </c>
      <c r="I458" s="46">
        <f>IFERROR(VLOOKUP($E458,'BASE DE DATOS'!$A:$I,3,0),0)</f>
        <v>0</v>
      </c>
      <c r="J458" s="46">
        <f>IFERROR(VLOOKUP($E458,'BASE DE DATOS'!$A:$I,3,0),0)</f>
        <v>0</v>
      </c>
      <c r="K458" s="46">
        <f>IFERROR(VLOOKUP($E717,'BASE DE DATOS'!$A:$I,3,0),0)</f>
        <v>0</v>
      </c>
      <c r="L458" s="46">
        <f>IFERROR(VLOOKUP($E458,'BASE DE DATOS'!$A:$I,3,0),0)</f>
        <v>0</v>
      </c>
    </row>
    <row r="459" spans="4:12" x14ac:dyDescent="0.25">
      <c r="D459" s="46" t="str">
        <f>IFERROR(VLOOKUP($E459,'BASE DE DATOS'!$A:$I,2,0)," ")</f>
        <v xml:space="preserve"> </v>
      </c>
      <c r="F459" s="46">
        <f>IFERROR(VLOOKUP($E472,'BASE DE DATOS'!$A:$I,3,0),0)</f>
        <v>0</v>
      </c>
      <c r="G459" s="46">
        <f>IFERROR(VLOOKUP($E459,'BASE DE DATOS'!$A:$I,3,0),0)</f>
        <v>0</v>
      </c>
      <c r="H459" s="46">
        <f>IFERROR(VLOOKUP($E459,'BASE DE DATOS'!$A:$I,3,0),0)</f>
        <v>0</v>
      </c>
      <c r="I459" s="46">
        <f>IFERROR(VLOOKUP($E459,'BASE DE DATOS'!$A:$I,3,0),0)</f>
        <v>0</v>
      </c>
      <c r="J459" s="46">
        <f>IFERROR(VLOOKUP($E459,'BASE DE DATOS'!$A:$I,3,0),0)</f>
        <v>0</v>
      </c>
      <c r="K459" s="46">
        <f>IFERROR(VLOOKUP($E718,'BASE DE DATOS'!$A:$I,3,0),0)</f>
        <v>0</v>
      </c>
      <c r="L459" s="46">
        <f>IFERROR(VLOOKUP($E459,'BASE DE DATOS'!$A:$I,3,0),0)</f>
        <v>0</v>
      </c>
    </row>
    <row r="460" spans="4:12" x14ac:dyDescent="0.25">
      <c r="D460" s="46" t="str">
        <f>IFERROR(VLOOKUP($E460,'BASE DE DATOS'!$A:$I,2,0)," ")</f>
        <v xml:space="preserve"> </v>
      </c>
      <c r="F460" s="46">
        <f>IFERROR(VLOOKUP($E473,'BASE DE DATOS'!$A:$I,3,0),0)</f>
        <v>0</v>
      </c>
      <c r="G460" s="46">
        <f>IFERROR(VLOOKUP($E460,'BASE DE DATOS'!$A:$I,3,0),0)</f>
        <v>0</v>
      </c>
      <c r="H460" s="46">
        <f>IFERROR(VLOOKUP($E460,'BASE DE DATOS'!$A:$I,3,0),0)</f>
        <v>0</v>
      </c>
      <c r="I460" s="46">
        <f>IFERROR(VLOOKUP($E460,'BASE DE DATOS'!$A:$I,3,0),0)</f>
        <v>0</v>
      </c>
      <c r="J460" s="46">
        <f>IFERROR(VLOOKUP($E460,'BASE DE DATOS'!$A:$I,3,0),0)</f>
        <v>0</v>
      </c>
      <c r="K460" s="46">
        <f>IFERROR(VLOOKUP($E719,'BASE DE DATOS'!$A:$I,3,0),0)</f>
        <v>0</v>
      </c>
      <c r="L460" s="46">
        <f>IFERROR(VLOOKUP($E460,'BASE DE DATOS'!$A:$I,3,0),0)</f>
        <v>0</v>
      </c>
    </row>
    <row r="461" spans="4:12" x14ac:dyDescent="0.25">
      <c r="D461" s="46" t="str">
        <f>IFERROR(VLOOKUP($E461,'BASE DE DATOS'!$A:$I,2,0)," ")</f>
        <v xml:space="preserve"> </v>
      </c>
      <c r="F461" s="46">
        <f>IFERROR(VLOOKUP($E474,'BASE DE DATOS'!$A:$I,3,0),0)</f>
        <v>0</v>
      </c>
      <c r="G461" s="46">
        <f>IFERROR(VLOOKUP($E461,'BASE DE DATOS'!$A:$I,3,0),0)</f>
        <v>0</v>
      </c>
      <c r="H461" s="46">
        <f>IFERROR(VLOOKUP($E461,'BASE DE DATOS'!$A:$I,3,0),0)</f>
        <v>0</v>
      </c>
      <c r="I461" s="46">
        <f>IFERROR(VLOOKUP($E461,'BASE DE DATOS'!$A:$I,3,0),0)</f>
        <v>0</v>
      </c>
      <c r="J461" s="46">
        <f>IFERROR(VLOOKUP($E461,'BASE DE DATOS'!$A:$I,3,0),0)</f>
        <v>0</v>
      </c>
      <c r="K461" s="46">
        <f>IFERROR(VLOOKUP($E720,'BASE DE DATOS'!$A:$I,3,0),0)</f>
        <v>0</v>
      </c>
      <c r="L461" s="46">
        <f>IFERROR(VLOOKUP($E461,'BASE DE DATOS'!$A:$I,3,0),0)</f>
        <v>0</v>
      </c>
    </row>
    <row r="462" spans="4:12" x14ac:dyDescent="0.25">
      <c r="D462" s="46" t="str">
        <f>IFERROR(VLOOKUP($E462,'BASE DE DATOS'!$A:$I,2,0)," ")</f>
        <v xml:space="preserve"> </v>
      </c>
      <c r="F462" s="46">
        <f>IFERROR(VLOOKUP($E475,'BASE DE DATOS'!$A:$I,3,0),0)</f>
        <v>0</v>
      </c>
      <c r="G462" s="46">
        <f>IFERROR(VLOOKUP($E462,'BASE DE DATOS'!$A:$I,3,0),0)</f>
        <v>0</v>
      </c>
      <c r="H462" s="46">
        <f>IFERROR(VLOOKUP($E462,'BASE DE DATOS'!$A:$I,3,0),0)</f>
        <v>0</v>
      </c>
      <c r="I462" s="46">
        <f>IFERROR(VLOOKUP($E462,'BASE DE DATOS'!$A:$I,3,0),0)</f>
        <v>0</v>
      </c>
      <c r="J462" s="46">
        <f>IFERROR(VLOOKUP($E462,'BASE DE DATOS'!$A:$I,3,0),0)</f>
        <v>0</v>
      </c>
      <c r="K462" s="46">
        <f>IFERROR(VLOOKUP($E721,'BASE DE DATOS'!$A:$I,3,0),0)</f>
        <v>0</v>
      </c>
      <c r="L462" s="46">
        <f>IFERROR(VLOOKUP($E462,'BASE DE DATOS'!$A:$I,3,0),0)</f>
        <v>0</v>
      </c>
    </row>
    <row r="463" spans="4:12" x14ac:dyDescent="0.25">
      <c r="D463" s="46" t="str">
        <f>IFERROR(VLOOKUP($E463,'BASE DE DATOS'!$A:$I,2,0)," ")</f>
        <v xml:space="preserve"> </v>
      </c>
      <c r="F463" s="46">
        <f>IFERROR(VLOOKUP($E476,'BASE DE DATOS'!$A:$I,3,0),0)</f>
        <v>0</v>
      </c>
      <c r="G463" s="46">
        <f>IFERROR(VLOOKUP($E463,'BASE DE DATOS'!$A:$I,3,0),0)</f>
        <v>0</v>
      </c>
      <c r="H463" s="46">
        <f>IFERROR(VLOOKUP($E463,'BASE DE DATOS'!$A:$I,3,0),0)</f>
        <v>0</v>
      </c>
      <c r="I463" s="46">
        <f>IFERROR(VLOOKUP($E463,'BASE DE DATOS'!$A:$I,3,0),0)</f>
        <v>0</v>
      </c>
      <c r="J463" s="46">
        <f>IFERROR(VLOOKUP($E463,'BASE DE DATOS'!$A:$I,3,0),0)</f>
        <v>0</v>
      </c>
      <c r="K463" s="46">
        <f>IFERROR(VLOOKUP($E722,'BASE DE DATOS'!$A:$I,3,0),0)</f>
        <v>0</v>
      </c>
      <c r="L463" s="46">
        <f>IFERROR(VLOOKUP($E463,'BASE DE DATOS'!$A:$I,3,0),0)</f>
        <v>0</v>
      </c>
    </row>
    <row r="464" spans="4:12" x14ac:dyDescent="0.25">
      <c r="D464" s="46" t="str">
        <f>IFERROR(VLOOKUP($E464,'BASE DE DATOS'!$A:$I,2,0)," ")</f>
        <v xml:space="preserve"> </v>
      </c>
      <c r="F464" s="46">
        <f>IFERROR(VLOOKUP($E477,'BASE DE DATOS'!$A:$I,3,0),0)</f>
        <v>0</v>
      </c>
      <c r="G464" s="46">
        <f>IFERROR(VLOOKUP($E464,'BASE DE DATOS'!$A:$I,3,0),0)</f>
        <v>0</v>
      </c>
      <c r="H464" s="46">
        <f>IFERROR(VLOOKUP($E464,'BASE DE DATOS'!$A:$I,3,0),0)</f>
        <v>0</v>
      </c>
      <c r="I464" s="46">
        <f>IFERROR(VLOOKUP($E464,'BASE DE DATOS'!$A:$I,3,0),0)</f>
        <v>0</v>
      </c>
      <c r="J464" s="46">
        <f>IFERROR(VLOOKUP($E464,'BASE DE DATOS'!$A:$I,3,0),0)</f>
        <v>0</v>
      </c>
      <c r="K464" s="46">
        <f>IFERROR(VLOOKUP($E723,'BASE DE DATOS'!$A:$I,3,0),0)</f>
        <v>0</v>
      </c>
      <c r="L464" s="46">
        <f>IFERROR(VLOOKUP($E464,'BASE DE DATOS'!$A:$I,3,0),0)</f>
        <v>0</v>
      </c>
    </row>
    <row r="465" spans="4:12" x14ac:dyDescent="0.25">
      <c r="D465" s="46" t="str">
        <f>IFERROR(VLOOKUP($E465,'BASE DE DATOS'!$A:$I,2,0)," ")</f>
        <v xml:space="preserve"> </v>
      </c>
      <c r="F465" s="46">
        <f>IFERROR(VLOOKUP($E478,'BASE DE DATOS'!$A:$I,3,0),0)</f>
        <v>0</v>
      </c>
      <c r="G465" s="46">
        <f>IFERROR(VLOOKUP($E465,'BASE DE DATOS'!$A:$I,3,0),0)</f>
        <v>0</v>
      </c>
      <c r="H465" s="46">
        <f>IFERROR(VLOOKUP($E465,'BASE DE DATOS'!$A:$I,3,0),0)</f>
        <v>0</v>
      </c>
      <c r="I465" s="46">
        <f>IFERROR(VLOOKUP($E465,'BASE DE DATOS'!$A:$I,3,0),0)</f>
        <v>0</v>
      </c>
      <c r="J465" s="46">
        <f>IFERROR(VLOOKUP($E465,'BASE DE DATOS'!$A:$I,3,0),0)</f>
        <v>0</v>
      </c>
      <c r="K465" s="46">
        <f>IFERROR(VLOOKUP($E724,'BASE DE DATOS'!$A:$I,3,0),0)</f>
        <v>0</v>
      </c>
      <c r="L465" s="46">
        <f>IFERROR(VLOOKUP($E465,'BASE DE DATOS'!$A:$I,3,0),0)</f>
        <v>0</v>
      </c>
    </row>
    <row r="466" spans="4:12" x14ac:dyDescent="0.25">
      <c r="D466" s="46" t="str">
        <f>IFERROR(VLOOKUP($E466,'BASE DE DATOS'!$A:$I,2,0)," ")</f>
        <v xml:space="preserve"> </v>
      </c>
      <c r="F466" s="46">
        <f>IFERROR(VLOOKUP($E479,'BASE DE DATOS'!$A:$I,3,0),0)</f>
        <v>0</v>
      </c>
      <c r="G466" s="46">
        <f>IFERROR(VLOOKUP($E466,'BASE DE DATOS'!$A:$I,3,0),0)</f>
        <v>0</v>
      </c>
      <c r="H466" s="46">
        <f>IFERROR(VLOOKUP($E466,'BASE DE DATOS'!$A:$I,3,0),0)</f>
        <v>0</v>
      </c>
      <c r="I466" s="46">
        <f>IFERROR(VLOOKUP($E466,'BASE DE DATOS'!$A:$I,3,0),0)</f>
        <v>0</v>
      </c>
      <c r="J466" s="46">
        <f>IFERROR(VLOOKUP($E466,'BASE DE DATOS'!$A:$I,3,0),0)</f>
        <v>0</v>
      </c>
      <c r="K466" s="46">
        <f>IFERROR(VLOOKUP($E725,'BASE DE DATOS'!$A:$I,3,0),0)</f>
        <v>0</v>
      </c>
      <c r="L466" s="46">
        <f>IFERROR(VLOOKUP($E466,'BASE DE DATOS'!$A:$I,3,0),0)</f>
        <v>0</v>
      </c>
    </row>
    <row r="467" spans="4:12" x14ac:dyDescent="0.25">
      <c r="D467" s="46" t="str">
        <f>IFERROR(VLOOKUP($E467,'BASE DE DATOS'!$A:$I,2,0)," ")</f>
        <v xml:space="preserve"> </v>
      </c>
      <c r="F467" s="46">
        <f>IFERROR(VLOOKUP($E480,'BASE DE DATOS'!$A:$I,3,0),0)</f>
        <v>0</v>
      </c>
      <c r="G467" s="46">
        <f>IFERROR(VLOOKUP($E467,'BASE DE DATOS'!$A:$I,3,0),0)</f>
        <v>0</v>
      </c>
      <c r="H467" s="46">
        <f>IFERROR(VLOOKUP($E467,'BASE DE DATOS'!$A:$I,3,0),0)</f>
        <v>0</v>
      </c>
      <c r="I467" s="46">
        <f>IFERROR(VLOOKUP($E467,'BASE DE DATOS'!$A:$I,3,0),0)</f>
        <v>0</v>
      </c>
      <c r="J467" s="46">
        <f>IFERROR(VLOOKUP($E467,'BASE DE DATOS'!$A:$I,3,0),0)</f>
        <v>0</v>
      </c>
      <c r="K467" s="46">
        <f>IFERROR(VLOOKUP($E726,'BASE DE DATOS'!$A:$I,3,0),0)</f>
        <v>0</v>
      </c>
      <c r="L467" s="46">
        <f>IFERROR(VLOOKUP($E467,'BASE DE DATOS'!$A:$I,3,0),0)</f>
        <v>0</v>
      </c>
    </row>
    <row r="468" spans="4:12" x14ac:dyDescent="0.25">
      <c r="D468" s="46" t="str">
        <f>IFERROR(VLOOKUP($E468,'BASE DE DATOS'!$A:$I,2,0)," ")</f>
        <v xml:space="preserve"> </v>
      </c>
      <c r="F468" s="46">
        <f>IFERROR(VLOOKUP($E481,'BASE DE DATOS'!$A:$I,3,0),0)</f>
        <v>0</v>
      </c>
      <c r="G468" s="46">
        <f>IFERROR(VLOOKUP($E468,'BASE DE DATOS'!$A:$I,3,0),0)</f>
        <v>0</v>
      </c>
      <c r="H468" s="46">
        <f>IFERROR(VLOOKUP($E468,'BASE DE DATOS'!$A:$I,3,0),0)</f>
        <v>0</v>
      </c>
      <c r="I468" s="46">
        <f>IFERROR(VLOOKUP($E468,'BASE DE DATOS'!$A:$I,3,0),0)</f>
        <v>0</v>
      </c>
      <c r="J468" s="46">
        <f>IFERROR(VLOOKUP($E468,'BASE DE DATOS'!$A:$I,3,0),0)</f>
        <v>0</v>
      </c>
      <c r="K468" s="46">
        <f>IFERROR(VLOOKUP($E727,'BASE DE DATOS'!$A:$I,3,0),0)</f>
        <v>0</v>
      </c>
      <c r="L468" s="46">
        <f>IFERROR(VLOOKUP($E468,'BASE DE DATOS'!$A:$I,3,0),0)</f>
        <v>0</v>
      </c>
    </row>
    <row r="469" spans="4:12" x14ac:dyDescent="0.25">
      <c r="D469" s="46" t="str">
        <f>IFERROR(VLOOKUP($E469,'BASE DE DATOS'!$A:$I,2,0)," ")</f>
        <v xml:space="preserve"> </v>
      </c>
      <c r="F469" s="46">
        <f>IFERROR(VLOOKUP($E482,'BASE DE DATOS'!$A:$I,3,0),0)</f>
        <v>0</v>
      </c>
      <c r="G469" s="46">
        <f>IFERROR(VLOOKUP($E469,'BASE DE DATOS'!$A:$I,3,0),0)</f>
        <v>0</v>
      </c>
      <c r="H469" s="46">
        <f>IFERROR(VLOOKUP($E469,'BASE DE DATOS'!$A:$I,3,0),0)</f>
        <v>0</v>
      </c>
      <c r="I469" s="46">
        <f>IFERROR(VLOOKUP($E469,'BASE DE DATOS'!$A:$I,3,0),0)</f>
        <v>0</v>
      </c>
      <c r="J469" s="46">
        <f>IFERROR(VLOOKUP($E469,'BASE DE DATOS'!$A:$I,3,0),0)</f>
        <v>0</v>
      </c>
      <c r="K469" s="46">
        <f>IFERROR(VLOOKUP($E728,'BASE DE DATOS'!$A:$I,3,0),0)</f>
        <v>0</v>
      </c>
      <c r="L469" s="46">
        <f>IFERROR(VLOOKUP($E469,'BASE DE DATOS'!$A:$I,3,0),0)</f>
        <v>0</v>
      </c>
    </row>
    <row r="470" spans="4:12" x14ac:dyDescent="0.25">
      <c r="D470" s="46" t="str">
        <f>IFERROR(VLOOKUP($E470,'BASE DE DATOS'!$A:$I,2,0)," ")</f>
        <v xml:space="preserve"> </v>
      </c>
      <c r="F470" s="46">
        <f>IFERROR(VLOOKUP($E483,'BASE DE DATOS'!$A:$I,3,0),0)</f>
        <v>0</v>
      </c>
      <c r="G470" s="46">
        <f>IFERROR(VLOOKUP($E470,'BASE DE DATOS'!$A:$I,3,0),0)</f>
        <v>0</v>
      </c>
      <c r="H470" s="46">
        <f>IFERROR(VLOOKUP($E470,'BASE DE DATOS'!$A:$I,3,0),0)</f>
        <v>0</v>
      </c>
      <c r="I470" s="46">
        <f>IFERROR(VLOOKUP($E470,'BASE DE DATOS'!$A:$I,3,0),0)</f>
        <v>0</v>
      </c>
      <c r="J470" s="46">
        <f>IFERROR(VLOOKUP($E470,'BASE DE DATOS'!$A:$I,3,0),0)</f>
        <v>0</v>
      </c>
      <c r="K470" s="46">
        <f>IFERROR(VLOOKUP($E729,'BASE DE DATOS'!$A:$I,3,0),0)</f>
        <v>0</v>
      </c>
      <c r="L470" s="46">
        <f>IFERROR(VLOOKUP($E470,'BASE DE DATOS'!$A:$I,3,0),0)</f>
        <v>0</v>
      </c>
    </row>
    <row r="471" spans="4:12" x14ac:dyDescent="0.25">
      <c r="D471" s="46" t="str">
        <f>IFERROR(VLOOKUP($E471,'BASE DE DATOS'!$A:$I,2,0)," ")</f>
        <v xml:space="preserve"> </v>
      </c>
      <c r="F471" s="46">
        <f>IFERROR(VLOOKUP($E484,'BASE DE DATOS'!$A:$I,3,0),0)</f>
        <v>0</v>
      </c>
      <c r="G471" s="46">
        <f>IFERROR(VLOOKUP($E471,'BASE DE DATOS'!$A:$I,3,0),0)</f>
        <v>0</v>
      </c>
      <c r="H471" s="46">
        <f>IFERROR(VLOOKUP($E471,'BASE DE DATOS'!$A:$I,3,0),0)</f>
        <v>0</v>
      </c>
      <c r="I471" s="46">
        <f>IFERROR(VLOOKUP($E471,'BASE DE DATOS'!$A:$I,3,0),0)</f>
        <v>0</v>
      </c>
      <c r="J471" s="46">
        <f>IFERROR(VLOOKUP($E471,'BASE DE DATOS'!$A:$I,3,0),0)</f>
        <v>0</v>
      </c>
      <c r="K471" s="46">
        <f>IFERROR(VLOOKUP($E730,'BASE DE DATOS'!$A:$I,3,0),0)</f>
        <v>0</v>
      </c>
      <c r="L471" s="46">
        <f>IFERROR(VLOOKUP($E471,'BASE DE DATOS'!$A:$I,3,0),0)</f>
        <v>0</v>
      </c>
    </row>
    <row r="472" spans="4:12" x14ac:dyDescent="0.25">
      <c r="D472" s="46" t="str">
        <f>IFERROR(VLOOKUP($E472,'BASE DE DATOS'!$A:$I,2,0)," ")</f>
        <v xml:space="preserve"> </v>
      </c>
      <c r="F472" s="46">
        <f>IFERROR(VLOOKUP($E485,'BASE DE DATOS'!$A:$I,3,0),0)</f>
        <v>0</v>
      </c>
      <c r="G472" s="46">
        <f>IFERROR(VLOOKUP($E472,'BASE DE DATOS'!$A:$I,3,0),0)</f>
        <v>0</v>
      </c>
      <c r="H472" s="46">
        <f>IFERROR(VLOOKUP($E472,'BASE DE DATOS'!$A:$I,3,0),0)</f>
        <v>0</v>
      </c>
      <c r="I472" s="46">
        <f>IFERROR(VLOOKUP($E472,'BASE DE DATOS'!$A:$I,3,0),0)</f>
        <v>0</v>
      </c>
      <c r="J472" s="46">
        <f>IFERROR(VLOOKUP($E472,'BASE DE DATOS'!$A:$I,3,0),0)</f>
        <v>0</v>
      </c>
      <c r="K472" s="46">
        <f>IFERROR(VLOOKUP($E731,'BASE DE DATOS'!$A:$I,3,0),0)</f>
        <v>0</v>
      </c>
      <c r="L472" s="46">
        <f>IFERROR(VLOOKUP($E472,'BASE DE DATOS'!$A:$I,3,0),0)</f>
        <v>0</v>
      </c>
    </row>
    <row r="473" spans="4:12" x14ac:dyDescent="0.25">
      <c r="D473" s="46" t="str">
        <f>IFERROR(VLOOKUP($E473,'BASE DE DATOS'!$A:$I,2,0)," ")</f>
        <v xml:space="preserve"> </v>
      </c>
      <c r="F473" s="46">
        <f>IFERROR(VLOOKUP($E486,'BASE DE DATOS'!$A:$I,3,0),0)</f>
        <v>0</v>
      </c>
      <c r="G473" s="46">
        <f>IFERROR(VLOOKUP($E473,'BASE DE DATOS'!$A:$I,3,0),0)</f>
        <v>0</v>
      </c>
      <c r="H473" s="46">
        <f>IFERROR(VLOOKUP($E473,'BASE DE DATOS'!$A:$I,3,0),0)</f>
        <v>0</v>
      </c>
      <c r="I473" s="46">
        <f>IFERROR(VLOOKUP($E473,'BASE DE DATOS'!$A:$I,3,0),0)</f>
        <v>0</v>
      </c>
      <c r="J473" s="46">
        <f>IFERROR(VLOOKUP($E473,'BASE DE DATOS'!$A:$I,3,0),0)</f>
        <v>0</v>
      </c>
      <c r="K473" s="46">
        <f>IFERROR(VLOOKUP($E732,'BASE DE DATOS'!$A:$I,3,0),0)</f>
        <v>0</v>
      </c>
      <c r="L473" s="46">
        <f>IFERROR(VLOOKUP($E473,'BASE DE DATOS'!$A:$I,3,0),0)</f>
        <v>0</v>
      </c>
    </row>
    <row r="474" spans="4:12" x14ac:dyDescent="0.25">
      <c r="D474" s="46" t="str">
        <f>IFERROR(VLOOKUP($E474,'BASE DE DATOS'!$A:$I,2,0)," ")</f>
        <v xml:space="preserve"> </v>
      </c>
      <c r="F474" s="46">
        <f>IFERROR(VLOOKUP($E487,'BASE DE DATOS'!$A:$I,3,0),0)</f>
        <v>0</v>
      </c>
      <c r="G474" s="46">
        <f>IFERROR(VLOOKUP($E474,'BASE DE DATOS'!$A:$I,3,0),0)</f>
        <v>0</v>
      </c>
      <c r="H474" s="46">
        <f>IFERROR(VLOOKUP($E474,'BASE DE DATOS'!$A:$I,3,0),0)</f>
        <v>0</v>
      </c>
      <c r="I474" s="46">
        <f>IFERROR(VLOOKUP($E474,'BASE DE DATOS'!$A:$I,3,0),0)</f>
        <v>0</v>
      </c>
      <c r="J474" s="46">
        <f>IFERROR(VLOOKUP($E474,'BASE DE DATOS'!$A:$I,3,0),0)</f>
        <v>0</v>
      </c>
      <c r="K474" s="46">
        <f>IFERROR(VLOOKUP($E733,'BASE DE DATOS'!$A:$I,3,0),0)</f>
        <v>0</v>
      </c>
      <c r="L474" s="46">
        <f>IFERROR(VLOOKUP($E474,'BASE DE DATOS'!$A:$I,3,0),0)</f>
        <v>0</v>
      </c>
    </row>
    <row r="475" spans="4:12" x14ac:dyDescent="0.25">
      <c r="D475" s="46" t="str">
        <f>IFERROR(VLOOKUP($E475,'BASE DE DATOS'!$A:$I,2,0)," ")</f>
        <v xml:space="preserve"> </v>
      </c>
      <c r="F475" s="46">
        <f>IFERROR(VLOOKUP($E488,'BASE DE DATOS'!$A:$I,3,0),0)</f>
        <v>0</v>
      </c>
      <c r="G475" s="46">
        <f>IFERROR(VLOOKUP($E475,'BASE DE DATOS'!$A:$I,3,0),0)</f>
        <v>0</v>
      </c>
      <c r="H475" s="46">
        <f>IFERROR(VLOOKUP($E475,'BASE DE DATOS'!$A:$I,3,0),0)</f>
        <v>0</v>
      </c>
      <c r="I475" s="46">
        <f>IFERROR(VLOOKUP($E475,'BASE DE DATOS'!$A:$I,3,0),0)</f>
        <v>0</v>
      </c>
      <c r="J475" s="46">
        <f>IFERROR(VLOOKUP($E475,'BASE DE DATOS'!$A:$I,3,0),0)</f>
        <v>0</v>
      </c>
      <c r="K475" s="46">
        <f>IFERROR(VLOOKUP($E734,'BASE DE DATOS'!$A:$I,3,0),0)</f>
        <v>0</v>
      </c>
      <c r="L475" s="46">
        <f>IFERROR(VLOOKUP($E475,'BASE DE DATOS'!$A:$I,3,0),0)</f>
        <v>0</v>
      </c>
    </row>
    <row r="476" spans="4:12" x14ac:dyDescent="0.25">
      <c r="D476" s="46" t="str">
        <f>IFERROR(VLOOKUP($E476,'BASE DE DATOS'!$A:$I,2,0)," ")</f>
        <v xml:space="preserve"> </v>
      </c>
      <c r="F476" s="46">
        <f>IFERROR(VLOOKUP($E489,'BASE DE DATOS'!$A:$I,3,0),0)</f>
        <v>0</v>
      </c>
      <c r="G476" s="46">
        <f>IFERROR(VLOOKUP($E476,'BASE DE DATOS'!$A:$I,3,0),0)</f>
        <v>0</v>
      </c>
      <c r="H476" s="46">
        <f>IFERROR(VLOOKUP($E476,'BASE DE DATOS'!$A:$I,3,0),0)</f>
        <v>0</v>
      </c>
      <c r="I476" s="46">
        <f>IFERROR(VLOOKUP($E476,'BASE DE DATOS'!$A:$I,3,0),0)</f>
        <v>0</v>
      </c>
      <c r="J476" s="46">
        <f>IFERROR(VLOOKUP($E476,'BASE DE DATOS'!$A:$I,3,0),0)</f>
        <v>0</v>
      </c>
      <c r="K476" s="46">
        <f>IFERROR(VLOOKUP($E735,'BASE DE DATOS'!$A:$I,3,0),0)</f>
        <v>0</v>
      </c>
      <c r="L476" s="46">
        <f>IFERROR(VLOOKUP($E476,'BASE DE DATOS'!$A:$I,3,0),0)</f>
        <v>0</v>
      </c>
    </row>
    <row r="477" spans="4:12" x14ac:dyDescent="0.25">
      <c r="D477" s="46" t="str">
        <f>IFERROR(VLOOKUP($E477,'BASE DE DATOS'!$A:$I,2,0)," ")</f>
        <v xml:space="preserve"> </v>
      </c>
      <c r="F477" s="46">
        <f>IFERROR(VLOOKUP($E490,'BASE DE DATOS'!$A:$I,3,0),0)</f>
        <v>0</v>
      </c>
      <c r="G477" s="46">
        <f>IFERROR(VLOOKUP($E477,'BASE DE DATOS'!$A:$I,3,0),0)</f>
        <v>0</v>
      </c>
      <c r="H477" s="46">
        <f>IFERROR(VLOOKUP($E477,'BASE DE DATOS'!$A:$I,3,0),0)</f>
        <v>0</v>
      </c>
      <c r="I477" s="46">
        <f>IFERROR(VLOOKUP($E477,'BASE DE DATOS'!$A:$I,3,0),0)</f>
        <v>0</v>
      </c>
      <c r="J477" s="46">
        <f>IFERROR(VLOOKUP($E477,'BASE DE DATOS'!$A:$I,3,0),0)</f>
        <v>0</v>
      </c>
      <c r="K477" s="46">
        <f>IFERROR(VLOOKUP($E736,'BASE DE DATOS'!$A:$I,3,0),0)</f>
        <v>0</v>
      </c>
      <c r="L477" s="46">
        <f>IFERROR(VLOOKUP($E477,'BASE DE DATOS'!$A:$I,3,0),0)</f>
        <v>0</v>
      </c>
    </row>
    <row r="478" spans="4:12" x14ac:dyDescent="0.25">
      <c r="D478" s="46" t="str">
        <f>IFERROR(VLOOKUP($E478,'BASE DE DATOS'!$A:$I,2,0)," ")</f>
        <v xml:space="preserve"> </v>
      </c>
      <c r="F478" s="46">
        <f>IFERROR(VLOOKUP($E491,'BASE DE DATOS'!$A:$I,3,0),0)</f>
        <v>0</v>
      </c>
      <c r="G478" s="46">
        <f>IFERROR(VLOOKUP($E478,'BASE DE DATOS'!$A:$I,3,0),0)</f>
        <v>0</v>
      </c>
      <c r="H478" s="46">
        <f>IFERROR(VLOOKUP($E478,'BASE DE DATOS'!$A:$I,3,0),0)</f>
        <v>0</v>
      </c>
      <c r="I478" s="46">
        <f>IFERROR(VLOOKUP($E478,'BASE DE DATOS'!$A:$I,3,0),0)</f>
        <v>0</v>
      </c>
      <c r="J478" s="46">
        <f>IFERROR(VLOOKUP($E478,'BASE DE DATOS'!$A:$I,3,0),0)</f>
        <v>0</v>
      </c>
      <c r="K478" s="46">
        <f>IFERROR(VLOOKUP($E737,'BASE DE DATOS'!$A:$I,3,0),0)</f>
        <v>0</v>
      </c>
      <c r="L478" s="46">
        <f>IFERROR(VLOOKUP($E478,'BASE DE DATOS'!$A:$I,3,0),0)</f>
        <v>0</v>
      </c>
    </row>
    <row r="479" spans="4:12" x14ac:dyDescent="0.25">
      <c r="D479" s="46" t="str">
        <f>IFERROR(VLOOKUP($E479,'BASE DE DATOS'!$A:$I,2,0)," ")</f>
        <v xml:space="preserve"> </v>
      </c>
      <c r="F479" s="46">
        <f>IFERROR(VLOOKUP($E492,'BASE DE DATOS'!$A:$I,3,0),0)</f>
        <v>0</v>
      </c>
      <c r="G479" s="46">
        <f>IFERROR(VLOOKUP($E479,'BASE DE DATOS'!$A:$I,3,0),0)</f>
        <v>0</v>
      </c>
      <c r="H479" s="46">
        <f>IFERROR(VLOOKUP($E479,'BASE DE DATOS'!$A:$I,3,0),0)</f>
        <v>0</v>
      </c>
      <c r="I479" s="46">
        <f>IFERROR(VLOOKUP($E479,'BASE DE DATOS'!$A:$I,3,0),0)</f>
        <v>0</v>
      </c>
      <c r="J479" s="46">
        <f>IFERROR(VLOOKUP($E479,'BASE DE DATOS'!$A:$I,3,0),0)</f>
        <v>0</v>
      </c>
      <c r="K479" s="46">
        <f>IFERROR(VLOOKUP($E738,'BASE DE DATOS'!$A:$I,3,0),0)</f>
        <v>0</v>
      </c>
      <c r="L479" s="46">
        <f>IFERROR(VLOOKUP($E479,'BASE DE DATOS'!$A:$I,3,0),0)</f>
        <v>0</v>
      </c>
    </row>
    <row r="480" spans="4:12" x14ac:dyDescent="0.25">
      <c r="D480" s="46" t="str">
        <f>IFERROR(VLOOKUP($E480,'BASE DE DATOS'!$A:$I,2,0)," ")</f>
        <v xml:space="preserve"> </v>
      </c>
      <c r="F480" s="46">
        <f>IFERROR(VLOOKUP($E493,'BASE DE DATOS'!$A:$I,3,0),0)</f>
        <v>0</v>
      </c>
      <c r="G480" s="46">
        <f>IFERROR(VLOOKUP($E480,'BASE DE DATOS'!$A:$I,3,0),0)</f>
        <v>0</v>
      </c>
      <c r="H480" s="46">
        <f>IFERROR(VLOOKUP($E480,'BASE DE DATOS'!$A:$I,3,0),0)</f>
        <v>0</v>
      </c>
      <c r="I480" s="46">
        <f>IFERROR(VLOOKUP($E480,'BASE DE DATOS'!$A:$I,3,0),0)</f>
        <v>0</v>
      </c>
      <c r="J480" s="46">
        <f>IFERROR(VLOOKUP($E480,'BASE DE DATOS'!$A:$I,3,0),0)</f>
        <v>0</v>
      </c>
      <c r="K480" s="46">
        <f>IFERROR(VLOOKUP($E739,'BASE DE DATOS'!$A:$I,3,0),0)</f>
        <v>0</v>
      </c>
      <c r="L480" s="46">
        <f>IFERROR(VLOOKUP($E480,'BASE DE DATOS'!$A:$I,3,0),0)</f>
        <v>0</v>
      </c>
    </row>
    <row r="481" spans="4:12" x14ac:dyDescent="0.25">
      <c r="D481" s="46" t="str">
        <f>IFERROR(VLOOKUP($E481,'BASE DE DATOS'!$A:$I,2,0)," ")</f>
        <v xml:space="preserve"> </v>
      </c>
      <c r="F481" s="46">
        <f>IFERROR(VLOOKUP($E494,'BASE DE DATOS'!$A:$I,3,0),0)</f>
        <v>0</v>
      </c>
      <c r="G481" s="46">
        <f>IFERROR(VLOOKUP($E481,'BASE DE DATOS'!$A:$I,3,0),0)</f>
        <v>0</v>
      </c>
      <c r="H481" s="46">
        <f>IFERROR(VLOOKUP($E481,'BASE DE DATOS'!$A:$I,3,0),0)</f>
        <v>0</v>
      </c>
      <c r="I481" s="46">
        <f>IFERROR(VLOOKUP($E481,'BASE DE DATOS'!$A:$I,3,0),0)</f>
        <v>0</v>
      </c>
      <c r="J481" s="46">
        <f>IFERROR(VLOOKUP($E481,'BASE DE DATOS'!$A:$I,3,0),0)</f>
        <v>0</v>
      </c>
      <c r="K481" s="46">
        <f>IFERROR(VLOOKUP($E740,'BASE DE DATOS'!$A:$I,3,0),0)</f>
        <v>0</v>
      </c>
      <c r="L481" s="46">
        <f>IFERROR(VLOOKUP($E481,'BASE DE DATOS'!$A:$I,3,0),0)</f>
        <v>0</v>
      </c>
    </row>
    <row r="482" spans="4:12" x14ac:dyDescent="0.25">
      <c r="D482" s="46" t="str">
        <f>IFERROR(VLOOKUP($E482,'BASE DE DATOS'!$A:$I,2,0)," ")</f>
        <v xml:space="preserve"> </v>
      </c>
      <c r="F482" s="46">
        <f>IFERROR(VLOOKUP($E495,'BASE DE DATOS'!$A:$I,3,0),0)</f>
        <v>0</v>
      </c>
      <c r="G482" s="46">
        <f>IFERROR(VLOOKUP($E482,'BASE DE DATOS'!$A:$I,3,0),0)</f>
        <v>0</v>
      </c>
      <c r="H482" s="46">
        <f>IFERROR(VLOOKUP($E482,'BASE DE DATOS'!$A:$I,3,0),0)</f>
        <v>0</v>
      </c>
      <c r="I482" s="46">
        <f>IFERROR(VLOOKUP($E482,'BASE DE DATOS'!$A:$I,3,0),0)</f>
        <v>0</v>
      </c>
      <c r="J482" s="46">
        <f>IFERROR(VLOOKUP($E482,'BASE DE DATOS'!$A:$I,3,0),0)</f>
        <v>0</v>
      </c>
      <c r="K482" s="46">
        <f>IFERROR(VLOOKUP($E741,'BASE DE DATOS'!$A:$I,3,0),0)</f>
        <v>0</v>
      </c>
      <c r="L482" s="46">
        <f>IFERROR(VLOOKUP($E482,'BASE DE DATOS'!$A:$I,3,0),0)</f>
        <v>0</v>
      </c>
    </row>
    <row r="483" spans="4:12" x14ac:dyDescent="0.25">
      <c r="D483" s="46" t="str">
        <f>IFERROR(VLOOKUP($E483,'BASE DE DATOS'!$A:$I,2,0)," ")</f>
        <v xml:space="preserve"> </v>
      </c>
      <c r="F483" s="46">
        <f>IFERROR(VLOOKUP($E496,'BASE DE DATOS'!$A:$I,3,0),0)</f>
        <v>0</v>
      </c>
      <c r="G483" s="46">
        <f>IFERROR(VLOOKUP($E483,'BASE DE DATOS'!$A:$I,3,0),0)</f>
        <v>0</v>
      </c>
      <c r="H483" s="46">
        <f>IFERROR(VLOOKUP($E483,'BASE DE DATOS'!$A:$I,3,0),0)</f>
        <v>0</v>
      </c>
      <c r="I483" s="46">
        <f>IFERROR(VLOOKUP($E483,'BASE DE DATOS'!$A:$I,3,0),0)</f>
        <v>0</v>
      </c>
      <c r="J483" s="46">
        <f>IFERROR(VLOOKUP($E483,'BASE DE DATOS'!$A:$I,3,0),0)</f>
        <v>0</v>
      </c>
      <c r="K483" s="46">
        <f>IFERROR(VLOOKUP($E742,'BASE DE DATOS'!$A:$I,3,0),0)</f>
        <v>0</v>
      </c>
      <c r="L483" s="46">
        <f>IFERROR(VLOOKUP($E483,'BASE DE DATOS'!$A:$I,3,0),0)</f>
        <v>0</v>
      </c>
    </row>
    <row r="484" spans="4:12" x14ac:dyDescent="0.25">
      <c r="D484" s="46" t="str">
        <f>IFERROR(VLOOKUP($E484,'BASE DE DATOS'!$A:$I,2,0)," ")</f>
        <v xml:space="preserve"> </v>
      </c>
      <c r="F484" s="46">
        <f>IFERROR(VLOOKUP($E497,'BASE DE DATOS'!$A:$I,3,0),0)</f>
        <v>0</v>
      </c>
      <c r="G484" s="46">
        <f>IFERROR(VLOOKUP($E484,'BASE DE DATOS'!$A:$I,3,0),0)</f>
        <v>0</v>
      </c>
      <c r="H484" s="46">
        <f>IFERROR(VLOOKUP($E484,'BASE DE DATOS'!$A:$I,3,0),0)</f>
        <v>0</v>
      </c>
      <c r="I484" s="46">
        <f>IFERROR(VLOOKUP($E484,'BASE DE DATOS'!$A:$I,3,0),0)</f>
        <v>0</v>
      </c>
      <c r="J484" s="46">
        <f>IFERROR(VLOOKUP($E484,'BASE DE DATOS'!$A:$I,3,0),0)</f>
        <v>0</v>
      </c>
      <c r="K484" s="46">
        <f>IFERROR(VLOOKUP($E743,'BASE DE DATOS'!$A:$I,3,0),0)</f>
        <v>0</v>
      </c>
      <c r="L484" s="46">
        <f>IFERROR(VLOOKUP($E484,'BASE DE DATOS'!$A:$I,3,0),0)</f>
        <v>0</v>
      </c>
    </row>
    <row r="485" spans="4:12" x14ac:dyDescent="0.25">
      <c r="D485" s="46" t="str">
        <f>IFERROR(VLOOKUP($E485,'BASE DE DATOS'!$A:$I,2,0)," ")</f>
        <v xml:space="preserve"> </v>
      </c>
      <c r="F485" s="46">
        <f>IFERROR(VLOOKUP($E498,'BASE DE DATOS'!$A:$I,3,0),0)</f>
        <v>0</v>
      </c>
      <c r="G485" s="46">
        <f>IFERROR(VLOOKUP($E485,'BASE DE DATOS'!$A:$I,3,0),0)</f>
        <v>0</v>
      </c>
      <c r="H485" s="46">
        <f>IFERROR(VLOOKUP($E485,'BASE DE DATOS'!$A:$I,3,0),0)</f>
        <v>0</v>
      </c>
      <c r="I485" s="46">
        <f>IFERROR(VLOOKUP($E485,'BASE DE DATOS'!$A:$I,3,0),0)</f>
        <v>0</v>
      </c>
      <c r="J485" s="46">
        <f>IFERROR(VLOOKUP($E485,'BASE DE DATOS'!$A:$I,3,0),0)</f>
        <v>0</v>
      </c>
      <c r="K485" s="46">
        <f>IFERROR(VLOOKUP($E744,'BASE DE DATOS'!$A:$I,3,0),0)</f>
        <v>0</v>
      </c>
      <c r="L485" s="46">
        <f>IFERROR(VLOOKUP($E485,'BASE DE DATOS'!$A:$I,3,0),0)</f>
        <v>0</v>
      </c>
    </row>
    <row r="486" spans="4:12" x14ac:dyDescent="0.25">
      <c r="D486" s="46" t="str">
        <f>IFERROR(VLOOKUP($E486,'BASE DE DATOS'!$A:$I,2,0)," ")</f>
        <v xml:space="preserve"> </v>
      </c>
      <c r="F486" s="46">
        <f>IFERROR(VLOOKUP($E499,'BASE DE DATOS'!$A:$I,3,0),0)</f>
        <v>0</v>
      </c>
      <c r="G486" s="46">
        <f>IFERROR(VLOOKUP($E486,'BASE DE DATOS'!$A:$I,3,0),0)</f>
        <v>0</v>
      </c>
      <c r="H486" s="46">
        <f>IFERROR(VLOOKUP($E486,'BASE DE DATOS'!$A:$I,3,0),0)</f>
        <v>0</v>
      </c>
      <c r="I486" s="46">
        <f>IFERROR(VLOOKUP($E486,'BASE DE DATOS'!$A:$I,3,0),0)</f>
        <v>0</v>
      </c>
      <c r="J486" s="46">
        <f>IFERROR(VLOOKUP($E486,'BASE DE DATOS'!$A:$I,3,0),0)</f>
        <v>0</v>
      </c>
      <c r="K486" s="46">
        <f>IFERROR(VLOOKUP($E745,'BASE DE DATOS'!$A:$I,3,0),0)</f>
        <v>0</v>
      </c>
      <c r="L486" s="46">
        <f>IFERROR(VLOOKUP($E486,'BASE DE DATOS'!$A:$I,3,0),0)</f>
        <v>0</v>
      </c>
    </row>
    <row r="487" spans="4:12" x14ac:dyDescent="0.25">
      <c r="D487" s="46" t="str">
        <f>IFERROR(VLOOKUP($E487,'BASE DE DATOS'!$A:$I,2,0)," ")</f>
        <v xml:space="preserve"> </v>
      </c>
      <c r="F487" s="46">
        <f>IFERROR(VLOOKUP($E500,'BASE DE DATOS'!$A:$I,3,0),0)</f>
        <v>0</v>
      </c>
      <c r="G487" s="46">
        <f>IFERROR(VLOOKUP($E487,'BASE DE DATOS'!$A:$I,3,0),0)</f>
        <v>0</v>
      </c>
      <c r="H487" s="46">
        <f>IFERROR(VLOOKUP($E487,'BASE DE DATOS'!$A:$I,3,0),0)</f>
        <v>0</v>
      </c>
      <c r="I487" s="46">
        <f>IFERROR(VLOOKUP($E487,'BASE DE DATOS'!$A:$I,3,0),0)</f>
        <v>0</v>
      </c>
      <c r="J487" s="46">
        <f>IFERROR(VLOOKUP($E487,'BASE DE DATOS'!$A:$I,3,0),0)</f>
        <v>0</v>
      </c>
      <c r="K487" s="46">
        <f>IFERROR(VLOOKUP($E746,'BASE DE DATOS'!$A:$I,3,0),0)</f>
        <v>0</v>
      </c>
      <c r="L487" s="46">
        <f>IFERROR(VLOOKUP($E487,'BASE DE DATOS'!$A:$I,3,0),0)</f>
        <v>0</v>
      </c>
    </row>
    <row r="488" spans="4:12" x14ac:dyDescent="0.25">
      <c r="D488" s="46" t="str">
        <f>IFERROR(VLOOKUP($E488,'BASE DE DATOS'!$A:$I,2,0)," ")</f>
        <v xml:space="preserve"> </v>
      </c>
      <c r="F488" s="46">
        <f>IFERROR(VLOOKUP($E501,'BASE DE DATOS'!$A:$I,3,0),0)</f>
        <v>0</v>
      </c>
      <c r="G488" s="46">
        <f>IFERROR(VLOOKUP($E488,'BASE DE DATOS'!$A:$I,3,0),0)</f>
        <v>0</v>
      </c>
      <c r="H488" s="46">
        <f>IFERROR(VLOOKUP($E488,'BASE DE DATOS'!$A:$I,3,0),0)</f>
        <v>0</v>
      </c>
      <c r="I488" s="46">
        <f>IFERROR(VLOOKUP($E488,'BASE DE DATOS'!$A:$I,3,0),0)</f>
        <v>0</v>
      </c>
      <c r="J488" s="46">
        <f>IFERROR(VLOOKUP($E488,'BASE DE DATOS'!$A:$I,3,0),0)</f>
        <v>0</v>
      </c>
      <c r="K488" s="46">
        <f>IFERROR(VLOOKUP($E747,'BASE DE DATOS'!$A:$I,3,0),0)</f>
        <v>0</v>
      </c>
      <c r="L488" s="46">
        <f>IFERROR(VLOOKUP($E488,'BASE DE DATOS'!$A:$I,3,0),0)</f>
        <v>0</v>
      </c>
    </row>
    <row r="489" spans="4:12" x14ac:dyDescent="0.25">
      <c r="D489" s="46" t="str">
        <f>IFERROR(VLOOKUP($E489,'BASE DE DATOS'!$A:$I,2,0)," ")</f>
        <v xml:space="preserve"> </v>
      </c>
      <c r="F489" s="46">
        <f>IFERROR(VLOOKUP($E502,'BASE DE DATOS'!$A:$I,3,0),0)</f>
        <v>0</v>
      </c>
      <c r="G489" s="46">
        <f>IFERROR(VLOOKUP($E489,'BASE DE DATOS'!$A:$I,3,0),0)</f>
        <v>0</v>
      </c>
      <c r="H489" s="46">
        <f>IFERROR(VLOOKUP($E489,'BASE DE DATOS'!$A:$I,3,0),0)</f>
        <v>0</v>
      </c>
      <c r="I489" s="46">
        <f>IFERROR(VLOOKUP($E489,'BASE DE DATOS'!$A:$I,3,0),0)</f>
        <v>0</v>
      </c>
      <c r="J489" s="46">
        <f>IFERROR(VLOOKUP($E489,'BASE DE DATOS'!$A:$I,3,0),0)</f>
        <v>0</v>
      </c>
      <c r="K489" s="46">
        <f>IFERROR(VLOOKUP($E748,'BASE DE DATOS'!$A:$I,3,0),0)</f>
        <v>0</v>
      </c>
      <c r="L489" s="46">
        <f>IFERROR(VLOOKUP($E489,'BASE DE DATOS'!$A:$I,3,0),0)</f>
        <v>0</v>
      </c>
    </row>
    <row r="490" spans="4:12" x14ac:dyDescent="0.25">
      <c r="D490" s="46" t="str">
        <f>IFERROR(VLOOKUP($E490,'BASE DE DATOS'!$A:$I,2,0)," ")</f>
        <v xml:space="preserve"> </v>
      </c>
      <c r="F490" s="46">
        <f>IFERROR(VLOOKUP($E503,'BASE DE DATOS'!$A:$I,3,0),0)</f>
        <v>0</v>
      </c>
      <c r="G490" s="46">
        <f>IFERROR(VLOOKUP($E490,'BASE DE DATOS'!$A:$I,3,0),0)</f>
        <v>0</v>
      </c>
      <c r="H490" s="46">
        <f>IFERROR(VLOOKUP($E490,'BASE DE DATOS'!$A:$I,3,0),0)</f>
        <v>0</v>
      </c>
      <c r="I490" s="46">
        <f>IFERROR(VLOOKUP($E490,'BASE DE DATOS'!$A:$I,3,0),0)</f>
        <v>0</v>
      </c>
      <c r="J490" s="46">
        <f>IFERROR(VLOOKUP($E490,'BASE DE DATOS'!$A:$I,3,0),0)</f>
        <v>0</v>
      </c>
      <c r="K490" s="46">
        <f>IFERROR(VLOOKUP($E749,'BASE DE DATOS'!$A:$I,3,0),0)</f>
        <v>0</v>
      </c>
      <c r="L490" s="46">
        <f>IFERROR(VLOOKUP($E490,'BASE DE DATOS'!$A:$I,3,0),0)</f>
        <v>0</v>
      </c>
    </row>
    <row r="491" spans="4:12" x14ac:dyDescent="0.25">
      <c r="D491" s="46" t="str">
        <f>IFERROR(VLOOKUP($E491,'BASE DE DATOS'!$A:$I,2,0)," ")</f>
        <v xml:space="preserve"> </v>
      </c>
      <c r="F491" s="46">
        <f>IFERROR(VLOOKUP($E504,'BASE DE DATOS'!$A:$I,3,0),0)</f>
        <v>0</v>
      </c>
      <c r="G491" s="46">
        <f>IFERROR(VLOOKUP($E491,'BASE DE DATOS'!$A:$I,3,0),0)</f>
        <v>0</v>
      </c>
      <c r="H491" s="46">
        <f>IFERROR(VLOOKUP($E491,'BASE DE DATOS'!$A:$I,3,0),0)</f>
        <v>0</v>
      </c>
      <c r="I491" s="46">
        <f>IFERROR(VLOOKUP($E491,'BASE DE DATOS'!$A:$I,3,0),0)</f>
        <v>0</v>
      </c>
      <c r="J491" s="46">
        <f>IFERROR(VLOOKUP($E491,'BASE DE DATOS'!$A:$I,3,0),0)</f>
        <v>0</v>
      </c>
      <c r="K491" s="46">
        <f>IFERROR(VLOOKUP($E750,'BASE DE DATOS'!$A:$I,3,0),0)</f>
        <v>0</v>
      </c>
      <c r="L491" s="46">
        <f>IFERROR(VLOOKUP($E491,'BASE DE DATOS'!$A:$I,3,0),0)</f>
        <v>0</v>
      </c>
    </row>
    <row r="492" spans="4:12" x14ac:dyDescent="0.25">
      <c r="D492" s="46" t="str">
        <f>IFERROR(VLOOKUP($E492,'BASE DE DATOS'!$A:$I,2,0)," ")</f>
        <v xml:space="preserve"> </v>
      </c>
      <c r="F492" s="46">
        <f>IFERROR(VLOOKUP($E505,'BASE DE DATOS'!$A:$I,3,0),0)</f>
        <v>0</v>
      </c>
      <c r="G492" s="46">
        <f>IFERROR(VLOOKUP($E492,'BASE DE DATOS'!$A:$I,3,0),0)</f>
        <v>0</v>
      </c>
      <c r="H492" s="46">
        <f>IFERROR(VLOOKUP($E492,'BASE DE DATOS'!$A:$I,3,0),0)</f>
        <v>0</v>
      </c>
      <c r="I492" s="46">
        <f>IFERROR(VLOOKUP($E492,'BASE DE DATOS'!$A:$I,3,0),0)</f>
        <v>0</v>
      </c>
      <c r="J492" s="46">
        <f>IFERROR(VLOOKUP($E492,'BASE DE DATOS'!$A:$I,3,0),0)</f>
        <v>0</v>
      </c>
      <c r="K492" s="46">
        <f>IFERROR(VLOOKUP($E751,'BASE DE DATOS'!$A:$I,3,0),0)</f>
        <v>0</v>
      </c>
      <c r="L492" s="46">
        <f>IFERROR(VLOOKUP($E492,'BASE DE DATOS'!$A:$I,3,0),0)</f>
        <v>0</v>
      </c>
    </row>
    <row r="493" spans="4:12" x14ac:dyDescent="0.25">
      <c r="D493" s="46" t="str">
        <f>IFERROR(VLOOKUP($E493,'BASE DE DATOS'!$A:$I,2,0)," ")</f>
        <v xml:space="preserve"> </v>
      </c>
      <c r="F493" s="46">
        <f>IFERROR(VLOOKUP($E506,'BASE DE DATOS'!$A:$I,3,0),0)</f>
        <v>0</v>
      </c>
      <c r="G493" s="46">
        <f>IFERROR(VLOOKUP($E493,'BASE DE DATOS'!$A:$I,3,0),0)</f>
        <v>0</v>
      </c>
      <c r="H493" s="46">
        <f>IFERROR(VLOOKUP($E493,'BASE DE DATOS'!$A:$I,3,0),0)</f>
        <v>0</v>
      </c>
      <c r="I493" s="46">
        <f>IFERROR(VLOOKUP($E493,'BASE DE DATOS'!$A:$I,3,0),0)</f>
        <v>0</v>
      </c>
      <c r="J493" s="46">
        <f>IFERROR(VLOOKUP($E493,'BASE DE DATOS'!$A:$I,3,0),0)</f>
        <v>0</v>
      </c>
      <c r="K493" s="46">
        <f>IFERROR(VLOOKUP($E752,'BASE DE DATOS'!$A:$I,3,0),0)</f>
        <v>0</v>
      </c>
      <c r="L493" s="46">
        <f>IFERROR(VLOOKUP($E493,'BASE DE DATOS'!$A:$I,3,0),0)</f>
        <v>0</v>
      </c>
    </row>
    <row r="494" spans="4:12" x14ac:dyDescent="0.25">
      <c r="D494" s="46" t="str">
        <f>IFERROR(VLOOKUP($E494,'BASE DE DATOS'!$A:$I,2,0)," ")</f>
        <v xml:space="preserve"> </v>
      </c>
      <c r="F494" s="46">
        <f>IFERROR(VLOOKUP($E507,'BASE DE DATOS'!$A:$I,3,0),0)</f>
        <v>0</v>
      </c>
      <c r="G494" s="46">
        <f>IFERROR(VLOOKUP($E494,'BASE DE DATOS'!$A:$I,3,0),0)</f>
        <v>0</v>
      </c>
      <c r="H494" s="46">
        <f>IFERROR(VLOOKUP($E494,'BASE DE DATOS'!$A:$I,3,0),0)</f>
        <v>0</v>
      </c>
      <c r="I494" s="46">
        <f>IFERROR(VLOOKUP($E494,'BASE DE DATOS'!$A:$I,3,0),0)</f>
        <v>0</v>
      </c>
      <c r="J494" s="46">
        <f>IFERROR(VLOOKUP($E494,'BASE DE DATOS'!$A:$I,3,0),0)</f>
        <v>0</v>
      </c>
      <c r="K494" s="46">
        <f>IFERROR(VLOOKUP($E753,'BASE DE DATOS'!$A:$I,3,0),0)</f>
        <v>0</v>
      </c>
      <c r="L494" s="46">
        <f>IFERROR(VLOOKUP($E494,'BASE DE DATOS'!$A:$I,3,0),0)</f>
        <v>0</v>
      </c>
    </row>
    <row r="495" spans="4:12" x14ac:dyDescent="0.25">
      <c r="D495" s="46" t="str">
        <f>IFERROR(VLOOKUP($E495,'BASE DE DATOS'!$A:$I,2,0)," ")</f>
        <v xml:space="preserve"> </v>
      </c>
      <c r="F495" s="46">
        <f>IFERROR(VLOOKUP($E508,'BASE DE DATOS'!$A:$I,3,0),0)</f>
        <v>0</v>
      </c>
      <c r="G495" s="46">
        <f>IFERROR(VLOOKUP($E495,'BASE DE DATOS'!$A:$I,3,0),0)</f>
        <v>0</v>
      </c>
      <c r="H495" s="46">
        <f>IFERROR(VLOOKUP($E495,'BASE DE DATOS'!$A:$I,3,0),0)</f>
        <v>0</v>
      </c>
      <c r="I495" s="46">
        <f>IFERROR(VLOOKUP($E495,'BASE DE DATOS'!$A:$I,3,0),0)</f>
        <v>0</v>
      </c>
      <c r="J495" s="46">
        <f>IFERROR(VLOOKUP($E495,'BASE DE DATOS'!$A:$I,3,0),0)</f>
        <v>0</v>
      </c>
      <c r="K495" s="46">
        <f>IFERROR(VLOOKUP($E754,'BASE DE DATOS'!$A:$I,3,0),0)</f>
        <v>0</v>
      </c>
      <c r="L495" s="46">
        <f>IFERROR(VLOOKUP($E495,'BASE DE DATOS'!$A:$I,3,0),0)</f>
        <v>0</v>
      </c>
    </row>
    <row r="496" spans="4:12" x14ac:dyDescent="0.25">
      <c r="D496" s="46" t="str">
        <f>IFERROR(VLOOKUP($E496,'BASE DE DATOS'!$A:$I,2,0)," ")</f>
        <v xml:space="preserve"> </v>
      </c>
      <c r="F496" s="46">
        <f>IFERROR(VLOOKUP($E509,'BASE DE DATOS'!$A:$I,3,0),0)</f>
        <v>0</v>
      </c>
      <c r="G496" s="46">
        <f>IFERROR(VLOOKUP($E496,'BASE DE DATOS'!$A:$I,3,0),0)</f>
        <v>0</v>
      </c>
      <c r="H496" s="46">
        <f>IFERROR(VLOOKUP($E496,'BASE DE DATOS'!$A:$I,3,0),0)</f>
        <v>0</v>
      </c>
      <c r="I496" s="46">
        <f>IFERROR(VLOOKUP($E496,'BASE DE DATOS'!$A:$I,3,0),0)</f>
        <v>0</v>
      </c>
      <c r="J496" s="46">
        <f>IFERROR(VLOOKUP($E496,'BASE DE DATOS'!$A:$I,3,0),0)</f>
        <v>0</v>
      </c>
      <c r="K496" s="46">
        <f>IFERROR(VLOOKUP($E755,'BASE DE DATOS'!$A:$I,3,0),0)</f>
        <v>0</v>
      </c>
      <c r="L496" s="46">
        <f>IFERROR(VLOOKUP($E496,'BASE DE DATOS'!$A:$I,3,0),0)</f>
        <v>0</v>
      </c>
    </row>
    <row r="497" spans="4:12" x14ac:dyDescent="0.25">
      <c r="D497" s="46" t="str">
        <f>IFERROR(VLOOKUP($E497,'BASE DE DATOS'!$A:$I,2,0)," ")</f>
        <v xml:space="preserve"> </v>
      </c>
      <c r="F497" s="46">
        <f>IFERROR(VLOOKUP($E510,'BASE DE DATOS'!$A:$I,3,0),0)</f>
        <v>0</v>
      </c>
      <c r="G497" s="46">
        <f>IFERROR(VLOOKUP($E497,'BASE DE DATOS'!$A:$I,3,0),0)</f>
        <v>0</v>
      </c>
      <c r="H497" s="46">
        <f>IFERROR(VLOOKUP($E497,'BASE DE DATOS'!$A:$I,3,0),0)</f>
        <v>0</v>
      </c>
      <c r="I497" s="46">
        <f>IFERROR(VLOOKUP($E497,'BASE DE DATOS'!$A:$I,3,0),0)</f>
        <v>0</v>
      </c>
      <c r="J497" s="46">
        <f>IFERROR(VLOOKUP($E497,'BASE DE DATOS'!$A:$I,3,0),0)</f>
        <v>0</v>
      </c>
      <c r="K497" s="46">
        <f>IFERROR(VLOOKUP($E756,'BASE DE DATOS'!$A:$I,3,0),0)</f>
        <v>0</v>
      </c>
      <c r="L497" s="46">
        <f>IFERROR(VLOOKUP($E497,'BASE DE DATOS'!$A:$I,3,0),0)</f>
        <v>0</v>
      </c>
    </row>
    <row r="498" spans="4:12" x14ac:dyDescent="0.25">
      <c r="D498" s="46" t="str">
        <f>IFERROR(VLOOKUP($E498,'BASE DE DATOS'!$A:$I,2,0)," ")</f>
        <v xml:space="preserve"> </v>
      </c>
      <c r="F498" s="46">
        <f>IFERROR(VLOOKUP($E511,'BASE DE DATOS'!$A:$I,3,0),0)</f>
        <v>0</v>
      </c>
      <c r="G498" s="46">
        <f>IFERROR(VLOOKUP($E498,'BASE DE DATOS'!$A:$I,3,0),0)</f>
        <v>0</v>
      </c>
      <c r="H498" s="46">
        <f>IFERROR(VLOOKUP($E498,'BASE DE DATOS'!$A:$I,3,0),0)</f>
        <v>0</v>
      </c>
      <c r="I498" s="46">
        <f>IFERROR(VLOOKUP($E498,'BASE DE DATOS'!$A:$I,3,0),0)</f>
        <v>0</v>
      </c>
      <c r="J498" s="46">
        <f>IFERROR(VLOOKUP($E498,'BASE DE DATOS'!$A:$I,3,0),0)</f>
        <v>0</v>
      </c>
      <c r="K498" s="46">
        <f>IFERROR(VLOOKUP($E757,'BASE DE DATOS'!$A:$I,3,0),0)</f>
        <v>0</v>
      </c>
      <c r="L498" s="46">
        <f>IFERROR(VLOOKUP($E498,'BASE DE DATOS'!$A:$I,3,0),0)</f>
        <v>0</v>
      </c>
    </row>
    <row r="499" spans="4:12" x14ac:dyDescent="0.25">
      <c r="D499" s="46" t="str">
        <f>IFERROR(VLOOKUP($E499,'BASE DE DATOS'!$A:$I,2,0)," ")</f>
        <v xml:space="preserve"> </v>
      </c>
      <c r="F499" s="46">
        <f>IFERROR(VLOOKUP($E512,'BASE DE DATOS'!$A:$I,3,0),0)</f>
        <v>0</v>
      </c>
      <c r="G499" s="46">
        <f>IFERROR(VLOOKUP($E499,'BASE DE DATOS'!$A:$I,3,0),0)</f>
        <v>0</v>
      </c>
      <c r="H499" s="46">
        <f>IFERROR(VLOOKUP($E499,'BASE DE DATOS'!$A:$I,3,0),0)</f>
        <v>0</v>
      </c>
      <c r="I499" s="46">
        <f>IFERROR(VLOOKUP($E499,'BASE DE DATOS'!$A:$I,3,0),0)</f>
        <v>0</v>
      </c>
      <c r="J499" s="46">
        <f>IFERROR(VLOOKUP($E499,'BASE DE DATOS'!$A:$I,3,0),0)</f>
        <v>0</v>
      </c>
      <c r="K499" s="46">
        <f>IFERROR(VLOOKUP($E758,'BASE DE DATOS'!$A:$I,3,0),0)</f>
        <v>0</v>
      </c>
      <c r="L499" s="46">
        <f>IFERROR(VLOOKUP($E499,'BASE DE DATOS'!$A:$I,3,0),0)</f>
        <v>0</v>
      </c>
    </row>
    <row r="500" spans="4:12" x14ac:dyDescent="0.25">
      <c r="D500" s="46" t="str">
        <f>IFERROR(VLOOKUP($E500,'BASE DE DATOS'!$A:$I,2,0)," ")</f>
        <v xml:space="preserve"> </v>
      </c>
      <c r="F500" s="46">
        <f>IFERROR(VLOOKUP($E513,'BASE DE DATOS'!$A:$I,3,0),0)</f>
        <v>0</v>
      </c>
      <c r="G500" s="46">
        <f>IFERROR(VLOOKUP($E500,'BASE DE DATOS'!$A:$I,3,0),0)</f>
        <v>0</v>
      </c>
      <c r="H500" s="46">
        <f>IFERROR(VLOOKUP($E500,'BASE DE DATOS'!$A:$I,3,0),0)</f>
        <v>0</v>
      </c>
      <c r="I500" s="46">
        <f>IFERROR(VLOOKUP($E500,'BASE DE DATOS'!$A:$I,3,0),0)</f>
        <v>0</v>
      </c>
      <c r="J500" s="46">
        <f>IFERROR(VLOOKUP($E500,'BASE DE DATOS'!$A:$I,3,0),0)</f>
        <v>0</v>
      </c>
      <c r="K500" s="46">
        <f>IFERROR(VLOOKUP($E759,'BASE DE DATOS'!$A:$I,3,0),0)</f>
        <v>0</v>
      </c>
      <c r="L500" s="46">
        <f>IFERROR(VLOOKUP($E500,'BASE DE DATOS'!$A:$I,3,0),0)</f>
        <v>0</v>
      </c>
    </row>
    <row r="501" spans="4:12" x14ac:dyDescent="0.25">
      <c r="D501" s="46" t="str">
        <f>IFERROR(VLOOKUP($E501,'BASE DE DATOS'!$A:$I,2,0)," ")</f>
        <v xml:space="preserve"> </v>
      </c>
      <c r="F501" s="46">
        <f>IFERROR(VLOOKUP($E514,'BASE DE DATOS'!$A:$I,3,0),0)</f>
        <v>0</v>
      </c>
      <c r="G501" s="46">
        <f>IFERROR(VLOOKUP($E501,'BASE DE DATOS'!$A:$I,3,0),0)</f>
        <v>0</v>
      </c>
      <c r="H501" s="46">
        <f>IFERROR(VLOOKUP($E501,'BASE DE DATOS'!$A:$I,3,0),0)</f>
        <v>0</v>
      </c>
      <c r="I501" s="46">
        <f>IFERROR(VLOOKUP($E501,'BASE DE DATOS'!$A:$I,3,0),0)</f>
        <v>0</v>
      </c>
      <c r="J501" s="46">
        <f>IFERROR(VLOOKUP($E501,'BASE DE DATOS'!$A:$I,3,0),0)</f>
        <v>0</v>
      </c>
      <c r="K501" s="46">
        <f>IFERROR(VLOOKUP($E760,'BASE DE DATOS'!$A:$I,3,0),0)</f>
        <v>0</v>
      </c>
      <c r="L501" s="46">
        <f>IFERROR(VLOOKUP($E501,'BASE DE DATOS'!$A:$I,3,0),0)</f>
        <v>0</v>
      </c>
    </row>
    <row r="502" spans="4:12" x14ac:dyDescent="0.25">
      <c r="D502" s="46" t="str">
        <f>IFERROR(VLOOKUP($E502,'BASE DE DATOS'!$A:$I,2,0)," ")</f>
        <v xml:space="preserve"> </v>
      </c>
      <c r="F502" s="46">
        <f>IFERROR(VLOOKUP($E515,'BASE DE DATOS'!$A:$I,3,0),0)</f>
        <v>0</v>
      </c>
      <c r="G502" s="46">
        <f>IFERROR(VLOOKUP($E502,'BASE DE DATOS'!$A:$I,3,0),0)</f>
        <v>0</v>
      </c>
      <c r="H502" s="46">
        <f>IFERROR(VLOOKUP($E502,'BASE DE DATOS'!$A:$I,3,0),0)</f>
        <v>0</v>
      </c>
      <c r="I502" s="46">
        <f>IFERROR(VLOOKUP($E502,'BASE DE DATOS'!$A:$I,3,0),0)</f>
        <v>0</v>
      </c>
      <c r="J502" s="46">
        <f>IFERROR(VLOOKUP($E502,'BASE DE DATOS'!$A:$I,3,0),0)</f>
        <v>0</v>
      </c>
      <c r="K502" s="46">
        <f>IFERROR(VLOOKUP($E761,'BASE DE DATOS'!$A:$I,3,0),0)</f>
        <v>0</v>
      </c>
      <c r="L502" s="46">
        <f>IFERROR(VLOOKUP($E502,'BASE DE DATOS'!$A:$I,3,0),0)</f>
        <v>0</v>
      </c>
    </row>
    <row r="503" spans="4:12" x14ac:dyDescent="0.25">
      <c r="D503" s="46" t="str">
        <f>IFERROR(VLOOKUP($E503,'BASE DE DATOS'!$A:$I,2,0)," ")</f>
        <v xml:space="preserve"> </v>
      </c>
      <c r="F503" s="46">
        <f>IFERROR(VLOOKUP($E516,'BASE DE DATOS'!$A:$I,3,0),0)</f>
        <v>0</v>
      </c>
      <c r="G503" s="46">
        <f>IFERROR(VLOOKUP($E503,'BASE DE DATOS'!$A:$I,3,0),0)</f>
        <v>0</v>
      </c>
      <c r="H503" s="46">
        <f>IFERROR(VLOOKUP($E503,'BASE DE DATOS'!$A:$I,3,0),0)</f>
        <v>0</v>
      </c>
      <c r="I503" s="46">
        <f>IFERROR(VLOOKUP($E503,'BASE DE DATOS'!$A:$I,3,0),0)</f>
        <v>0</v>
      </c>
      <c r="J503" s="46">
        <f>IFERROR(VLOOKUP($E503,'BASE DE DATOS'!$A:$I,3,0),0)</f>
        <v>0</v>
      </c>
      <c r="K503" s="46">
        <f>IFERROR(VLOOKUP($E762,'BASE DE DATOS'!$A:$I,3,0),0)</f>
        <v>0</v>
      </c>
      <c r="L503" s="46">
        <f>IFERROR(VLOOKUP($E503,'BASE DE DATOS'!$A:$I,3,0),0)</f>
        <v>0</v>
      </c>
    </row>
    <row r="504" spans="4:12" x14ac:dyDescent="0.25">
      <c r="D504" s="46" t="str">
        <f>IFERROR(VLOOKUP($E504,'BASE DE DATOS'!$A:$I,2,0)," ")</f>
        <v xml:space="preserve"> </v>
      </c>
      <c r="F504" s="46">
        <f>IFERROR(VLOOKUP($E517,'BASE DE DATOS'!$A:$I,3,0),0)</f>
        <v>0</v>
      </c>
      <c r="G504" s="46">
        <f>IFERROR(VLOOKUP($E504,'BASE DE DATOS'!$A:$I,3,0),0)</f>
        <v>0</v>
      </c>
      <c r="H504" s="46">
        <f>IFERROR(VLOOKUP($E504,'BASE DE DATOS'!$A:$I,3,0),0)</f>
        <v>0</v>
      </c>
      <c r="I504" s="46">
        <f>IFERROR(VLOOKUP($E504,'BASE DE DATOS'!$A:$I,3,0),0)</f>
        <v>0</v>
      </c>
      <c r="J504" s="46">
        <f>IFERROR(VLOOKUP($E504,'BASE DE DATOS'!$A:$I,3,0),0)</f>
        <v>0</v>
      </c>
      <c r="K504" s="46">
        <f>IFERROR(VLOOKUP($E763,'BASE DE DATOS'!$A:$I,3,0),0)</f>
        <v>0</v>
      </c>
      <c r="L504" s="46">
        <f>IFERROR(VLOOKUP($E504,'BASE DE DATOS'!$A:$I,3,0),0)</f>
        <v>0</v>
      </c>
    </row>
    <row r="505" spans="4:12" x14ac:dyDescent="0.25">
      <c r="D505" s="46" t="str">
        <f>IFERROR(VLOOKUP($E505,'BASE DE DATOS'!$A:$I,2,0)," ")</f>
        <v xml:space="preserve"> </v>
      </c>
      <c r="F505" s="46">
        <f>IFERROR(VLOOKUP($E518,'BASE DE DATOS'!$A:$I,3,0),0)</f>
        <v>0</v>
      </c>
      <c r="G505" s="46">
        <f>IFERROR(VLOOKUP($E505,'BASE DE DATOS'!$A:$I,3,0),0)</f>
        <v>0</v>
      </c>
      <c r="H505" s="46">
        <f>IFERROR(VLOOKUP($E505,'BASE DE DATOS'!$A:$I,3,0),0)</f>
        <v>0</v>
      </c>
      <c r="I505" s="46">
        <f>IFERROR(VLOOKUP($E505,'BASE DE DATOS'!$A:$I,3,0),0)</f>
        <v>0</v>
      </c>
      <c r="J505" s="46">
        <f>IFERROR(VLOOKUP($E505,'BASE DE DATOS'!$A:$I,3,0),0)</f>
        <v>0</v>
      </c>
      <c r="K505" s="46">
        <f>IFERROR(VLOOKUP($E764,'BASE DE DATOS'!$A:$I,3,0),0)</f>
        <v>0</v>
      </c>
      <c r="L505" s="46">
        <f>IFERROR(VLOOKUP($E505,'BASE DE DATOS'!$A:$I,3,0),0)</f>
        <v>0</v>
      </c>
    </row>
    <row r="506" spans="4:12" x14ac:dyDescent="0.25">
      <c r="D506" s="46" t="str">
        <f>IFERROR(VLOOKUP($E506,'BASE DE DATOS'!$A:$I,2,0)," ")</f>
        <v xml:space="preserve"> </v>
      </c>
      <c r="F506" s="46">
        <f>IFERROR(VLOOKUP($E519,'BASE DE DATOS'!$A:$I,3,0),0)</f>
        <v>0</v>
      </c>
      <c r="G506" s="46">
        <f>IFERROR(VLOOKUP($E506,'BASE DE DATOS'!$A:$I,3,0),0)</f>
        <v>0</v>
      </c>
      <c r="H506" s="46">
        <f>IFERROR(VLOOKUP($E506,'BASE DE DATOS'!$A:$I,3,0),0)</f>
        <v>0</v>
      </c>
      <c r="I506" s="46">
        <f>IFERROR(VLOOKUP($E506,'BASE DE DATOS'!$A:$I,3,0),0)</f>
        <v>0</v>
      </c>
      <c r="J506" s="46">
        <f>IFERROR(VLOOKUP($E506,'BASE DE DATOS'!$A:$I,3,0),0)</f>
        <v>0</v>
      </c>
      <c r="K506" s="46">
        <f>IFERROR(VLOOKUP($E765,'BASE DE DATOS'!$A:$I,3,0),0)</f>
        <v>0</v>
      </c>
      <c r="L506" s="46">
        <f>IFERROR(VLOOKUP($E506,'BASE DE DATOS'!$A:$I,3,0),0)</f>
        <v>0</v>
      </c>
    </row>
    <row r="507" spans="4:12" x14ac:dyDescent="0.25">
      <c r="D507" s="46" t="str">
        <f>IFERROR(VLOOKUP($E507,'BASE DE DATOS'!$A:$I,2,0)," ")</f>
        <v xml:space="preserve"> </v>
      </c>
      <c r="F507" s="46">
        <f>IFERROR(VLOOKUP($E520,'BASE DE DATOS'!$A:$I,3,0),0)</f>
        <v>0</v>
      </c>
      <c r="G507" s="46">
        <f>IFERROR(VLOOKUP($E507,'BASE DE DATOS'!$A:$I,3,0),0)</f>
        <v>0</v>
      </c>
      <c r="H507" s="46">
        <f>IFERROR(VLOOKUP($E507,'BASE DE DATOS'!$A:$I,3,0),0)</f>
        <v>0</v>
      </c>
      <c r="I507" s="46">
        <f>IFERROR(VLOOKUP($E507,'BASE DE DATOS'!$A:$I,3,0),0)</f>
        <v>0</v>
      </c>
      <c r="J507" s="46">
        <f>IFERROR(VLOOKUP($E507,'BASE DE DATOS'!$A:$I,3,0),0)</f>
        <v>0</v>
      </c>
      <c r="K507" s="46">
        <f>IFERROR(VLOOKUP($E766,'BASE DE DATOS'!$A:$I,3,0),0)</f>
        <v>0</v>
      </c>
      <c r="L507" s="46">
        <f>IFERROR(VLOOKUP($E507,'BASE DE DATOS'!$A:$I,3,0),0)</f>
        <v>0</v>
      </c>
    </row>
    <row r="508" spans="4:12" x14ac:dyDescent="0.25">
      <c r="D508" s="46" t="str">
        <f>IFERROR(VLOOKUP($E508,'BASE DE DATOS'!$A:$I,2,0)," ")</f>
        <v xml:space="preserve"> </v>
      </c>
      <c r="F508" s="46">
        <f>IFERROR(VLOOKUP($E521,'BASE DE DATOS'!$A:$I,3,0),0)</f>
        <v>0</v>
      </c>
      <c r="G508" s="46">
        <f>IFERROR(VLOOKUP($E508,'BASE DE DATOS'!$A:$I,3,0),0)</f>
        <v>0</v>
      </c>
      <c r="H508" s="46">
        <f>IFERROR(VLOOKUP($E508,'BASE DE DATOS'!$A:$I,3,0),0)</f>
        <v>0</v>
      </c>
      <c r="I508" s="46">
        <f>IFERROR(VLOOKUP($E508,'BASE DE DATOS'!$A:$I,3,0),0)</f>
        <v>0</v>
      </c>
      <c r="J508" s="46">
        <f>IFERROR(VLOOKUP($E508,'BASE DE DATOS'!$A:$I,3,0),0)</f>
        <v>0</v>
      </c>
      <c r="K508" s="46">
        <f>IFERROR(VLOOKUP($E767,'BASE DE DATOS'!$A:$I,3,0),0)</f>
        <v>0</v>
      </c>
      <c r="L508" s="46">
        <f>IFERROR(VLOOKUP($E508,'BASE DE DATOS'!$A:$I,3,0),0)</f>
        <v>0</v>
      </c>
    </row>
    <row r="509" spans="4:12" x14ac:dyDescent="0.25">
      <c r="D509" s="46" t="str">
        <f>IFERROR(VLOOKUP($E509,'BASE DE DATOS'!$A:$I,2,0)," ")</f>
        <v xml:space="preserve"> </v>
      </c>
      <c r="F509" s="46">
        <f>IFERROR(VLOOKUP($E522,'BASE DE DATOS'!$A:$I,3,0),0)</f>
        <v>0</v>
      </c>
      <c r="G509" s="46">
        <f>IFERROR(VLOOKUP($E509,'BASE DE DATOS'!$A:$I,3,0),0)</f>
        <v>0</v>
      </c>
      <c r="H509" s="46">
        <f>IFERROR(VLOOKUP($E509,'BASE DE DATOS'!$A:$I,3,0),0)</f>
        <v>0</v>
      </c>
      <c r="I509" s="46">
        <f>IFERROR(VLOOKUP($E509,'BASE DE DATOS'!$A:$I,3,0),0)</f>
        <v>0</v>
      </c>
      <c r="J509" s="46">
        <f>IFERROR(VLOOKUP($E509,'BASE DE DATOS'!$A:$I,3,0),0)</f>
        <v>0</v>
      </c>
      <c r="K509" s="46">
        <f>IFERROR(VLOOKUP($E768,'BASE DE DATOS'!$A:$I,3,0),0)</f>
        <v>0</v>
      </c>
      <c r="L509" s="46">
        <f>IFERROR(VLOOKUP($E509,'BASE DE DATOS'!$A:$I,3,0),0)</f>
        <v>0</v>
      </c>
    </row>
    <row r="510" spans="4:12" x14ac:dyDescent="0.25">
      <c r="D510" s="46" t="str">
        <f>IFERROR(VLOOKUP($E510,'BASE DE DATOS'!$A:$I,2,0)," ")</f>
        <v xml:space="preserve"> </v>
      </c>
      <c r="F510" s="46">
        <f>IFERROR(VLOOKUP($E523,'BASE DE DATOS'!$A:$I,3,0),0)</f>
        <v>0</v>
      </c>
      <c r="G510" s="46">
        <f>IFERROR(VLOOKUP($E510,'BASE DE DATOS'!$A:$I,3,0),0)</f>
        <v>0</v>
      </c>
      <c r="H510" s="46">
        <f>IFERROR(VLOOKUP($E510,'BASE DE DATOS'!$A:$I,3,0),0)</f>
        <v>0</v>
      </c>
      <c r="I510" s="46">
        <f>IFERROR(VLOOKUP($E510,'BASE DE DATOS'!$A:$I,3,0),0)</f>
        <v>0</v>
      </c>
      <c r="J510" s="46">
        <f>IFERROR(VLOOKUP($E510,'BASE DE DATOS'!$A:$I,3,0),0)</f>
        <v>0</v>
      </c>
      <c r="K510" s="46">
        <f>IFERROR(VLOOKUP($E769,'BASE DE DATOS'!$A:$I,3,0),0)</f>
        <v>0</v>
      </c>
      <c r="L510" s="46">
        <f>IFERROR(VLOOKUP($E510,'BASE DE DATOS'!$A:$I,3,0),0)</f>
        <v>0</v>
      </c>
    </row>
    <row r="511" spans="4:12" x14ac:dyDescent="0.25">
      <c r="D511" s="46" t="str">
        <f>IFERROR(VLOOKUP($E511,'BASE DE DATOS'!$A:$I,2,0)," ")</f>
        <v xml:space="preserve"> </v>
      </c>
      <c r="F511" s="46">
        <f>IFERROR(VLOOKUP($E524,'BASE DE DATOS'!$A:$I,3,0),0)</f>
        <v>0</v>
      </c>
      <c r="G511" s="46">
        <f>IFERROR(VLOOKUP($E511,'BASE DE DATOS'!$A:$I,3,0),0)</f>
        <v>0</v>
      </c>
      <c r="H511" s="46">
        <f>IFERROR(VLOOKUP($E511,'BASE DE DATOS'!$A:$I,3,0),0)</f>
        <v>0</v>
      </c>
      <c r="I511" s="46">
        <f>IFERROR(VLOOKUP($E511,'BASE DE DATOS'!$A:$I,3,0),0)</f>
        <v>0</v>
      </c>
      <c r="J511" s="46">
        <f>IFERROR(VLOOKUP($E511,'BASE DE DATOS'!$A:$I,3,0),0)</f>
        <v>0</v>
      </c>
      <c r="K511" s="46">
        <f>IFERROR(VLOOKUP($E770,'BASE DE DATOS'!$A:$I,3,0),0)</f>
        <v>0</v>
      </c>
      <c r="L511" s="46">
        <f>IFERROR(VLOOKUP($E511,'BASE DE DATOS'!$A:$I,3,0),0)</f>
        <v>0</v>
      </c>
    </row>
    <row r="512" spans="4:12" x14ac:dyDescent="0.25">
      <c r="D512" s="46" t="str">
        <f>IFERROR(VLOOKUP($E512,'BASE DE DATOS'!$A:$I,2,0)," ")</f>
        <v xml:space="preserve"> </v>
      </c>
      <c r="F512" s="46">
        <f>IFERROR(VLOOKUP($E525,'BASE DE DATOS'!$A:$I,3,0),0)</f>
        <v>0</v>
      </c>
      <c r="G512" s="46">
        <f>IFERROR(VLOOKUP($E512,'BASE DE DATOS'!$A:$I,3,0),0)</f>
        <v>0</v>
      </c>
      <c r="H512" s="46">
        <f>IFERROR(VLOOKUP($E512,'BASE DE DATOS'!$A:$I,3,0),0)</f>
        <v>0</v>
      </c>
      <c r="I512" s="46">
        <f>IFERROR(VLOOKUP($E512,'BASE DE DATOS'!$A:$I,3,0),0)</f>
        <v>0</v>
      </c>
      <c r="J512" s="46">
        <f>IFERROR(VLOOKUP($E512,'BASE DE DATOS'!$A:$I,3,0),0)</f>
        <v>0</v>
      </c>
      <c r="K512" s="46">
        <f>IFERROR(VLOOKUP($E771,'BASE DE DATOS'!$A:$I,3,0),0)</f>
        <v>0</v>
      </c>
      <c r="L512" s="46">
        <f>IFERROR(VLOOKUP($E512,'BASE DE DATOS'!$A:$I,3,0),0)</f>
        <v>0</v>
      </c>
    </row>
    <row r="513" spans="4:12" x14ac:dyDescent="0.25">
      <c r="D513" s="46" t="str">
        <f>IFERROR(VLOOKUP($E513,'BASE DE DATOS'!$A:$I,2,0)," ")</f>
        <v xml:space="preserve"> </v>
      </c>
      <c r="F513" s="46">
        <f>IFERROR(VLOOKUP($E526,'BASE DE DATOS'!$A:$I,3,0),0)</f>
        <v>0</v>
      </c>
      <c r="G513" s="46">
        <f>IFERROR(VLOOKUP($E513,'BASE DE DATOS'!$A:$I,3,0),0)</f>
        <v>0</v>
      </c>
      <c r="H513" s="46">
        <f>IFERROR(VLOOKUP($E513,'BASE DE DATOS'!$A:$I,3,0),0)</f>
        <v>0</v>
      </c>
      <c r="I513" s="46">
        <f>IFERROR(VLOOKUP($E513,'BASE DE DATOS'!$A:$I,3,0),0)</f>
        <v>0</v>
      </c>
      <c r="J513" s="46">
        <f>IFERROR(VLOOKUP($E513,'BASE DE DATOS'!$A:$I,3,0),0)</f>
        <v>0</v>
      </c>
      <c r="K513" s="46">
        <f>IFERROR(VLOOKUP($E772,'BASE DE DATOS'!$A:$I,3,0),0)</f>
        <v>0</v>
      </c>
      <c r="L513" s="46">
        <f>IFERROR(VLOOKUP($E513,'BASE DE DATOS'!$A:$I,3,0),0)</f>
        <v>0</v>
      </c>
    </row>
    <row r="514" spans="4:12" x14ac:dyDescent="0.25">
      <c r="D514" s="46" t="str">
        <f>IFERROR(VLOOKUP($E514,'BASE DE DATOS'!$A:$I,2,0)," ")</f>
        <v xml:space="preserve"> </v>
      </c>
      <c r="F514" s="46">
        <f>IFERROR(VLOOKUP($E527,'BASE DE DATOS'!$A:$I,3,0),0)</f>
        <v>0</v>
      </c>
      <c r="G514" s="46">
        <f>IFERROR(VLOOKUP($E514,'BASE DE DATOS'!$A:$I,3,0),0)</f>
        <v>0</v>
      </c>
      <c r="H514" s="46">
        <f>IFERROR(VLOOKUP($E514,'BASE DE DATOS'!$A:$I,3,0),0)</f>
        <v>0</v>
      </c>
      <c r="I514" s="46">
        <f>IFERROR(VLOOKUP($E514,'BASE DE DATOS'!$A:$I,3,0),0)</f>
        <v>0</v>
      </c>
      <c r="J514" s="46">
        <f>IFERROR(VLOOKUP($E514,'BASE DE DATOS'!$A:$I,3,0),0)</f>
        <v>0</v>
      </c>
      <c r="K514" s="46">
        <f>IFERROR(VLOOKUP($E773,'BASE DE DATOS'!$A:$I,3,0),0)</f>
        <v>0</v>
      </c>
      <c r="L514" s="46">
        <f>IFERROR(VLOOKUP($E514,'BASE DE DATOS'!$A:$I,3,0),0)</f>
        <v>0</v>
      </c>
    </row>
    <row r="515" spans="4:12" x14ac:dyDescent="0.25">
      <c r="D515" s="46" t="str">
        <f>IFERROR(VLOOKUP($E515,'BASE DE DATOS'!$A:$I,2,0)," ")</f>
        <v xml:space="preserve"> </v>
      </c>
      <c r="F515" s="46">
        <f>IFERROR(VLOOKUP($E528,'BASE DE DATOS'!$A:$I,3,0),0)</f>
        <v>0</v>
      </c>
      <c r="G515" s="46">
        <f>IFERROR(VLOOKUP($E515,'BASE DE DATOS'!$A:$I,3,0),0)</f>
        <v>0</v>
      </c>
      <c r="H515" s="46">
        <f>IFERROR(VLOOKUP($E515,'BASE DE DATOS'!$A:$I,3,0),0)</f>
        <v>0</v>
      </c>
      <c r="I515" s="46">
        <f>IFERROR(VLOOKUP($E515,'BASE DE DATOS'!$A:$I,3,0),0)</f>
        <v>0</v>
      </c>
      <c r="J515" s="46">
        <f>IFERROR(VLOOKUP($E515,'BASE DE DATOS'!$A:$I,3,0),0)</f>
        <v>0</v>
      </c>
      <c r="K515" s="46">
        <f>IFERROR(VLOOKUP($E774,'BASE DE DATOS'!$A:$I,3,0),0)</f>
        <v>0</v>
      </c>
      <c r="L515" s="46">
        <f>IFERROR(VLOOKUP($E515,'BASE DE DATOS'!$A:$I,3,0),0)</f>
        <v>0</v>
      </c>
    </row>
    <row r="516" spans="4:12" x14ac:dyDescent="0.25">
      <c r="D516" s="46" t="str">
        <f>IFERROR(VLOOKUP($E516,'BASE DE DATOS'!$A:$I,2,0)," ")</f>
        <v xml:space="preserve"> </v>
      </c>
      <c r="F516" s="46">
        <f>IFERROR(VLOOKUP($E529,'BASE DE DATOS'!$A:$I,3,0),0)</f>
        <v>0</v>
      </c>
      <c r="G516" s="46">
        <f>IFERROR(VLOOKUP($E516,'BASE DE DATOS'!$A:$I,3,0),0)</f>
        <v>0</v>
      </c>
      <c r="H516" s="46">
        <f>IFERROR(VLOOKUP($E516,'BASE DE DATOS'!$A:$I,3,0),0)</f>
        <v>0</v>
      </c>
      <c r="I516" s="46">
        <f>IFERROR(VLOOKUP($E516,'BASE DE DATOS'!$A:$I,3,0),0)</f>
        <v>0</v>
      </c>
      <c r="J516" s="46">
        <f>IFERROR(VLOOKUP($E516,'BASE DE DATOS'!$A:$I,3,0),0)</f>
        <v>0</v>
      </c>
      <c r="K516" s="46">
        <f>IFERROR(VLOOKUP($E775,'BASE DE DATOS'!$A:$I,3,0),0)</f>
        <v>0</v>
      </c>
      <c r="L516" s="46">
        <f>IFERROR(VLOOKUP($E516,'BASE DE DATOS'!$A:$I,3,0),0)</f>
        <v>0</v>
      </c>
    </row>
    <row r="517" spans="4:12" x14ac:dyDescent="0.25">
      <c r="D517" s="46" t="str">
        <f>IFERROR(VLOOKUP($E517,'BASE DE DATOS'!$A:$I,2,0)," ")</f>
        <v xml:space="preserve"> </v>
      </c>
      <c r="F517" s="46">
        <f>IFERROR(VLOOKUP($E530,'BASE DE DATOS'!$A:$I,3,0),0)</f>
        <v>0</v>
      </c>
      <c r="G517" s="46">
        <f>IFERROR(VLOOKUP($E517,'BASE DE DATOS'!$A:$I,3,0),0)</f>
        <v>0</v>
      </c>
      <c r="H517" s="46">
        <f>IFERROR(VLOOKUP($E517,'BASE DE DATOS'!$A:$I,3,0),0)</f>
        <v>0</v>
      </c>
      <c r="I517" s="46">
        <f>IFERROR(VLOOKUP($E517,'BASE DE DATOS'!$A:$I,3,0),0)</f>
        <v>0</v>
      </c>
      <c r="J517" s="46">
        <f>IFERROR(VLOOKUP($E517,'BASE DE DATOS'!$A:$I,3,0),0)</f>
        <v>0</v>
      </c>
      <c r="K517" s="46">
        <f>IFERROR(VLOOKUP($E776,'BASE DE DATOS'!$A:$I,3,0),0)</f>
        <v>0</v>
      </c>
      <c r="L517" s="46">
        <f>IFERROR(VLOOKUP($E517,'BASE DE DATOS'!$A:$I,3,0),0)</f>
        <v>0</v>
      </c>
    </row>
    <row r="518" spans="4:12" x14ac:dyDescent="0.25">
      <c r="D518" s="46" t="str">
        <f>IFERROR(VLOOKUP($E518,'BASE DE DATOS'!$A:$I,2,0)," ")</f>
        <v xml:space="preserve"> </v>
      </c>
      <c r="F518" s="46">
        <f>IFERROR(VLOOKUP($E531,'BASE DE DATOS'!$A:$I,3,0),0)</f>
        <v>0</v>
      </c>
      <c r="G518" s="46">
        <f>IFERROR(VLOOKUP($E518,'BASE DE DATOS'!$A:$I,3,0),0)</f>
        <v>0</v>
      </c>
      <c r="H518" s="46">
        <f>IFERROR(VLOOKUP($E518,'BASE DE DATOS'!$A:$I,3,0),0)</f>
        <v>0</v>
      </c>
      <c r="I518" s="46">
        <f>IFERROR(VLOOKUP($E518,'BASE DE DATOS'!$A:$I,3,0),0)</f>
        <v>0</v>
      </c>
      <c r="J518" s="46">
        <f>IFERROR(VLOOKUP($E518,'BASE DE DATOS'!$A:$I,3,0),0)</f>
        <v>0</v>
      </c>
      <c r="K518" s="46">
        <f>IFERROR(VLOOKUP($E777,'BASE DE DATOS'!$A:$I,3,0),0)</f>
        <v>0</v>
      </c>
      <c r="L518" s="46">
        <f>IFERROR(VLOOKUP($E518,'BASE DE DATOS'!$A:$I,3,0),0)</f>
        <v>0</v>
      </c>
    </row>
    <row r="519" spans="4:12" x14ac:dyDescent="0.25">
      <c r="D519" s="46" t="str">
        <f>IFERROR(VLOOKUP($E519,'BASE DE DATOS'!$A:$I,2,0)," ")</f>
        <v xml:space="preserve"> </v>
      </c>
      <c r="F519" s="46">
        <f>IFERROR(VLOOKUP($E532,'BASE DE DATOS'!$A:$I,3,0),0)</f>
        <v>0</v>
      </c>
      <c r="G519" s="46">
        <f>IFERROR(VLOOKUP($E519,'BASE DE DATOS'!$A:$I,3,0),0)</f>
        <v>0</v>
      </c>
      <c r="H519" s="46">
        <f>IFERROR(VLOOKUP($E519,'BASE DE DATOS'!$A:$I,3,0),0)</f>
        <v>0</v>
      </c>
      <c r="I519" s="46">
        <f>IFERROR(VLOOKUP($E519,'BASE DE DATOS'!$A:$I,3,0),0)</f>
        <v>0</v>
      </c>
      <c r="J519" s="46">
        <f>IFERROR(VLOOKUP($E519,'BASE DE DATOS'!$A:$I,3,0),0)</f>
        <v>0</v>
      </c>
      <c r="K519" s="46">
        <f>IFERROR(VLOOKUP($E778,'BASE DE DATOS'!$A:$I,3,0),0)</f>
        <v>0</v>
      </c>
      <c r="L519" s="46">
        <f>IFERROR(VLOOKUP($E519,'BASE DE DATOS'!$A:$I,3,0),0)</f>
        <v>0</v>
      </c>
    </row>
    <row r="520" spans="4:12" x14ac:dyDescent="0.25">
      <c r="D520" s="46" t="str">
        <f>IFERROR(VLOOKUP($E520,'BASE DE DATOS'!$A:$I,2,0)," ")</f>
        <v xml:space="preserve"> </v>
      </c>
      <c r="F520" s="46">
        <f>IFERROR(VLOOKUP($E533,'BASE DE DATOS'!$A:$I,3,0),0)</f>
        <v>0</v>
      </c>
      <c r="G520" s="46">
        <f>IFERROR(VLOOKUP($E520,'BASE DE DATOS'!$A:$I,3,0),0)</f>
        <v>0</v>
      </c>
      <c r="H520" s="46">
        <f>IFERROR(VLOOKUP($E520,'BASE DE DATOS'!$A:$I,3,0),0)</f>
        <v>0</v>
      </c>
      <c r="I520" s="46">
        <f>IFERROR(VLOOKUP($E520,'BASE DE DATOS'!$A:$I,3,0),0)</f>
        <v>0</v>
      </c>
      <c r="J520" s="46">
        <f>IFERROR(VLOOKUP($E520,'BASE DE DATOS'!$A:$I,3,0),0)</f>
        <v>0</v>
      </c>
      <c r="K520" s="46">
        <f>IFERROR(VLOOKUP($E779,'BASE DE DATOS'!$A:$I,3,0),0)</f>
        <v>0</v>
      </c>
      <c r="L520" s="46">
        <f>IFERROR(VLOOKUP($E520,'BASE DE DATOS'!$A:$I,3,0),0)</f>
        <v>0</v>
      </c>
    </row>
    <row r="521" spans="4:12" x14ac:dyDescent="0.25">
      <c r="D521" s="46" t="str">
        <f>IFERROR(VLOOKUP($E521,'BASE DE DATOS'!$A:$I,2,0)," ")</f>
        <v xml:space="preserve"> </v>
      </c>
      <c r="F521" s="46">
        <f>IFERROR(VLOOKUP($E534,'BASE DE DATOS'!$A:$I,3,0),0)</f>
        <v>0</v>
      </c>
      <c r="G521" s="46">
        <f>IFERROR(VLOOKUP($E521,'BASE DE DATOS'!$A:$I,3,0),0)</f>
        <v>0</v>
      </c>
      <c r="H521" s="46">
        <f>IFERROR(VLOOKUP($E521,'BASE DE DATOS'!$A:$I,3,0),0)</f>
        <v>0</v>
      </c>
      <c r="I521" s="46">
        <f>IFERROR(VLOOKUP($E521,'BASE DE DATOS'!$A:$I,3,0),0)</f>
        <v>0</v>
      </c>
      <c r="J521" s="46">
        <f>IFERROR(VLOOKUP($E521,'BASE DE DATOS'!$A:$I,3,0),0)</f>
        <v>0</v>
      </c>
      <c r="K521" s="46">
        <f>IFERROR(VLOOKUP($E780,'BASE DE DATOS'!$A:$I,3,0),0)</f>
        <v>0</v>
      </c>
      <c r="L521" s="46">
        <f>IFERROR(VLOOKUP($E521,'BASE DE DATOS'!$A:$I,3,0),0)</f>
        <v>0</v>
      </c>
    </row>
    <row r="522" spans="4:12" x14ac:dyDescent="0.25">
      <c r="D522" s="46" t="str">
        <f>IFERROR(VLOOKUP($E522,'BASE DE DATOS'!$A:$I,2,0)," ")</f>
        <v xml:space="preserve"> </v>
      </c>
      <c r="F522" s="46">
        <f>IFERROR(VLOOKUP($E535,'BASE DE DATOS'!$A:$I,3,0),0)</f>
        <v>0</v>
      </c>
      <c r="G522" s="46">
        <f>IFERROR(VLOOKUP($E522,'BASE DE DATOS'!$A:$I,3,0),0)</f>
        <v>0</v>
      </c>
      <c r="H522" s="46">
        <f>IFERROR(VLOOKUP($E522,'BASE DE DATOS'!$A:$I,3,0),0)</f>
        <v>0</v>
      </c>
      <c r="I522" s="46">
        <f>IFERROR(VLOOKUP($E522,'BASE DE DATOS'!$A:$I,3,0),0)</f>
        <v>0</v>
      </c>
      <c r="J522" s="46">
        <f>IFERROR(VLOOKUP($E522,'BASE DE DATOS'!$A:$I,3,0),0)</f>
        <v>0</v>
      </c>
      <c r="K522" s="46">
        <f>IFERROR(VLOOKUP($E781,'BASE DE DATOS'!$A:$I,3,0),0)</f>
        <v>0</v>
      </c>
      <c r="L522" s="46">
        <f>IFERROR(VLOOKUP($E522,'BASE DE DATOS'!$A:$I,3,0),0)</f>
        <v>0</v>
      </c>
    </row>
    <row r="523" spans="4:12" x14ac:dyDescent="0.25">
      <c r="D523" s="46" t="str">
        <f>IFERROR(VLOOKUP($E523,'BASE DE DATOS'!$A:$I,2,0)," ")</f>
        <v xml:space="preserve"> </v>
      </c>
      <c r="F523" s="46">
        <f>IFERROR(VLOOKUP($E536,'BASE DE DATOS'!$A:$I,3,0),0)</f>
        <v>0</v>
      </c>
      <c r="G523" s="46">
        <f>IFERROR(VLOOKUP($E523,'BASE DE DATOS'!$A:$I,3,0),0)</f>
        <v>0</v>
      </c>
      <c r="H523" s="46">
        <f>IFERROR(VLOOKUP($E523,'BASE DE DATOS'!$A:$I,3,0),0)</f>
        <v>0</v>
      </c>
      <c r="I523" s="46">
        <f>IFERROR(VLOOKUP($E523,'BASE DE DATOS'!$A:$I,3,0),0)</f>
        <v>0</v>
      </c>
      <c r="J523" s="46">
        <f>IFERROR(VLOOKUP($E523,'BASE DE DATOS'!$A:$I,3,0),0)</f>
        <v>0</v>
      </c>
      <c r="K523" s="46">
        <f>IFERROR(VLOOKUP($E782,'BASE DE DATOS'!$A:$I,3,0),0)</f>
        <v>0</v>
      </c>
      <c r="L523" s="46">
        <f>IFERROR(VLOOKUP($E523,'BASE DE DATOS'!$A:$I,3,0),0)</f>
        <v>0</v>
      </c>
    </row>
    <row r="524" spans="4:12" x14ac:dyDescent="0.25">
      <c r="D524" s="46" t="str">
        <f>IFERROR(VLOOKUP($E524,'BASE DE DATOS'!$A:$I,2,0)," ")</f>
        <v xml:space="preserve"> </v>
      </c>
      <c r="F524" s="46">
        <f>IFERROR(VLOOKUP($E537,'BASE DE DATOS'!$A:$I,3,0),0)</f>
        <v>0</v>
      </c>
      <c r="G524" s="46">
        <f>IFERROR(VLOOKUP($E524,'BASE DE DATOS'!$A:$I,3,0),0)</f>
        <v>0</v>
      </c>
      <c r="H524" s="46">
        <f>IFERROR(VLOOKUP($E524,'BASE DE DATOS'!$A:$I,3,0),0)</f>
        <v>0</v>
      </c>
      <c r="I524" s="46">
        <f>IFERROR(VLOOKUP($E524,'BASE DE DATOS'!$A:$I,3,0),0)</f>
        <v>0</v>
      </c>
      <c r="J524" s="46">
        <f>IFERROR(VLOOKUP($E524,'BASE DE DATOS'!$A:$I,3,0),0)</f>
        <v>0</v>
      </c>
      <c r="K524" s="46">
        <f>IFERROR(VLOOKUP($E783,'BASE DE DATOS'!$A:$I,3,0),0)</f>
        <v>0</v>
      </c>
      <c r="L524" s="46">
        <f>IFERROR(VLOOKUP($E524,'BASE DE DATOS'!$A:$I,3,0),0)</f>
        <v>0</v>
      </c>
    </row>
    <row r="525" spans="4:12" x14ac:dyDescent="0.25">
      <c r="D525" s="46" t="str">
        <f>IFERROR(VLOOKUP($E525,'BASE DE DATOS'!$A:$I,2,0)," ")</f>
        <v xml:space="preserve"> </v>
      </c>
      <c r="F525" s="46">
        <f>IFERROR(VLOOKUP($E538,'BASE DE DATOS'!$A:$I,3,0),0)</f>
        <v>0</v>
      </c>
      <c r="G525" s="46">
        <f>IFERROR(VLOOKUP($E525,'BASE DE DATOS'!$A:$I,3,0),0)</f>
        <v>0</v>
      </c>
      <c r="H525" s="46">
        <f>IFERROR(VLOOKUP($E525,'BASE DE DATOS'!$A:$I,3,0),0)</f>
        <v>0</v>
      </c>
      <c r="I525" s="46">
        <f>IFERROR(VLOOKUP($E525,'BASE DE DATOS'!$A:$I,3,0),0)</f>
        <v>0</v>
      </c>
      <c r="J525" s="46">
        <f>IFERROR(VLOOKUP($E525,'BASE DE DATOS'!$A:$I,3,0),0)</f>
        <v>0</v>
      </c>
      <c r="K525" s="46">
        <f>IFERROR(VLOOKUP($E784,'BASE DE DATOS'!$A:$I,3,0),0)</f>
        <v>0</v>
      </c>
      <c r="L525" s="46">
        <f>IFERROR(VLOOKUP($E525,'BASE DE DATOS'!$A:$I,3,0),0)</f>
        <v>0</v>
      </c>
    </row>
    <row r="526" spans="4:12" x14ac:dyDescent="0.25">
      <c r="D526" s="46" t="str">
        <f>IFERROR(VLOOKUP($E526,'BASE DE DATOS'!$A:$I,2,0)," ")</f>
        <v xml:space="preserve"> </v>
      </c>
      <c r="F526" s="46">
        <f>IFERROR(VLOOKUP($E539,'BASE DE DATOS'!$A:$I,3,0),0)</f>
        <v>0</v>
      </c>
      <c r="G526" s="46">
        <f>IFERROR(VLOOKUP($E526,'BASE DE DATOS'!$A:$I,3,0),0)</f>
        <v>0</v>
      </c>
      <c r="H526" s="46">
        <f>IFERROR(VLOOKUP($E526,'BASE DE DATOS'!$A:$I,3,0),0)</f>
        <v>0</v>
      </c>
      <c r="I526" s="46">
        <f>IFERROR(VLOOKUP($E526,'BASE DE DATOS'!$A:$I,3,0),0)</f>
        <v>0</v>
      </c>
      <c r="J526" s="46">
        <f>IFERROR(VLOOKUP($E526,'BASE DE DATOS'!$A:$I,3,0),0)</f>
        <v>0</v>
      </c>
      <c r="K526" s="46">
        <f>IFERROR(VLOOKUP($E785,'BASE DE DATOS'!$A:$I,3,0),0)</f>
        <v>0</v>
      </c>
      <c r="L526" s="46">
        <f>IFERROR(VLOOKUP($E526,'BASE DE DATOS'!$A:$I,3,0),0)</f>
        <v>0</v>
      </c>
    </row>
    <row r="527" spans="4:12" x14ac:dyDescent="0.25">
      <c r="D527" s="46" t="str">
        <f>IFERROR(VLOOKUP($E527,'BASE DE DATOS'!$A:$I,2,0)," ")</f>
        <v xml:space="preserve"> </v>
      </c>
      <c r="F527" s="46">
        <f>IFERROR(VLOOKUP($E540,'BASE DE DATOS'!$A:$I,3,0),0)</f>
        <v>0</v>
      </c>
      <c r="G527" s="46">
        <f>IFERROR(VLOOKUP($E527,'BASE DE DATOS'!$A:$I,3,0),0)</f>
        <v>0</v>
      </c>
      <c r="H527" s="46">
        <f>IFERROR(VLOOKUP($E527,'BASE DE DATOS'!$A:$I,3,0),0)</f>
        <v>0</v>
      </c>
      <c r="I527" s="46">
        <f>IFERROR(VLOOKUP($E527,'BASE DE DATOS'!$A:$I,3,0),0)</f>
        <v>0</v>
      </c>
      <c r="J527" s="46">
        <f>IFERROR(VLOOKUP($E527,'BASE DE DATOS'!$A:$I,3,0),0)</f>
        <v>0</v>
      </c>
      <c r="K527" s="46">
        <f>IFERROR(VLOOKUP($E786,'BASE DE DATOS'!$A:$I,3,0),0)</f>
        <v>0</v>
      </c>
      <c r="L527" s="46">
        <f>IFERROR(VLOOKUP($E527,'BASE DE DATOS'!$A:$I,3,0),0)</f>
        <v>0</v>
      </c>
    </row>
    <row r="528" spans="4:12" x14ac:dyDescent="0.25">
      <c r="D528" s="46" t="str">
        <f>IFERROR(VLOOKUP($E528,'BASE DE DATOS'!$A:$I,2,0)," ")</f>
        <v xml:space="preserve"> </v>
      </c>
      <c r="F528" s="46">
        <f>IFERROR(VLOOKUP($E541,'BASE DE DATOS'!$A:$I,3,0),0)</f>
        <v>0</v>
      </c>
      <c r="G528" s="46">
        <f>IFERROR(VLOOKUP($E528,'BASE DE DATOS'!$A:$I,3,0),0)</f>
        <v>0</v>
      </c>
      <c r="H528" s="46">
        <f>IFERROR(VLOOKUP($E528,'BASE DE DATOS'!$A:$I,3,0),0)</f>
        <v>0</v>
      </c>
      <c r="I528" s="46">
        <f>IFERROR(VLOOKUP($E528,'BASE DE DATOS'!$A:$I,3,0),0)</f>
        <v>0</v>
      </c>
      <c r="J528" s="46">
        <f>IFERROR(VLOOKUP($E528,'BASE DE DATOS'!$A:$I,3,0),0)</f>
        <v>0</v>
      </c>
      <c r="K528" s="46">
        <f>IFERROR(VLOOKUP($E787,'BASE DE DATOS'!$A:$I,3,0),0)</f>
        <v>0</v>
      </c>
      <c r="L528" s="46">
        <f>IFERROR(VLOOKUP($E528,'BASE DE DATOS'!$A:$I,3,0),0)</f>
        <v>0</v>
      </c>
    </row>
    <row r="529" spans="4:12" x14ac:dyDescent="0.25">
      <c r="D529" s="46" t="str">
        <f>IFERROR(VLOOKUP($E529,'BASE DE DATOS'!$A:$I,2,0)," ")</f>
        <v xml:space="preserve"> </v>
      </c>
      <c r="F529" s="46">
        <f>IFERROR(VLOOKUP($E542,'BASE DE DATOS'!$A:$I,3,0),0)</f>
        <v>0</v>
      </c>
      <c r="G529" s="46">
        <f>IFERROR(VLOOKUP($E529,'BASE DE DATOS'!$A:$I,3,0),0)</f>
        <v>0</v>
      </c>
      <c r="H529" s="46">
        <f>IFERROR(VLOOKUP($E529,'BASE DE DATOS'!$A:$I,3,0),0)</f>
        <v>0</v>
      </c>
      <c r="I529" s="46">
        <f>IFERROR(VLOOKUP($E529,'BASE DE DATOS'!$A:$I,3,0),0)</f>
        <v>0</v>
      </c>
      <c r="J529" s="46">
        <f>IFERROR(VLOOKUP($E529,'BASE DE DATOS'!$A:$I,3,0),0)</f>
        <v>0</v>
      </c>
      <c r="K529" s="46">
        <f>IFERROR(VLOOKUP($E788,'BASE DE DATOS'!$A:$I,3,0),0)</f>
        <v>0</v>
      </c>
      <c r="L529" s="46">
        <f>IFERROR(VLOOKUP($E529,'BASE DE DATOS'!$A:$I,3,0),0)</f>
        <v>0</v>
      </c>
    </row>
    <row r="530" spans="4:12" x14ac:dyDescent="0.25">
      <c r="D530" s="46" t="str">
        <f>IFERROR(VLOOKUP($E530,'BASE DE DATOS'!$A:$I,2,0)," ")</f>
        <v xml:space="preserve"> </v>
      </c>
      <c r="F530" s="46">
        <f>IFERROR(VLOOKUP($E543,'BASE DE DATOS'!$A:$I,3,0),0)</f>
        <v>0</v>
      </c>
      <c r="G530" s="46">
        <f>IFERROR(VLOOKUP($E530,'BASE DE DATOS'!$A:$I,3,0),0)</f>
        <v>0</v>
      </c>
      <c r="H530" s="46">
        <f>IFERROR(VLOOKUP($E530,'BASE DE DATOS'!$A:$I,3,0),0)</f>
        <v>0</v>
      </c>
      <c r="I530" s="46">
        <f>IFERROR(VLOOKUP($E530,'BASE DE DATOS'!$A:$I,3,0),0)</f>
        <v>0</v>
      </c>
      <c r="J530" s="46">
        <f>IFERROR(VLOOKUP($E530,'BASE DE DATOS'!$A:$I,3,0),0)</f>
        <v>0</v>
      </c>
      <c r="K530" s="46">
        <f>IFERROR(VLOOKUP($E789,'BASE DE DATOS'!$A:$I,3,0),0)</f>
        <v>0</v>
      </c>
      <c r="L530" s="46">
        <f>IFERROR(VLOOKUP($E530,'BASE DE DATOS'!$A:$I,3,0),0)</f>
        <v>0</v>
      </c>
    </row>
    <row r="531" spans="4:12" x14ac:dyDescent="0.25">
      <c r="D531" s="46" t="str">
        <f>IFERROR(VLOOKUP($E531,'BASE DE DATOS'!$A:$I,2,0)," ")</f>
        <v xml:space="preserve"> </v>
      </c>
      <c r="F531" s="46">
        <f>IFERROR(VLOOKUP($E544,'BASE DE DATOS'!$A:$I,3,0),0)</f>
        <v>0</v>
      </c>
      <c r="G531" s="46">
        <f>IFERROR(VLOOKUP($E531,'BASE DE DATOS'!$A:$I,3,0),0)</f>
        <v>0</v>
      </c>
      <c r="H531" s="46">
        <f>IFERROR(VLOOKUP($E531,'BASE DE DATOS'!$A:$I,3,0),0)</f>
        <v>0</v>
      </c>
      <c r="I531" s="46">
        <f>IFERROR(VLOOKUP($E531,'BASE DE DATOS'!$A:$I,3,0),0)</f>
        <v>0</v>
      </c>
      <c r="J531" s="46">
        <f>IFERROR(VLOOKUP($E531,'BASE DE DATOS'!$A:$I,3,0),0)</f>
        <v>0</v>
      </c>
      <c r="K531" s="46">
        <f>IFERROR(VLOOKUP($E790,'BASE DE DATOS'!$A:$I,3,0),0)</f>
        <v>0</v>
      </c>
      <c r="L531" s="46">
        <f>IFERROR(VLOOKUP($E531,'BASE DE DATOS'!$A:$I,3,0),0)</f>
        <v>0</v>
      </c>
    </row>
    <row r="532" spans="4:12" x14ac:dyDescent="0.25">
      <c r="D532" s="46" t="str">
        <f>IFERROR(VLOOKUP($E532,'BASE DE DATOS'!$A:$I,2,0)," ")</f>
        <v xml:space="preserve"> </v>
      </c>
      <c r="F532" s="46">
        <f>IFERROR(VLOOKUP($E545,'BASE DE DATOS'!$A:$I,3,0),0)</f>
        <v>0</v>
      </c>
      <c r="G532" s="46">
        <f>IFERROR(VLOOKUP($E532,'BASE DE DATOS'!$A:$I,3,0),0)</f>
        <v>0</v>
      </c>
      <c r="H532" s="46">
        <f>IFERROR(VLOOKUP($E532,'BASE DE DATOS'!$A:$I,3,0),0)</f>
        <v>0</v>
      </c>
      <c r="I532" s="46">
        <f>IFERROR(VLOOKUP($E532,'BASE DE DATOS'!$A:$I,3,0),0)</f>
        <v>0</v>
      </c>
      <c r="J532" s="46">
        <f>IFERROR(VLOOKUP($E532,'BASE DE DATOS'!$A:$I,3,0),0)</f>
        <v>0</v>
      </c>
      <c r="K532" s="46">
        <f>IFERROR(VLOOKUP($E791,'BASE DE DATOS'!$A:$I,3,0),0)</f>
        <v>0</v>
      </c>
      <c r="L532" s="46">
        <f>IFERROR(VLOOKUP($E532,'BASE DE DATOS'!$A:$I,3,0),0)</f>
        <v>0</v>
      </c>
    </row>
    <row r="533" spans="4:12" x14ac:dyDescent="0.25">
      <c r="D533" s="46" t="str">
        <f>IFERROR(VLOOKUP($E533,'BASE DE DATOS'!$A:$I,2,0)," ")</f>
        <v xml:space="preserve"> </v>
      </c>
      <c r="F533" s="46">
        <f>IFERROR(VLOOKUP($E546,'BASE DE DATOS'!$A:$I,3,0),0)</f>
        <v>0</v>
      </c>
      <c r="G533" s="46">
        <f>IFERROR(VLOOKUP($E533,'BASE DE DATOS'!$A:$I,3,0),0)</f>
        <v>0</v>
      </c>
      <c r="H533" s="46">
        <f>IFERROR(VLOOKUP($E533,'BASE DE DATOS'!$A:$I,3,0),0)</f>
        <v>0</v>
      </c>
      <c r="I533" s="46">
        <f>IFERROR(VLOOKUP($E533,'BASE DE DATOS'!$A:$I,3,0),0)</f>
        <v>0</v>
      </c>
      <c r="J533" s="46">
        <f>IFERROR(VLOOKUP($E533,'BASE DE DATOS'!$A:$I,3,0),0)</f>
        <v>0</v>
      </c>
      <c r="K533" s="46">
        <f>IFERROR(VLOOKUP($E792,'BASE DE DATOS'!$A:$I,3,0),0)</f>
        <v>0</v>
      </c>
      <c r="L533" s="46">
        <f>IFERROR(VLOOKUP($E533,'BASE DE DATOS'!$A:$I,3,0),0)</f>
        <v>0</v>
      </c>
    </row>
    <row r="534" spans="4:12" x14ac:dyDescent="0.25">
      <c r="D534" s="46" t="str">
        <f>IFERROR(VLOOKUP($E534,'BASE DE DATOS'!$A:$I,2,0)," ")</f>
        <v xml:space="preserve"> </v>
      </c>
      <c r="F534" s="46">
        <f>IFERROR(VLOOKUP($E547,'BASE DE DATOS'!$A:$I,3,0),0)</f>
        <v>0</v>
      </c>
      <c r="G534" s="46">
        <f>IFERROR(VLOOKUP($E534,'BASE DE DATOS'!$A:$I,3,0),0)</f>
        <v>0</v>
      </c>
      <c r="H534" s="46">
        <f>IFERROR(VLOOKUP($E534,'BASE DE DATOS'!$A:$I,3,0),0)</f>
        <v>0</v>
      </c>
      <c r="I534" s="46">
        <f>IFERROR(VLOOKUP($E534,'BASE DE DATOS'!$A:$I,3,0),0)</f>
        <v>0</v>
      </c>
      <c r="J534" s="46">
        <f>IFERROR(VLOOKUP($E534,'BASE DE DATOS'!$A:$I,3,0),0)</f>
        <v>0</v>
      </c>
      <c r="K534" s="46">
        <f>IFERROR(VLOOKUP($E793,'BASE DE DATOS'!$A:$I,3,0),0)</f>
        <v>0</v>
      </c>
      <c r="L534" s="46">
        <f>IFERROR(VLOOKUP($E534,'BASE DE DATOS'!$A:$I,3,0),0)</f>
        <v>0</v>
      </c>
    </row>
    <row r="535" spans="4:12" x14ac:dyDescent="0.25">
      <c r="D535" s="46" t="str">
        <f>IFERROR(VLOOKUP($E535,'BASE DE DATOS'!$A:$I,2,0)," ")</f>
        <v xml:space="preserve"> </v>
      </c>
      <c r="F535" s="46">
        <f>IFERROR(VLOOKUP($E548,'BASE DE DATOS'!$A:$I,3,0),0)</f>
        <v>0</v>
      </c>
      <c r="G535" s="46">
        <f>IFERROR(VLOOKUP($E535,'BASE DE DATOS'!$A:$I,3,0),0)</f>
        <v>0</v>
      </c>
      <c r="H535" s="46">
        <f>IFERROR(VLOOKUP($E535,'BASE DE DATOS'!$A:$I,3,0),0)</f>
        <v>0</v>
      </c>
      <c r="I535" s="46">
        <f>IFERROR(VLOOKUP($E535,'BASE DE DATOS'!$A:$I,3,0),0)</f>
        <v>0</v>
      </c>
      <c r="J535" s="46">
        <f>IFERROR(VLOOKUP($E535,'BASE DE DATOS'!$A:$I,3,0),0)</f>
        <v>0</v>
      </c>
      <c r="K535" s="46">
        <f>IFERROR(VLOOKUP($E794,'BASE DE DATOS'!$A:$I,3,0),0)</f>
        <v>0</v>
      </c>
      <c r="L535" s="46">
        <f>IFERROR(VLOOKUP($E535,'BASE DE DATOS'!$A:$I,3,0),0)</f>
        <v>0</v>
      </c>
    </row>
    <row r="536" spans="4:12" x14ac:dyDescent="0.25">
      <c r="D536" s="46" t="str">
        <f>IFERROR(VLOOKUP($E536,'BASE DE DATOS'!$A:$I,2,0)," ")</f>
        <v xml:space="preserve"> </v>
      </c>
      <c r="F536" s="46">
        <f>IFERROR(VLOOKUP($E549,'BASE DE DATOS'!$A:$I,3,0),0)</f>
        <v>0</v>
      </c>
      <c r="G536" s="46">
        <f>IFERROR(VLOOKUP($E536,'BASE DE DATOS'!$A:$I,3,0),0)</f>
        <v>0</v>
      </c>
      <c r="H536" s="46">
        <f>IFERROR(VLOOKUP($E536,'BASE DE DATOS'!$A:$I,3,0),0)</f>
        <v>0</v>
      </c>
      <c r="I536" s="46">
        <f>IFERROR(VLOOKUP($E536,'BASE DE DATOS'!$A:$I,3,0),0)</f>
        <v>0</v>
      </c>
      <c r="J536" s="46">
        <f>IFERROR(VLOOKUP($E536,'BASE DE DATOS'!$A:$I,3,0),0)</f>
        <v>0</v>
      </c>
      <c r="K536" s="46">
        <f>IFERROR(VLOOKUP($E795,'BASE DE DATOS'!$A:$I,3,0),0)</f>
        <v>0</v>
      </c>
      <c r="L536" s="46">
        <f>IFERROR(VLOOKUP($E536,'BASE DE DATOS'!$A:$I,3,0),0)</f>
        <v>0</v>
      </c>
    </row>
    <row r="537" spans="4:12" x14ac:dyDescent="0.25">
      <c r="D537" s="46" t="str">
        <f>IFERROR(VLOOKUP($E537,'BASE DE DATOS'!$A:$I,2,0)," ")</f>
        <v xml:space="preserve"> </v>
      </c>
      <c r="F537" s="46">
        <f>IFERROR(VLOOKUP($E550,'BASE DE DATOS'!$A:$I,3,0),0)</f>
        <v>0</v>
      </c>
      <c r="G537" s="46">
        <f>IFERROR(VLOOKUP($E537,'BASE DE DATOS'!$A:$I,3,0),0)</f>
        <v>0</v>
      </c>
      <c r="H537" s="46">
        <f>IFERROR(VLOOKUP($E537,'BASE DE DATOS'!$A:$I,3,0),0)</f>
        <v>0</v>
      </c>
      <c r="I537" s="46">
        <f>IFERROR(VLOOKUP($E537,'BASE DE DATOS'!$A:$I,3,0),0)</f>
        <v>0</v>
      </c>
      <c r="J537" s="46">
        <f>IFERROR(VLOOKUP($E537,'BASE DE DATOS'!$A:$I,3,0),0)</f>
        <v>0</v>
      </c>
      <c r="K537" s="46">
        <f>IFERROR(VLOOKUP($E796,'BASE DE DATOS'!$A:$I,3,0),0)</f>
        <v>0</v>
      </c>
      <c r="L537" s="46">
        <f>IFERROR(VLOOKUP($E537,'BASE DE DATOS'!$A:$I,3,0),0)</f>
        <v>0</v>
      </c>
    </row>
    <row r="538" spans="4:12" x14ac:dyDescent="0.25">
      <c r="D538" s="46" t="str">
        <f>IFERROR(VLOOKUP($E538,'BASE DE DATOS'!$A:$I,2,0)," ")</f>
        <v xml:space="preserve"> </v>
      </c>
      <c r="F538" s="46">
        <f>IFERROR(VLOOKUP($E551,'BASE DE DATOS'!$A:$I,3,0),0)</f>
        <v>0</v>
      </c>
      <c r="G538" s="46">
        <f>IFERROR(VLOOKUP($E538,'BASE DE DATOS'!$A:$I,3,0),0)</f>
        <v>0</v>
      </c>
      <c r="H538" s="46">
        <f>IFERROR(VLOOKUP($E538,'BASE DE DATOS'!$A:$I,3,0),0)</f>
        <v>0</v>
      </c>
      <c r="I538" s="46">
        <f>IFERROR(VLOOKUP($E538,'BASE DE DATOS'!$A:$I,3,0),0)</f>
        <v>0</v>
      </c>
      <c r="J538" s="46">
        <f>IFERROR(VLOOKUP($E538,'BASE DE DATOS'!$A:$I,3,0),0)</f>
        <v>0</v>
      </c>
      <c r="K538" s="46">
        <f>IFERROR(VLOOKUP($E797,'BASE DE DATOS'!$A:$I,3,0),0)</f>
        <v>0</v>
      </c>
      <c r="L538" s="46">
        <f>IFERROR(VLOOKUP($E538,'BASE DE DATOS'!$A:$I,3,0),0)</f>
        <v>0</v>
      </c>
    </row>
    <row r="539" spans="4:12" x14ac:dyDescent="0.25">
      <c r="D539" s="46" t="str">
        <f>IFERROR(VLOOKUP($E539,'BASE DE DATOS'!$A:$I,2,0)," ")</f>
        <v xml:space="preserve"> </v>
      </c>
      <c r="F539" s="46">
        <f>IFERROR(VLOOKUP($E552,'BASE DE DATOS'!$A:$I,3,0),0)</f>
        <v>0</v>
      </c>
      <c r="G539" s="46">
        <f>IFERROR(VLOOKUP($E539,'BASE DE DATOS'!$A:$I,3,0),0)</f>
        <v>0</v>
      </c>
      <c r="H539" s="46">
        <f>IFERROR(VLOOKUP($E539,'BASE DE DATOS'!$A:$I,3,0),0)</f>
        <v>0</v>
      </c>
      <c r="I539" s="46">
        <f>IFERROR(VLOOKUP($E539,'BASE DE DATOS'!$A:$I,3,0),0)</f>
        <v>0</v>
      </c>
      <c r="J539" s="46">
        <f>IFERROR(VLOOKUP($E539,'BASE DE DATOS'!$A:$I,3,0),0)</f>
        <v>0</v>
      </c>
      <c r="K539" s="46">
        <f>IFERROR(VLOOKUP($E798,'BASE DE DATOS'!$A:$I,3,0),0)</f>
        <v>0</v>
      </c>
      <c r="L539" s="46">
        <f>IFERROR(VLOOKUP($E539,'BASE DE DATOS'!$A:$I,3,0),0)</f>
        <v>0</v>
      </c>
    </row>
    <row r="540" spans="4:12" x14ac:dyDescent="0.25">
      <c r="D540" s="46" t="str">
        <f>IFERROR(VLOOKUP($E540,'BASE DE DATOS'!$A:$I,2,0)," ")</f>
        <v xml:space="preserve"> </v>
      </c>
      <c r="F540" s="46">
        <f>IFERROR(VLOOKUP($E553,'BASE DE DATOS'!$A:$I,3,0),0)</f>
        <v>0</v>
      </c>
      <c r="G540" s="46">
        <f>IFERROR(VLOOKUP($E540,'BASE DE DATOS'!$A:$I,3,0),0)</f>
        <v>0</v>
      </c>
      <c r="H540" s="46">
        <f>IFERROR(VLOOKUP($E540,'BASE DE DATOS'!$A:$I,3,0),0)</f>
        <v>0</v>
      </c>
      <c r="I540" s="46">
        <f>IFERROR(VLOOKUP($E540,'BASE DE DATOS'!$A:$I,3,0),0)</f>
        <v>0</v>
      </c>
      <c r="J540" s="46">
        <f>IFERROR(VLOOKUP($E540,'BASE DE DATOS'!$A:$I,3,0),0)</f>
        <v>0</v>
      </c>
      <c r="K540" s="46">
        <f>IFERROR(VLOOKUP($E799,'BASE DE DATOS'!$A:$I,3,0),0)</f>
        <v>0</v>
      </c>
      <c r="L540" s="46">
        <f>IFERROR(VLOOKUP($E540,'BASE DE DATOS'!$A:$I,3,0),0)</f>
        <v>0</v>
      </c>
    </row>
    <row r="541" spans="4:12" x14ac:dyDescent="0.25">
      <c r="D541" s="46" t="str">
        <f>IFERROR(VLOOKUP($E541,'BASE DE DATOS'!$A:$I,2,0)," ")</f>
        <v xml:space="preserve"> </v>
      </c>
      <c r="F541" s="46">
        <f>IFERROR(VLOOKUP($E554,'BASE DE DATOS'!$A:$I,3,0),0)</f>
        <v>0</v>
      </c>
      <c r="G541" s="46">
        <f>IFERROR(VLOOKUP($E541,'BASE DE DATOS'!$A:$I,3,0),0)</f>
        <v>0</v>
      </c>
      <c r="H541" s="46">
        <f>IFERROR(VLOOKUP($E541,'BASE DE DATOS'!$A:$I,3,0),0)</f>
        <v>0</v>
      </c>
      <c r="I541" s="46">
        <f>IFERROR(VLOOKUP($E541,'BASE DE DATOS'!$A:$I,3,0),0)</f>
        <v>0</v>
      </c>
      <c r="J541" s="46">
        <f>IFERROR(VLOOKUP($E541,'BASE DE DATOS'!$A:$I,3,0),0)</f>
        <v>0</v>
      </c>
      <c r="K541" s="46">
        <f>IFERROR(VLOOKUP($E800,'BASE DE DATOS'!$A:$I,3,0),0)</f>
        <v>0</v>
      </c>
      <c r="L541" s="46">
        <f>IFERROR(VLOOKUP($E541,'BASE DE DATOS'!$A:$I,3,0),0)</f>
        <v>0</v>
      </c>
    </row>
    <row r="542" spans="4:12" x14ac:dyDescent="0.25">
      <c r="D542" s="46" t="str">
        <f>IFERROR(VLOOKUP($E542,'BASE DE DATOS'!$A:$I,2,0)," ")</f>
        <v xml:space="preserve"> </v>
      </c>
      <c r="F542" s="46">
        <f>IFERROR(VLOOKUP($E555,'BASE DE DATOS'!$A:$I,3,0),0)</f>
        <v>0</v>
      </c>
      <c r="G542" s="46">
        <f>IFERROR(VLOOKUP($E542,'BASE DE DATOS'!$A:$I,3,0),0)</f>
        <v>0</v>
      </c>
      <c r="H542" s="46">
        <f>IFERROR(VLOOKUP($E542,'BASE DE DATOS'!$A:$I,3,0),0)</f>
        <v>0</v>
      </c>
      <c r="I542" s="46">
        <f>IFERROR(VLOOKUP($E542,'BASE DE DATOS'!$A:$I,3,0),0)</f>
        <v>0</v>
      </c>
      <c r="J542" s="46">
        <f>IFERROR(VLOOKUP($E542,'BASE DE DATOS'!$A:$I,3,0),0)</f>
        <v>0</v>
      </c>
      <c r="K542" s="46">
        <f>IFERROR(VLOOKUP($E801,'BASE DE DATOS'!$A:$I,3,0),0)</f>
        <v>0</v>
      </c>
      <c r="L542" s="46">
        <f>IFERROR(VLOOKUP($E542,'BASE DE DATOS'!$A:$I,3,0),0)</f>
        <v>0</v>
      </c>
    </row>
    <row r="543" spans="4:12" x14ac:dyDescent="0.25">
      <c r="D543" s="46" t="str">
        <f>IFERROR(VLOOKUP($E543,'BASE DE DATOS'!$A:$I,2,0)," ")</f>
        <v xml:space="preserve"> </v>
      </c>
      <c r="F543" s="46">
        <f>IFERROR(VLOOKUP($E556,'BASE DE DATOS'!$A:$I,3,0),0)</f>
        <v>0</v>
      </c>
      <c r="G543" s="46">
        <f>IFERROR(VLOOKUP($E543,'BASE DE DATOS'!$A:$I,3,0),0)</f>
        <v>0</v>
      </c>
      <c r="H543" s="46">
        <f>IFERROR(VLOOKUP($E543,'BASE DE DATOS'!$A:$I,3,0),0)</f>
        <v>0</v>
      </c>
      <c r="I543" s="46">
        <f>IFERROR(VLOOKUP($E543,'BASE DE DATOS'!$A:$I,3,0),0)</f>
        <v>0</v>
      </c>
      <c r="J543" s="46">
        <f>IFERROR(VLOOKUP($E543,'BASE DE DATOS'!$A:$I,3,0),0)</f>
        <v>0</v>
      </c>
      <c r="K543" s="46">
        <f>IFERROR(VLOOKUP($E802,'BASE DE DATOS'!$A:$I,3,0),0)</f>
        <v>0</v>
      </c>
      <c r="L543" s="46">
        <f>IFERROR(VLOOKUP($E543,'BASE DE DATOS'!$A:$I,3,0),0)</f>
        <v>0</v>
      </c>
    </row>
    <row r="544" spans="4:12" x14ac:dyDescent="0.25">
      <c r="D544" s="46" t="str">
        <f>IFERROR(VLOOKUP($E544,'BASE DE DATOS'!$A:$I,2,0)," ")</f>
        <v xml:space="preserve"> </v>
      </c>
      <c r="F544" s="46">
        <f>IFERROR(VLOOKUP($E557,'BASE DE DATOS'!$A:$I,3,0),0)</f>
        <v>0</v>
      </c>
      <c r="G544" s="46">
        <f>IFERROR(VLOOKUP($E544,'BASE DE DATOS'!$A:$I,3,0),0)</f>
        <v>0</v>
      </c>
      <c r="H544" s="46">
        <f>IFERROR(VLOOKUP($E544,'BASE DE DATOS'!$A:$I,3,0),0)</f>
        <v>0</v>
      </c>
      <c r="I544" s="46">
        <f>IFERROR(VLOOKUP($E544,'BASE DE DATOS'!$A:$I,3,0),0)</f>
        <v>0</v>
      </c>
      <c r="J544" s="46">
        <f>IFERROR(VLOOKUP($E544,'BASE DE DATOS'!$A:$I,3,0),0)</f>
        <v>0</v>
      </c>
      <c r="K544" s="46">
        <f>IFERROR(VLOOKUP($E803,'BASE DE DATOS'!$A:$I,3,0),0)</f>
        <v>0</v>
      </c>
      <c r="L544" s="46">
        <f>IFERROR(VLOOKUP($E544,'BASE DE DATOS'!$A:$I,3,0),0)</f>
        <v>0</v>
      </c>
    </row>
    <row r="545" spans="4:12" x14ac:dyDescent="0.25">
      <c r="D545" s="46" t="str">
        <f>IFERROR(VLOOKUP($E545,'BASE DE DATOS'!$A:$I,2,0)," ")</f>
        <v xml:space="preserve"> </v>
      </c>
      <c r="F545" s="46">
        <f>IFERROR(VLOOKUP($E558,'BASE DE DATOS'!$A:$I,3,0),0)</f>
        <v>0</v>
      </c>
      <c r="G545" s="46">
        <f>IFERROR(VLOOKUP($E545,'BASE DE DATOS'!$A:$I,3,0),0)</f>
        <v>0</v>
      </c>
      <c r="H545" s="46">
        <f>IFERROR(VLOOKUP($E545,'BASE DE DATOS'!$A:$I,3,0),0)</f>
        <v>0</v>
      </c>
      <c r="I545" s="46">
        <f>IFERROR(VLOOKUP($E545,'BASE DE DATOS'!$A:$I,3,0),0)</f>
        <v>0</v>
      </c>
      <c r="J545" s="46">
        <f>IFERROR(VLOOKUP($E545,'BASE DE DATOS'!$A:$I,3,0),0)</f>
        <v>0</v>
      </c>
      <c r="K545" s="46">
        <f>IFERROR(VLOOKUP($E804,'BASE DE DATOS'!$A:$I,3,0),0)</f>
        <v>0</v>
      </c>
      <c r="L545" s="46">
        <f>IFERROR(VLOOKUP($E545,'BASE DE DATOS'!$A:$I,3,0),0)</f>
        <v>0</v>
      </c>
    </row>
    <row r="546" spans="4:12" x14ac:dyDescent="0.25">
      <c r="D546" s="46" t="str">
        <f>IFERROR(VLOOKUP($E546,'BASE DE DATOS'!$A:$I,2,0)," ")</f>
        <v xml:space="preserve"> </v>
      </c>
      <c r="F546" s="46">
        <f>IFERROR(VLOOKUP($E559,'BASE DE DATOS'!$A:$I,3,0),0)</f>
        <v>0</v>
      </c>
      <c r="G546" s="46">
        <f>IFERROR(VLOOKUP($E546,'BASE DE DATOS'!$A:$I,3,0),0)</f>
        <v>0</v>
      </c>
      <c r="H546" s="46">
        <f>IFERROR(VLOOKUP($E546,'BASE DE DATOS'!$A:$I,3,0),0)</f>
        <v>0</v>
      </c>
      <c r="I546" s="46">
        <f>IFERROR(VLOOKUP($E546,'BASE DE DATOS'!$A:$I,3,0),0)</f>
        <v>0</v>
      </c>
      <c r="J546" s="46">
        <f>IFERROR(VLOOKUP($E546,'BASE DE DATOS'!$A:$I,3,0),0)</f>
        <v>0</v>
      </c>
      <c r="K546" s="46">
        <f>IFERROR(VLOOKUP($E805,'BASE DE DATOS'!$A:$I,3,0),0)</f>
        <v>0</v>
      </c>
      <c r="L546" s="46">
        <f>IFERROR(VLOOKUP($E546,'BASE DE DATOS'!$A:$I,3,0),0)</f>
        <v>0</v>
      </c>
    </row>
    <row r="547" spans="4:12" x14ac:dyDescent="0.25">
      <c r="D547" s="46" t="str">
        <f>IFERROR(VLOOKUP($E547,'BASE DE DATOS'!$A:$I,2,0)," ")</f>
        <v xml:space="preserve"> </v>
      </c>
      <c r="F547" s="46">
        <f>IFERROR(VLOOKUP($E560,'BASE DE DATOS'!$A:$I,3,0),0)</f>
        <v>0</v>
      </c>
      <c r="G547" s="46">
        <f>IFERROR(VLOOKUP($E547,'BASE DE DATOS'!$A:$I,3,0),0)</f>
        <v>0</v>
      </c>
      <c r="H547" s="46">
        <f>IFERROR(VLOOKUP($E547,'BASE DE DATOS'!$A:$I,3,0),0)</f>
        <v>0</v>
      </c>
      <c r="I547" s="46">
        <f>IFERROR(VLOOKUP($E547,'BASE DE DATOS'!$A:$I,3,0),0)</f>
        <v>0</v>
      </c>
      <c r="J547" s="46">
        <f>IFERROR(VLOOKUP($E547,'BASE DE DATOS'!$A:$I,3,0),0)</f>
        <v>0</v>
      </c>
      <c r="K547" s="46">
        <f>IFERROR(VLOOKUP($E806,'BASE DE DATOS'!$A:$I,3,0),0)</f>
        <v>0</v>
      </c>
      <c r="L547" s="46">
        <f>IFERROR(VLOOKUP($E547,'BASE DE DATOS'!$A:$I,3,0),0)</f>
        <v>0</v>
      </c>
    </row>
    <row r="548" spans="4:12" x14ac:dyDescent="0.25">
      <c r="D548" s="46" t="str">
        <f>IFERROR(VLOOKUP($E548,'BASE DE DATOS'!$A:$I,2,0)," ")</f>
        <v xml:space="preserve"> </v>
      </c>
      <c r="F548" s="46">
        <f>IFERROR(VLOOKUP($E561,'BASE DE DATOS'!$A:$I,3,0),0)</f>
        <v>0</v>
      </c>
      <c r="G548" s="46">
        <f>IFERROR(VLOOKUP($E548,'BASE DE DATOS'!$A:$I,3,0),0)</f>
        <v>0</v>
      </c>
      <c r="H548" s="46">
        <f>IFERROR(VLOOKUP($E548,'BASE DE DATOS'!$A:$I,3,0),0)</f>
        <v>0</v>
      </c>
      <c r="I548" s="46">
        <f>IFERROR(VLOOKUP($E548,'BASE DE DATOS'!$A:$I,3,0),0)</f>
        <v>0</v>
      </c>
      <c r="J548" s="46">
        <f>IFERROR(VLOOKUP($E548,'BASE DE DATOS'!$A:$I,3,0),0)</f>
        <v>0</v>
      </c>
      <c r="K548" s="46">
        <f>IFERROR(VLOOKUP($E807,'BASE DE DATOS'!$A:$I,3,0),0)</f>
        <v>0</v>
      </c>
      <c r="L548" s="46">
        <f>IFERROR(VLOOKUP($E548,'BASE DE DATOS'!$A:$I,3,0),0)</f>
        <v>0</v>
      </c>
    </row>
    <row r="549" spans="4:12" x14ac:dyDescent="0.25">
      <c r="D549" s="46" t="str">
        <f>IFERROR(VLOOKUP($E549,'BASE DE DATOS'!$A:$I,2,0)," ")</f>
        <v xml:space="preserve"> </v>
      </c>
      <c r="F549" s="46">
        <f>IFERROR(VLOOKUP($E562,'BASE DE DATOS'!$A:$I,3,0),0)</f>
        <v>0</v>
      </c>
      <c r="G549" s="46">
        <f>IFERROR(VLOOKUP($E549,'BASE DE DATOS'!$A:$I,3,0),0)</f>
        <v>0</v>
      </c>
      <c r="H549" s="46">
        <f>IFERROR(VLOOKUP($E549,'BASE DE DATOS'!$A:$I,3,0),0)</f>
        <v>0</v>
      </c>
      <c r="I549" s="46">
        <f>IFERROR(VLOOKUP($E549,'BASE DE DATOS'!$A:$I,3,0),0)</f>
        <v>0</v>
      </c>
      <c r="J549" s="46">
        <f>IFERROR(VLOOKUP($E549,'BASE DE DATOS'!$A:$I,3,0),0)</f>
        <v>0</v>
      </c>
      <c r="K549" s="46">
        <f>IFERROR(VLOOKUP($E808,'BASE DE DATOS'!$A:$I,3,0),0)</f>
        <v>0</v>
      </c>
      <c r="L549" s="46">
        <f>IFERROR(VLOOKUP($E549,'BASE DE DATOS'!$A:$I,3,0),0)</f>
        <v>0</v>
      </c>
    </row>
    <row r="550" spans="4:12" x14ac:dyDescent="0.25">
      <c r="D550" s="46" t="str">
        <f>IFERROR(VLOOKUP($E550,'BASE DE DATOS'!$A:$I,2,0)," ")</f>
        <v xml:space="preserve"> </v>
      </c>
      <c r="F550" s="46">
        <f>IFERROR(VLOOKUP($E563,'BASE DE DATOS'!$A:$I,3,0),0)</f>
        <v>0</v>
      </c>
      <c r="G550" s="46">
        <f>IFERROR(VLOOKUP($E550,'BASE DE DATOS'!$A:$I,3,0),0)</f>
        <v>0</v>
      </c>
      <c r="H550" s="46">
        <f>IFERROR(VLOOKUP($E550,'BASE DE DATOS'!$A:$I,3,0),0)</f>
        <v>0</v>
      </c>
      <c r="I550" s="46">
        <f>IFERROR(VLOOKUP($E550,'BASE DE DATOS'!$A:$I,3,0),0)</f>
        <v>0</v>
      </c>
      <c r="J550" s="46">
        <f>IFERROR(VLOOKUP($E550,'BASE DE DATOS'!$A:$I,3,0),0)</f>
        <v>0</v>
      </c>
      <c r="K550" s="46">
        <f>IFERROR(VLOOKUP($E809,'BASE DE DATOS'!$A:$I,3,0),0)</f>
        <v>0</v>
      </c>
      <c r="L550" s="46">
        <f>IFERROR(VLOOKUP($E550,'BASE DE DATOS'!$A:$I,3,0),0)</f>
        <v>0</v>
      </c>
    </row>
    <row r="551" spans="4:12" x14ac:dyDescent="0.25">
      <c r="D551" s="46" t="str">
        <f>IFERROR(VLOOKUP($E551,'BASE DE DATOS'!$A:$I,2,0)," ")</f>
        <v xml:space="preserve"> </v>
      </c>
      <c r="F551" s="46">
        <f>IFERROR(VLOOKUP($E564,'BASE DE DATOS'!$A:$I,3,0),0)</f>
        <v>0</v>
      </c>
      <c r="G551" s="46">
        <f>IFERROR(VLOOKUP($E551,'BASE DE DATOS'!$A:$I,3,0),0)</f>
        <v>0</v>
      </c>
      <c r="H551" s="46">
        <f>IFERROR(VLOOKUP($E551,'BASE DE DATOS'!$A:$I,3,0),0)</f>
        <v>0</v>
      </c>
      <c r="I551" s="46">
        <f>IFERROR(VLOOKUP($E551,'BASE DE DATOS'!$A:$I,3,0),0)</f>
        <v>0</v>
      </c>
      <c r="J551" s="46">
        <f>IFERROR(VLOOKUP($E551,'BASE DE DATOS'!$A:$I,3,0),0)</f>
        <v>0</v>
      </c>
      <c r="K551" s="46">
        <f>IFERROR(VLOOKUP($E810,'BASE DE DATOS'!$A:$I,3,0),0)</f>
        <v>0</v>
      </c>
      <c r="L551" s="46">
        <f>IFERROR(VLOOKUP($E551,'BASE DE DATOS'!$A:$I,3,0),0)</f>
        <v>0</v>
      </c>
    </row>
    <row r="552" spans="4:12" x14ac:dyDescent="0.25">
      <c r="D552" s="46" t="str">
        <f>IFERROR(VLOOKUP($E552,'BASE DE DATOS'!$A:$I,2,0)," ")</f>
        <v xml:space="preserve"> </v>
      </c>
      <c r="F552" s="46">
        <f>IFERROR(VLOOKUP($E565,'BASE DE DATOS'!$A:$I,3,0),0)</f>
        <v>0</v>
      </c>
      <c r="G552" s="46">
        <f>IFERROR(VLOOKUP($E552,'BASE DE DATOS'!$A:$I,3,0),0)</f>
        <v>0</v>
      </c>
      <c r="H552" s="46">
        <f>IFERROR(VLOOKUP($E552,'BASE DE DATOS'!$A:$I,3,0),0)</f>
        <v>0</v>
      </c>
      <c r="I552" s="46">
        <f>IFERROR(VLOOKUP($E552,'BASE DE DATOS'!$A:$I,3,0),0)</f>
        <v>0</v>
      </c>
      <c r="J552" s="46">
        <f>IFERROR(VLOOKUP($E552,'BASE DE DATOS'!$A:$I,3,0),0)</f>
        <v>0</v>
      </c>
      <c r="K552" s="46">
        <f>IFERROR(VLOOKUP($E811,'BASE DE DATOS'!$A:$I,3,0),0)</f>
        <v>0</v>
      </c>
      <c r="L552" s="46">
        <f>IFERROR(VLOOKUP($E552,'BASE DE DATOS'!$A:$I,3,0),0)</f>
        <v>0</v>
      </c>
    </row>
    <row r="553" spans="4:12" x14ac:dyDescent="0.25">
      <c r="D553" s="46" t="str">
        <f>IFERROR(VLOOKUP($E553,'BASE DE DATOS'!$A:$I,2,0)," ")</f>
        <v xml:space="preserve"> </v>
      </c>
      <c r="F553" s="46">
        <f>IFERROR(VLOOKUP($E566,'BASE DE DATOS'!$A:$I,3,0),0)</f>
        <v>0</v>
      </c>
      <c r="G553" s="46">
        <f>IFERROR(VLOOKUP($E553,'BASE DE DATOS'!$A:$I,3,0),0)</f>
        <v>0</v>
      </c>
      <c r="H553" s="46">
        <f>IFERROR(VLOOKUP($E553,'BASE DE DATOS'!$A:$I,3,0),0)</f>
        <v>0</v>
      </c>
      <c r="I553" s="46">
        <f>IFERROR(VLOOKUP($E553,'BASE DE DATOS'!$A:$I,3,0),0)</f>
        <v>0</v>
      </c>
      <c r="J553" s="46">
        <f>IFERROR(VLOOKUP($E553,'BASE DE DATOS'!$A:$I,3,0),0)</f>
        <v>0</v>
      </c>
      <c r="K553" s="46">
        <f>IFERROR(VLOOKUP($E812,'BASE DE DATOS'!$A:$I,3,0),0)</f>
        <v>0</v>
      </c>
      <c r="L553" s="46">
        <f>IFERROR(VLOOKUP($E553,'BASE DE DATOS'!$A:$I,3,0),0)</f>
        <v>0</v>
      </c>
    </row>
    <row r="554" spans="4:12" x14ac:dyDescent="0.25">
      <c r="D554" s="46" t="str">
        <f>IFERROR(VLOOKUP($E554,'BASE DE DATOS'!$A:$I,2,0)," ")</f>
        <v xml:space="preserve"> </v>
      </c>
      <c r="F554" s="46">
        <f>IFERROR(VLOOKUP($E567,'BASE DE DATOS'!$A:$I,3,0),0)</f>
        <v>0</v>
      </c>
      <c r="G554" s="46">
        <f>IFERROR(VLOOKUP($E554,'BASE DE DATOS'!$A:$I,3,0),0)</f>
        <v>0</v>
      </c>
      <c r="H554" s="46">
        <f>IFERROR(VLOOKUP($E554,'BASE DE DATOS'!$A:$I,3,0),0)</f>
        <v>0</v>
      </c>
      <c r="I554" s="46">
        <f>IFERROR(VLOOKUP($E554,'BASE DE DATOS'!$A:$I,3,0),0)</f>
        <v>0</v>
      </c>
      <c r="J554" s="46">
        <f>IFERROR(VLOOKUP($E554,'BASE DE DATOS'!$A:$I,3,0),0)</f>
        <v>0</v>
      </c>
      <c r="K554" s="46">
        <f>IFERROR(VLOOKUP($E813,'BASE DE DATOS'!$A:$I,3,0),0)</f>
        <v>0</v>
      </c>
      <c r="L554" s="46">
        <f>IFERROR(VLOOKUP($E554,'BASE DE DATOS'!$A:$I,3,0),0)</f>
        <v>0</v>
      </c>
    </row>
    <row r="555" spans="4:12" x14ac:dyDescent="0.25">
      <c r="D555" s="46" t="str">
        <f>IFERROR(VLOOKUP($E555,'BASE DE DATOS'!$A:$I,2,0)," ")</f>
        <v xml:space="preserve"> </v>
      </c>
      <c r="F555" s="46">
        <f>IFERROR(VLOOKUP($E568,'BASE DE DATOS'!$A:$I,3,0),0)</f>
        <v>0</v>
      </c>
      <c r="G555" s="46">
        <f>IFERROR(VLOOKUP($E555,'BASE DE DATOS'!$A:$I,3,0),0)</f>
        <v>0</v>
      </c>
      <c r="H555" s="46">
        <f>IFERROR(VLOOKUP($E555,'BASE DE DATOS'!$A:$I,3,0),0)</f>
        <v>0</v>
      </c>
      <c r="I555" s="46">
        <f>IFERROR(VLOOKUP($E555,'BASE DE DATOS'!$A:$I,3,0),0)</f>
        <v>0</v>
      </c>
      <c r="J555" s="46">
        <f>IFERROR(VLOOKUP($E555,'BASE DE DATOS'!$A:$I,3,0),0)</f>
        <v>0</v>
      </c>
      <c r="K555" s="46">
        <f>IFERROR(VLOOKUP($E814,'BASE DE DATOS'!$A:$I,3,0),0)</f>
        <v>0</v>
      </c>
      <c r="L555" s="46">
        <f>IFERROR(VLOOKUP($E555,'BASE DE DATOS'!$A:$I,3,0),0)</f>
        <v>0</v>
      </c>
    </row>
    <row r="556" spans="4:12" x14ac:dyDescent="0.25">
      <c r="D556" s="46" t="str">
        <f>IFERROR(VLOOKUP($E556,'BASE DE DATOS'!$A:$I,2,0)," ")</f>
        <v xml:space="preserve"> </v>
      </c>
      <c r="F556" s="46">
        <f>IFERROR(VLOOKUP($E569,'BASE DE DATOS'!$A:$I,3,0),0)</f>
        <v>0</v>
      </c>
      <c r="G556" s="46">
        <f>IFERROR(VLOOKUP($E556,'BASE DE DATOS'!$A:$I,3,0),0)</f>
        <v>0</v>
      </c>
      <c r="H556" s="46">
        <f>IFERROR(VLOOKUP($E556,'BASE DE DATOS'!$A:$I,3,0),0)</f>
        <v>0</v>
      </c>
      <c r="I556" s="46">
        <f>IFERROR(VLOOKUP($E556,'BASE DE DATOS'!$A:$I,3,0),0)</f>
        <v>0</v>
      </c>
      <c r="J556" s="46">
        <f>IFERROR(VLOOKUP($E556,'BASE DE DATOS'!$A:$I,3,0),0)</f>
        <v>0</v>
      </c>
      <c r="K556" s="46">
        <f>IFERROR(VLOOKUP($E815,'BASE DE DATOS'!$A:$I,3,0),0)</f>
        <v>0</v>
      </c>
      <c r="L556" s="46">
        <f>IFERROR(VLOOKUP($E556,'BASE DE DATOS'!$A:$I,3,0),0)</f>
        <v>0</v>
      </c>
    </row>
    <row r="557" spans="4:12" x14ac:dyDescent="0.25">
      <c r="D557" s="46" t="str">
        <f>IFERROR(VLOOKUP($E557,'BASE DE DATOS'!$A:$I,2,0)," ")</f>
        <v xml:space="preserve"> </v>
      </c>
      <c r="F557" s="46">
        <f>IFERROR(VLOOKUP($E570,'BASE DE DATOS'!$A:$I,3,0),0)</f>
        <v>0</v>
      </c>
      <c r="G557" s="46">
        <f>IFERROR(VLOOKUP($E557,'BASE DE DATOS'!$A:$I,3,0),0)</f>
        <v>0</v>
      </c>
      <c r="H557" s="46">
        <f>IFERROR(VLOOKUP($E557,'BASE DE DATOS'!$A:$I,3,0),0)</f>
        <v>0</v>
      </c>
      <c r="I557" s="46">
        <f>IFERROR(VLOOKUP($E557,'BASE DE DATOS'!$A:$I,3,0),0)</f>
        <v>0</v>
      </c>
      <c r="J557" s="46">
        <f>IFERROR(VLOOKUP($E557,'BASE DE DATOS'!$A:$I,3,0),0)</f>
        <v>0</v>
      </c>
      <c r="K557" s="46">
        <f>IFERROR(VLOOKUP($E816,'BASE DE DATOS'!$A:$I,3,0),0)</f>
        <v>0</v>
      </c>
      <c r="L557" s="46">
        <f>IFERROR(VLOOKUP($E557,'BASE DE DATOS'!$A:$I,3,0),0)</f>
        <v>0</v>
      </c>
    </row>
    <row r="558" spans="4:12" x14ac:dyDescent="0.25">
      <c r="D558" s="46" t="str">
        <f>IFERROR(VLOOKUP($E558,'BASE DE DATOS'!$A:$I,2,0)," ")</f>
        <v xml:space="preserve"> </v>
      </c>
      <c r="F558" s="46">
        <f>IFERROR(VLOOKUP($E571,'BASE DE DATOS'!$A:$I,3,0),0)</f>
        <v>0</v>
      </c>
      <c r="G558" s="46">
        <f>IFERROR(VLOOKUP($E558,'BASE DE DATOS'!$A:$I,3,0),0)</f>
        <v>0</v>
      </c>
      <c r="H558" s="46">
        <f>IFERROR(VLOOKUP($E558,'BASE DE DATOS'!$A:$I,3,0),0)</f>
        <v>0</v>
      </c>
      <c r="I558" s="46">
        <f>IFERROR(VLOOKUP($E558,'BASE DE DATOS'!$A:$I,3,0),0)</f>
        <v>0</v>
      </c>
      <c r="J558" s="46">
        <f>IFERROR(VLOOKUP($E558,'BASE DE DATOS'!$A:$I,3,0),0)</f>
        <v>0</v>
      </c>
      <c r="K558" s="46">
        <f>IFERROR(VLOOKUP($E817,'BASE DE DATOS'!$A:$I,3,0),0)</f>
        <v>0</v>
      </c>
      <c r="L558" s="46">
        <f>IFERROR(VLOOKUP($E558,'BASE DE DATOS'!$A:$I,3,0),0)</f>
        <v>0</v>
      </c>
    </row>
    <row r="559" spans="4:12" x14ac:dyDescent="0.25">
      <c r="D559" s="46" t="str">
        <f>IFERROR(VLOOKUP($E559,'BASE DE DATOS'!$A:$I,2,0)," ")</f>
        <v xml:space="preserve"> </v>
      </c>
      <c r="F559" s="46">
        <f>IFERROR(VLOOKUP($E572,'BASE DE DATOS'!$A:$I,3,0),0)</f>
        <v>0</v>
      </c>
      <c r="G559" s="46">
        <f>IFERROR(VLOOKUP($E559,'BASE DE DATOS'!$A:$I,3,0),0)</f>
        <v>0</v>
      </c>
      <c r="H559" s="46">
        <f>IFERROR(VLOOKUP($E559,'BASE DE DATOS'!$A:$I,3,0),0)</f>
        <v>0</v>
      </c>
      <c r="I559" s="46">
        <f>IFERROR(VLOOKUP($E559,'BASE DE DATOS'!$A:$I,3,0),0)</f>
        <v>0</v>
      </c>
      <c r="J559" s="46">
        <f>IFERROR(VLOOKUP($E559,'BASE DE DATOS'!$A:$I,3,0),0)</f>
        <v>0</v>
      </c>
      <c r="K559" s="46">
        <f>IFERROR(VLOOKUP($E818,'BASE DE DATOS'!$A:$I,3,0),0)</f>
        <v>0</v>
      </c>
      <c r="L559" s="46">
        <f>IFERROR(VLOOKUP($E559,'BASE DE DATOS'!$A:$I,3,0),0)</f>
        <v>0</v>
      </c>
    </row>
    <row r="560" spans="4:12" x14ac:dyDescent="0.25">
      <c r="D560" s="46" t="str">
        <f>IFERROR(VLOOKUP($E560,'BASE DE DATOS'!$A:$I,2,0)," ")</f>
        <v xml:space="preserve"> </v>
      </c>
      <c r="F560" s="46">
        <f>IFERROR(VLOOKUP($E573,'BASE DE DATOS'!$A:$I,3,0),0)</f>
        <v>0</v>
      </c>
      <c r="G560" s="46">
        <f>IFERROR(VLOOKUP($E560,'BASE DE DATOS'!$A:$I,3,0),0)</f>
        <v>0</v>
      </c>
      <c r="H560" s="46">
        <f>IFERROR(VLOOKUP($E560,'BASE DE DATOS'!$A:$I,3,0),0)</f>
        <v>0</v>
      </c>
      <c r="I560" s="46">
        <f>IFERROR(VLOOKUP($E560,'BASE DE DATOS'!$A:$I,3,0),0)</f>
        <v>0</v>
      </c>
      <c r="J560" s="46">
        <f>IFERROR(VLOOKUP($E560,'BASE DE DATOS'!$A:$I,3,0),0)</f>
        <v>0</v>
      </c>
      <c r="K560" s="46">
        <f>IFERROR(VLOOKUP($E819,'BASE DE DATOS'!$A:$I,3,0),0)</f>
        <v>0</v>
      </c>
      <c r="L560" s="46">
        <f>IFERROR(VLOOKUP($E560,'BASE DE DATOS'!$A:$I,3,0),0)</f>
        <v>0</v>
      </c>
    </row>
    <row r="561" spans="4:12" x14ac:dyDescent="0.25">
      <c r="D561" s="46" t="str">
        <f>IFERROR(VLOOKUP($E561,'BASE DE DATOS'!$A:$I,2,0)," ")</f>
        <v xml:space="preserve"> </v>
      </c>
      <c r="F561" s="46">
        <f>IFERROR(VLOOKUP($E574,'BASE DE DATOS'!$A:$I,3,0),0)</f>
        <v>0</v>
      </c>
      <c r="G561" s="46">
        <f>IFERROR(VLOOKUP($E561,'BASE DE DATOS'!$A:$I,3,0),0)</f>
        <v>0</v>
      </c>
      <c r="H561" s="46">
        <f>IFERROR(VLOOKUP($E561,'BASE DE DATOS'!$A:$I,3,0),0)</f>
        <v>0</v>
      </c>
      <c r="I561" s="46">
        <f>IFERROR(VLOOKUP($E561,'BASE DE DATOS'!$A:$I,3,0),0)</f>
        <v>0</v>
      </c>
      <c r="J561" s="46">
        <f>IFERROR(VLOOKUP($E561,'BASE DE DATOS'!$A:$I,3,0),0)</f>
        <v>0</v>
      </c>
      <c r="K561" s="46">
        <f>IFERROR(VLOOKUP($E820,'BASE DE DATOS'!$A:$I,3,0),0)</f>
        <v>0</v>
      </c>
      <c r="L561" s="46">
        <f>IFERROR(VLOOKUP($E561,'BASE DE DATOS'!$A:$I,3,0),0)</f>
        <v>0</v>
      </c>
    </row>
    <row r="562" spans="4:12" x14ac:dyDescent="0.25">
      <c r="D562" s="46" t="str">
        <f>IFERROR(VLOOKUP($E562,'BASE DE DATOS'!$A:$I,2,0)," ")</f>
        <v xml:space="preserve"> </v>
      </c>
      <c r="F562" s="46">
        <f>IFERROR(VLOOKUP($E575,'BASE DE DATOS'!$A:$I,3,0),0)</f>
        <v>0</v>
      </c>
      <c r="G562" s="46">
        <f>IFERROR(VLOOKUP($E562,'BASE DE DATOS'!$A:$I,3,0),0)</f>
        <v>0</v>
      </c>
      <c r="H562" s="46">
        <f>IFERROR(VLOOKUP($E562,'BASE DE DATOS'!$A:$I,3,0),0)</f>
        <v>0</v>
      </c>
      <c r="I562" s="46">
        <f>IFERROR(VLOOKUP($E562,'BASE DE DATOS'!$A:$I,3,0),0)</f>
        <v>0</v>
      </c>
      <c r="J562" s="46">
        <f>IFERROR(VLOOKUP($E562,'BASE DE DATOS'!$A:$I,3,0),0)</f>
        <v>0</v>
      </c>
      <c r="K562" s="46">
        <f>IFERROR(VLOOKUP($E821,'BASE DE DATOS'!$A:$I,3,0),0)</f>
        <v>0</v>
      </c>
      <c r="L562" s="46">
        <f>IFERROR(VLOOKUP($E562,'BASE DE DATOS'!$A:$I,3,0),0)</f>
        <v>0</v>
      </c>
    </row>
    <row r="563" spans="4:12" x14ac:dyDescent="0.25">
      <c r="D563" s="46" t="str">
        <f>IFERROR(VLOOKUP($E563,'BASE DE DATOS'!$A:$I,2,0)," ")</f>
        <v xml:space="preserve"> </v>
      </c>
      <c r="F563" s="46">
        <f>IFERROR(VLOOKUP($E576,'BASE DE DATOS'!$A:$I,3,0),0)</f>
        <v>0</v>
      </c>
      <c r="G563" s="46">
        <f>IFERROR(VLOOKUP($E563,'BASE DE DATOS'!$A:$I,3,0),0)</f>
        <v>0</v>
      </c>
      <c r="H563" s="46">
        <f>IFERROR(VLOOKUP($E563,'BASE DE DATOS'!$A:$I,3,0),0)</f>
        <v>0</v>
      </c>
      <c r="I563" s="46">
        <f>IFERROR(VLOOKUP($E563,'BASE DE DATOS'!$A:$I,3,0),0)</f>
        <v>0</v>
      </c>
      <c r="J563" s="46">
        <f>IFERROR(VLOOKUP($E563,'BASE DE DATOS'!$A:$I,3,0),0)</f>
        <v>0</v>
      </c>
      <c r="K563" s="46">
        <f>IFERROR(VLOOKUP($E822,'BASE DE DATOS'!$A:$I,3,0),0)</f>
        <v>0</v>
      </c>
      <c r="L563" s="46">
        <f>IFERROR(VLOOKUP($E563,'BASE DE DATOS'!$A:$I,3,0),0)</f>
        <v>0</v>
      </c>
    </row>
    <row r="564" spans="4:12" x14ac:dyDescent="0.25">
      <c r="D564" s="46" t="str">
        <f>IFERROR(VLOOKUP($E564,'BASE DE DATOS'!$A:$I,2,0)," ")</f>
        <v xml:space="preserve"> </v>
      </c>
      <c r="F564" s="46">
        <f>IFERROR(VLOOKUP($E577,'BASE DE DATOS'!$A:$I,3,0),0)</f>
        <v>0</v>
      </c>
      <c r="G564" s="46">
        <f>IFERROR(VLOOKUP($E564,'BASE DE DATOS'!$A:$I,3,0),0)</f>
        <v>0</v>
      </c>
      <c r="H564" s="46">
        <f>IFERROR(VLOOKUP($E564,'BASE DE DATOS'!$A:$I,3,0),0)</f>
        <v>0</v>
      </c>
      <c r="I564" s="46">
        <f>IFERROR(VLOOKUP($E564,'BASE DE DATOS'!$A:$I,3,0),0)</f>
        <v>0</v>
      </c>
      <c r="J564" s="46">
        <f>IFERROR(VLOOKUP($E564,'BASE DE DATOS'!$A:$I,3,0),0)</f>
        <v>0</v>
      </c>
      <c r="K564" s="46">
        <f>IFERROR(VLOOKUP($E823,'BASE DE DATOS'!$A:$I,3,0),0)</f>
        <v>0</v>
      </c>
      <c r="L564" s="46">
        <f>IFERROR(VLOOKUP($E564,'BASE DE DATOS'!$A:$I,3,0),0)</f>
        <v>0</v>
      </c>
    </row>
    <row r="565" spans="4:12" x14ac:dyDescent="0.25">
      <c r="D565" s="46" t="str">
        <f>IFERROR(VLOOKUP($E565,'BASE DE DATOS'!$A:$I,2,0)," ")</f>
        <v xml:space="preserve"> </v>
      </c>
      <c r="F565" s="46">
        <f>IFERROR(VLOOKUP($E578,'BASE DE DATOS'!$A:$I,3,0),0)</f>
        <v>0</v>
      </c>
      <c r="G565" s="46">
        <f>IFERROR(VLOOKUP($E565,'BASE DE DATOS'!$A:$I,3,0),0)</f>
        <v>0</v>
      </c>
      <c r="H565" s="46">
        <f>IFERROR(VLOOKUP($E565,'BASE DE DATOS'!$A:$I,3,0),0)</f>
        <v>0</v>
      </c>
      <c r="I565" s="46">
        <f>IFERROR(VLOOKUP($E565,'BASE DE DATOS'!$A:$I,3,0),0)</f>
        <v>0</v>
      </c>
      <c r="J565" s="46">
        <f>IFERROR(VLOOKUP($E565,'BASE DE DATOS'!$A:$I,3,0),0)</f>
        <v>0</v>
      </c>
      <c r="K565" s="46">
        <f>IFERROR(VLOOKUP($E824,'BASE DE DATOS'!$A:$I,3,0),0)</f>
        <v>0</v>
      </c>
      <c r="L565" s="46">
        <f>IFERROR(VLOOKUP($E565,'BASE DE DATOS'!$A:$I,3,0),0)</f>
        <v>0</v>
      </c>
    </row>
    <row r="566" spans="4:12" x14ac:dyDescent="0.25">
      <c r="D566" s="46" t="str">
        <f>IFERROR(VLOOKUP($E566,'BASE DE DATOS'!$A:$I,2,0)," ")</f>
        <v xml:space="preserve"> </v>
      </c>
      <c r="F566" s="46">
        <f>IFERROR(VLOOKUP($E579,'BASE DE DATOS'!$A:$I,3,0),0)</f>
        <v>0</v>
      </c>
      <c r="G566" s="46">
        <f>IFERROR(VLOOKUP($E566,'BASE DE DATOS'!$A:$I,3,0),0)</f>
        <v>0</v>
      </c>
      <c r="H566" s="46">
        <f>IFERROR(VLOOKUP($E566,'BASE DE DATOS'!$A:$I,3,0),0)</f>
        <v>0</v>
      </c>
      <c r="I566" s="46">
        <f>IFERROR(VLOOKUP($E566,'BASE DE DATOS'!$A:$I,3,0),0)</f>
        <v>0</v>
      </c>
      <c r="J566" s="46">
        <f>IFERROR(VLOOKUP($E566,'BASE DE DATOS'!$A:$I,3,0),0)</f>
        <v>0</v>
      </c>
      <c r="K566" s="46">
        <f>IFERROR(VLOOKUP($E825,'BASE DE DATOS'!$A:$I,3,0),0)</f>
        <v>0</v>
      </c>
      <c r="L566" s="46">
        <f>IFERROR(VLOOKUP($E566,'BASE DE DATOS'!$A:$I,3,0),0)</f>
        <v>0</v>
      </c>
    </row>
    <row r="567" spans="4:12" x14ac:dyDescent="0.25">
      <c r="D567" s="46" t="str">
        <f>IFERROR(VLOOKUP($E567,'BASE DE DATOS'!$A:$I,2,0)," ")</f>
        <v xml:space="preserve"> </v>
      </c>
      <c r="F567" s="46">
        <f>IFERROR(VLOOKUP($E580,'BASE DE DATOS'!$A:$I,3,0),0)</f>
        <v>0</v>
      </c>
      <c r="G567" s="46">
        <f>IFERROR(VLOOKUP($E567,'BASE DE DATOS'!$A:$I,3,0),0)</f>
        <v>0</v>
      </c>
      <c r="H567" s="46">
        <f>IFERROR(VLOOKUP($E567,'BASE DE DATOS'!$A:$I,3,0),0)</f>
        <v>0</v>
      </c>
      <c r="I567" s="46">
        <f>IFERROR(VLOOKUP($E567,'BASE DE DATOS'!$A:$I,3,0),0)</f>
        <v>0</v>
      </c>
      <c r="J567" s="46">
        <f>IFERROR(VLOOKUP($E567,'BASE DE DATOS'!$A:$I,3,0),0)</f>
        <v>0</v>
      </c>
      <c r="K567" s="46">
        <f>IFERROR(VLOOKUP($E826,'BASE DE DATOS'!$A:$I,3,0),0)</f>
        <v>0</v>
      </c>
      <c r="L567" s="46">
        <f>IFERROR(VLOOKUP($E567,'BASE DE DATOS'!$A:$I,3,0),0)</f>
        <v>0</v>
      </c>
    </row>
    <row r="568" spans="4:12" x14ac:dyDescent="0.25">
      <c r="D568" s="46" t="str">
        <f>IFERROR(VLOOKUP($E568,'BASE DE DATOS'!$A:$I,2,0)," ")</f>
        <v xml:space="preserve"> </v>
      </c>
      <c r="F568" s="46">
        <f>IFERROR(VLOOKUP($E581,'BASE DE DATOS'!$A:$I,3,0),0)</f>
        <v>0</v>
      </c>
      <c r="G568" s="46">
        <f>IFERROR(VLOOKUP($E568,'BASE DE DATOS'!$A:$I,3,0),0)</f>
        <v>0</v>
      </c>
      <c r="H568" s="46">
        <f>IFERROR(VLOOKUP($E568,'BASE DE DATOS'!$A:$I,3,0),0)</f>
        <v>0</v>
      </c>
      <c r="I568" s="46">
        <f>IFERROR(VLOOKUP($E568,'BASE DE DATOS'!$A:$I,3,0),0)</f>
        <v>0</v>
      </c>
      <c r="J568" s="46">
        <f>IFERROR(VLOOKUP($E568,'BASE DE DATOS'!$A:$I,3,0),0)</f>
        <v>0</v>
      </c>
      <c r="K568" s="46">
        <f>IFERROR(VLOOKUP($E827,'BASE DE DATOS'!$A:$I,3,0),0)</f>
        <v>0</v>
      </c>
      <c r="L568" s="46">
        <f>IFERROR(VLOOKUP($E568,'BASE DE DATOS'!$A:$I,3,0),0)</f>
        <v>0</v>
      </c>
    </row>
    <row r="569" spans="4:12" x14ac:dyDescent="0.25">
      <c r="D569" s="46" t="str">
        <f>IFERROR(VLOOKUP($E569,'BASE DE DATOS'!$A:$I,2,0)," ")</f>
        <v xml:space="preserve"> </v>
      </c>
      <c r="F569" s="46">
        <f>IFERROR(VLOOKUP($E582,'BASE DE DATOS'!$A:$I,3,0),0)</f>
        <v>0</v>
      </c>
      <c r="G569" s="46">
        <f>IFERROR(VLOOKUP($E569,'BASE DE DATOS'!$A:$I,3,0),0)</f>
        <v>0</v>
      </c>
      <c r="H569" s="46">
        <f>IFERROR(VLOOKUP($E569,'BASE DE DATOS'!$A:$I,3,0),0)</f>
        <v>0</v>
      </c>
      <c r="I569" s="46">
        <f>IFERROR(VLOOKUP($E569,'BASE DE DATOS'!$A:$I,3,0),0)</f>
        <v>0</v>
      </c>
      <c r="J569" s="46">
        <f>IFERROR(VLOOKUP($E569,'BASE DE DATOS'!$A:$I,3,0),0)</f>
        <v>0</v>
      </c>
      <c r="K569" s="46">
        <f>IFERROR(VLOOKUP($E828,'BASE DE DATOS'!$A:$I,3,0),0)</f>
        <v>0</v>
      </c>
      <c r="L569" s="46">
        <f>IFERROR(VLOOKUP($E569,'BASE DE DATOS'!$A:$I,3,0),0)</f>
        <v>0</v>
      </c>
    </row>
    <row r="570" spans="4:12" x14ac:dyDescent="0.25">
      <c r="D570" s="46" t="str">
        <f>IFERROR(VLOOKUP($E570,'BASE DE DATOS'!$A:$I,2,0)," ")</f>
        <v xml:space="preserve"> </v>
      </c>
      <c r="F570" s="46">
        <f>IFERROR(VLOOKUP($E583,'BASE DE DATOS'!$A:$I,3,0),0)</f>
        <v>0</v>
      </c>
      <c r="G570" s="46">
        <f>IFERROR(VLOOKUP($E570,'BASE DE DATOS'!$A:$I,3,0),0)</f>
        <v>0</v>
      </c>
      <c r="H570" s="46">
        <f>IFERROR(VLOOKUP($E570,'BASE DE DATOS'!$A:$I,3,0),0)</f>
        <v>0</v>
      </c>
      <c r="I570" s="46">
        <f>IFERROR(VLOOKUP($E570,'BASE DE DATOS'!$A:$I,3,0),0)</f>
        <v>0</v>
      </c>
      <c r="J570" s="46">
        <f>IFERROR(VLOOKUP($E570,'BASE DE DATOS'!$A:$I,3,0),0)</f>
        <v>0</v>
      </c>
      <c r="K570" s="46">
        <f>IFERROR(VLOOKUP($E829,'BASE DE DATOS'!$A:$I,3,0),0)</f>
        <v>0</v>
      </c>
      <c r="L570" s="46">
        <f>IFERROR(VLOOKUP($E570,'BASE DE DATOS'!$A:$I,3,0),0)</f>
        <v>0</v>
      </c>
    </row>
    <row r="571" spans="4:12" x14ac:dyDescent="0.25">
      <c r="D571" s="46" t="str">
        <f>IFERROR(VLOOKUP($E571,'BASE DE DATOS'!$A:$I,2,0)," ")</f>
        <v xml:space="preserve"> </v>
      </c>
      <c r="F571" s="46">
        <f>IFERROR(VLOOKUP($E584,'BASE DE DATOS'!$A:$I,3,0),0)</f>
        <v>0</v>
      </c>
      <c r="G571" s="46">
        <f>IFERROR(VLOOKUP($E571,'BASE DE DATOS'!$A:$I,3,0),0)</f>
        <v>0</v>
      </c>
      <c r="H571" s="46">
        <f>IFERROR(VLOOKUP($E571,'BASE DE DATOS'!$A:$I,3,0),0)</f>
        <v>0</v>
      </c>
      <c r="I571" s="46">
        <f>IFERROR(VLOOKUP($E571,'BASE DE DATOS'!$A:$I,3,0),0)</f>
        <v>0</v>
      </c>
      <c r="J571" s="46">
        <f>IFERROR(VLOOKUP($E571,'BASE DE DATOS'!$A:$I,3,0),0)</f>
        <v>0</v>
      </c>
      <c r="K571" s="46">
        <f>IFERROR(VLOOKUP($E830,'BASE DE DATOS'!$A:$I,3,0),0)</f>
        <v>0</v>
      </c>
      <c r="L571" s="46">
        <f>IFERROR(VLOOKUP($E571,'BASE DE DATOS'!$A:$I,3,0),0)</f>
        <v>0</v>
      </c>
    </row>
    <row r="572" spans="4:12" x14ac:dyDescent="0.25">
      <c r="D572" s="46" t="str">
        <f>IFERROR(VLOOKUP($E572,'BASE DE DATOS'!$A:$I,2,0)," ")</f>
        <v xml:space="preserve"> </v>
      </c>
      <c r="F572" s="46">
        <f>IFERROR(VLOOKUP($E585,'BASE DE DATOS'!$A:$I,3,0),0)</f>
        <v>0</v>
      </c>
      <c r="G572" s="46">
        <f>IFERROR(VLOOKUP($E572,'BASE DE DATOS'!$A:$I,3,0),0)</f>
        <v>0</v>
      </c>
      <c r="H572" s="46">
        <f>IFERROR(VLOOKUP($E572,'BASE DE DATOS'!$A:$I,3,0),0)</f>
        <v>0</v>
      </c>
      <c r="I572" s="46">
        <f>IFERROR(VLOOKUP($E572,'BASE DE DATOS'!$A:$I,3,0),0)</f>
        <v>0</v>
      </c>
      <c r="J572" s="46">
        <f>IFERROR(VLOOKUP($E572,'BASE DE DATOS'!$A:$I,3,0),0)</f>
        <v>0</v>
      </c>
      <c r="K572" s="46">
        <f>IFERROR(VLOOKUP($E831,'BASE DE DATOS'!$A:$I,3,0),0)</f>
        <v>0</v>
      </c>
      <c r="L572" s="46">
        <f>IFERROR(VLOOKUP($E572,'BASE DE DATOS'!$A:$I,3,0),0)</f>
        <v>0</v>
      </c>
    </row>
    <row r="573" spans="4:12" x14ac:dyDescent="0.25">
      <c r="D573" s="46" t="str">
        <f>IFERROR(VLOOKUP($E573,'BASE DE DATOS'!$A:$I,2,0)," ")</f>
        <v xml:space="preserve"> </v>
      </c>
      <c r="F573" s="46">
        <f>IFERROR(VLOOKUP($E586,'BASE DE DATOS'!$A:$I,3,0),0)</f>
        <v>0</v>
      </c>
      <c r="G573" s="46">
        <f>IFERROR(VLOOKUP($E573,'BASE DE DATOS'!$A:$I,3,0),0)</f>
        <v>0</v>
      </c>
      <c r="H573" s="46">
        <f>IFERROR(VLOOKUP($E573,'BASE DE DATOS'!$A:$I,3,0),0)</f>
        <v>0</v>
      </c>
      <c r="I573" s="46">
        <f>IFERROR(VLOOKUP($E573,'BASE DE DATOS'!$A:$I,3,0),0)</f>
        <v>0</v>
      </c>
      <c r="J573" s="46">
        <f>IFERROR(VLOOKUP($E573,'BASE DE DATOS'!$A:$I,3,0),0)</f>
        <v>0</v>
      </c>
      <c r="K573" s="46">
        <f>IFERROR(VLOOKUP($E832,'BASE DE DATOS'!$A:$I,3,0),0)</f>
        <v>0</v>
      </c>
      <c r="L573" s="46">
        <f>IFERROR(VLOOKUP($E573,'BASE DE DATOS'!$A:$I,3,0),0)</f>
        <v>0</v>
      </c>
    </row>
    <row r="574" spans="4:12" x14ac:dyDescent="0.25">
      <c r="D574" s="46" t="str">
        <f>IFERROR(VLOOKUP($E574,'BASE DE DATOS'!$A:$I,2,0)," ")</f>
        <v xml:space="preserve"> </v>
      </c>
      <c r="F574" s="46">
        <f>IFERROR(VLOOKUP($E587,'BASE DE DATOS'!$A:$I,3,0),0)</f>
        <v>0</v>
      </c>
      <c r="G574" s="46">
        <f>IFERROR(VLOOKUP($E574,'BASE DE DATOS'!$A:$I,3,0),0)</f>
        <v>0</v>
      </c>
      <c r="H574" s="46">
        <f>IFERROR(VLOOKUP($E574,'BASE DE DATOS'!$A:$I,3,0),0)</f>
        <v>0</v>
      </c>
      <c r="I574" s="46">
        <f>IFERROR(VLOOKUP($E574,'BASE DE DATOS'!$A:$I,3,0),0)</f>
        <v>0</v>
      </c>
      <c r="J574" s="46">
        <f>IFERROR(VLOOKUP($E574,'BASE DE DATOS'!$A:$I,3,0),0)</f>
        <v>0</v>
      </c>
      <c r="K574" s="46">
        <f>IFERROR(VLOOKUP($E833,'BASE DE DATOS'!$A:$I,3,0),0)</f>
        <v>0</v>
      </c>
      <c r="L574" s="46">
        <f>IFERROR(VLOOKUP($E574,'BASE DE DATOS'!$A:$I,3,0),0)</f>
        <v>0</v>
      </c>
    </row>
    <row r="575" spans="4:12" x14ac:dyDescent="0.25">
      <c r="D575" s="46" t="str">
        <f>IFERROR(VLOOKUP($E575,'BASE DE DATOS'!$A:$I,2,0)," ")</f>
        <v xml:space="preserve"> </v>
      </c>
      <c r="F575" s="46">
        <f>IFERROR(VLOOKUP($E588,'BASE DE DATOS'!$A:$I,3,0),0)</f>
        <v>0</v>
      </c>
      <c r="G575" s="46">
        <f>IFERROR(VLOOKUP($E575,'BASE DE DATOS'!$A:$I,3,0),0)</f>
        <v>0</v>
      </c>
      <c r="H575" s="46">
        <f>IFERROR(VLOOKUP($E575,'BASE DE DATOS'!$A:$I,3,0),0)</f>
        <v>0</v>
      </c>
      <c r="I575" s="46">
        <f>IFERROR(VLOOKUP($E575,'BASE DE DATOS'!$A:$I,3,0),0)</f>
        <v>0</v>
      </c>
      <c r="J575" s="46">
        <f>IFERROR(VLOOKUP($E575,'BASE DE DATOS'!$A:$I,3,0),0)</f>
        <v>0</v>
      </c>
      <c r="K575" s="46">
        <f>IFERROR(VLOOKUP($E834,'BASE DE DATOS'!$A:$I,3,0),0)</f>
        <v>0</v>
      </c>
      <c r="L575" s="46">
        <f>IFERROR(VLOOKUP($E575,'BASE DE DATOS'!$A:$I,3,0),0)</f>
        <v>0</v>
      </c>
    </row>
    <row r="576" spans="4:12" x14ac:dyDescent="0.25">
      <c r="D576" s="46" t="str">
        <f>IFERROR(VLOOKUP($E576,'BASE DE DATOS'!$A:$I,2,0)," ")</f>
        <v xml:space="preserve"> </v>
      </c>
      <c r="F576" s="46">
        <f>IFERROR(VLOOKUP($E589,'BASE DE DATOS'!$A:$I,3,0),0)</f>
        <v>0</v>
      </c>
      <c r="G576" s="46">
        <f>IFERROR(VLOOKUP($E576,'BASE DE DATOS'!$A:$I,3,0),0)</f>
        <v>0</v>
      </c>
      <c r="H576" s="46">
        <f>IFERROR(VLOOKUP($E576,'BASE DE DATOS'!$A:$I,3,0),0)</f>
        <v>0</v>
      </c>
      <c r="I576" s="46">
        <f>IFERROR(VLOOKUP($E576,'BASE DE DATOS'!$A:$I,3,0),0)</f>
        <v>0</v>
      </c>
      <c r="J576" s="46">
        <f>IFERROR(VLOOKUP($E576,'BASE DE DATOS'!$A:$I,3,0),0)</f>
        <v>0</v>
      </c>
      <c r="K576" s="46">
        <f>IFERROR(VLOOKUP($E835,'BASE DE DATOS'!$A:$I,3,0),0)</f>
        <v>0</v>
      </c>
      <c r="L576" s="46">
        <f>IFERROR(VLOOKUP($E576,'BASE DE DATOS'!$A:$I,3,0),0)</f>
        <v>0</v>
      </c>
    </row>
    <row r="577" spans="4:12" x14ac:dyDescent="0.25">
      <c r="D577" s="46" t="str">
        <f>IFERROR(VLOOKUP($E577,'BASE DE DATOS'!$A:$I,2,0)," ")</f>
        <v xml:space="preserve"> </v>
      </c>
      <c r="F577" s="46">
        <f>IFERROR(VLOOKUP($E590,'BASE DE DATOS'!$A:$I,3,0),0)</f>
        <v>0</v>
      </c>
      <c r="G577" s="46">
        <f>IFERROR(VLOOKUP($E577,'BASE DE DATOS'!$A:$I,3,0),0)</f>
        <v>0</v>
      </c>
      <c r="H577" s="46">
        <f>IFERROR(VLOOKUP($E577,'BASE DE DATOS'!$A:$I,3,0),0)</f>
        <v>0</v>
      </c>
      <c r="I577" s="46">
        <f>IFERROR(VLOOKUP($E577,'BASE DE DATOS'!$A:$I,3,0),0)</f>
        <v>0</v>
      </c>
      <c r="J577" s="46">
        <f>IFERROR(VLOOKUP($E577,'BASE DE DATOS'!$A:$I,3,0),0)</f>
        <v>0</v>
      </c>
      <c r="K577" s="46">
        <f>IFERROR(VLOOKUP($E836,'BASE DE DATOS'!$A:$I,3,0),0)</f>
        <v>0</v>
      </c>
      <c r="L577" s="46">
        <f>IFERROR(VLOOKUP($E577,'BASE DE DATOS'!$A:$I,3,0),0)</f>
        <v>0</v>
      </c>
    </row>
    <row r="578" spans="4:12" x14ac:dyDescent="0.25">
      <c r="D578" s="46" t="str">
        <f>IFERROR(VLOOKUP($E578,'BASE DE DATOS'!$A:$I,2,0)," ")</f>
        <v xml:space="preserve"> </v>
      </c>
      <c r="F578" s="46">
        <f>IFERROR(VLOOKUP($E591,'BASE DE DATOS'!$A:$I,3,0),0)</f>
        <v>0</v>
      </c>
      <c r="G578" s="46">
        <f>IFERROR(VLOOKUP($E578,'BASE DE DATOS'!$A:$I,3,0),0)</f>
        <v>0</v>
      </c>
      <c r="H578" s="46">
        <f>IFERROR(VLOOKUP($E578,'BASE DE DATOS'!$A:$I,3,0),0)</f>
        <v>0</v>
      </c>
      <c r="I578" s="46">
        <f>IFERROR(VLOOKUP($E578,'BASE DE DATOS'!$A:$I,3,0),0)</f>
        <v>0</v>
      </c>
      <c r="J578" s="46">
        <f>IFERROR(VLOOKUP($E578,'BASE DE DATOS'!$A:$I,3,0),0)</f>
        <v>0</v>
      </c>
      <c r="K578" s="46">
        <f>IFERROR(VLOOKUP($E837,'BASE DE DATOS'!$A:$I,3,0),0)</f>
        <v>0</v>
      </c>
      <c r="L578" s="46">
        <f>IFERROR(VLOOKUP($E578,'BASE DE DATOS'!$A:$I,3,0),0)</f>
        <v>0</v>
      </c>
    </row>
    <row r="579" spans="4:12" x14ac:dyDescent="0.25">
      <c r="D579" s="46" t="str">
        <f>IFERROR(VLOOKUP($E579,'BASE DE DATOS'!$A:$I,2,0)," ")</f>
        <v xml:space="preserve"> </v>
      </c>
      <c r="F579" s="46">
        <f>IFERROR(VLOOKUP($E592,'BASE DE DATOS'!$A:$I,3,0),0)</f>
        <v>0</v>
      </c>
      <c r="G579" s="46">
        <f>IFERROR(VLOOKUP($E579,'BASE DE DATOS'!$A:$I,3,0),0)</f>
        <v>0</v>
      </c>
      <c r="H579" s="46">
        <f>IFERROR(VLOOKUP($E579,'BASE DE DATOS'!$A:$I,3,0),0)</f>
        <v>0</v>
      </c>
      <c r="I579" s="46">
        <f>IFERROR(VLOOKUP($E579,'BASE DE DATOS'!$A:$I,3,0),0)</f>
        <v>0</v>
      </c>
      <c r="J579" s="46">
        <f>IFERROR(VLOOKUP($E579,'BASE DE DATOS'!$A:$I,3,0),0)</f>
        <v>0</v>
      </c>
      <c r="K579" s="46">
        <f>IFERROR(VLOOKUP($E838,'BASE DE DATOS'!$A:$I,3,0),0)</f>
        <v>0</v>
      </c>
      <c r="L579" s="46">
        <f>IFERROR(VLOOKUP($E579,'BASE DE DATOS'!$A:$I,3,0),0)</f>
        <v>0</v>
      </c>
    </row>
    <row r="580" spans="4:12" x14ac:dyDescent="0.25">
      <c r="D580" s="46" t="str">
        <f>IFERROR(VLOOKUP($E580,'BASE DE DATOS'!$A:$I,2,0)," ")</f>
        <v xml:space="preserve"> </v>
      </c>
      <c r="F580" s="46">
        <f>IFERROR(VLOOKUP($E593,'BASE DE DATOS'!$A:$I,3,0),0)</f>
        <v>0</v>
      </c>
      <c r="G580" s="46">
        <f>IFERROR(VLOOKUP($E580,'BASE DE DATOS'!$A:$I,3,0),0)</f>
        <v>0</v>
      </c>
      <c r="H580" s="46">
        <f>IFERROR(VLOOKUP($E580,'BASE DE DATOS'!$A:$I,3,0),0)</f>
        <v>0</v>
      </c>
      <c r="I580" s="46">
        <f>IFERROR(VLOOKUP($E580,'BASE DE DATOS'!$A:$I,3,0),0)</f>
        <v>0</v>
      </c>
      <c r="J580" s="46">
        <f>IFERROR(VLOOKUP($E580,'BASE DE DATOS'!$A:$I,3,0),0)</f>
        <v>0</v>
      </c>
      <c r="K580" s="46">
        <f>IFERROR(VLOOKUP($E839,'BASE DE DATOS'!$A:$I,3,0),0)</f>
        <v>0</v>
      </c>
      <c r="L580" s="46">
        <f>IFERROR(VLOOKUP($E580,'BASE DE DATOS'!$A:$I,3,0),0)</f>
        <v>0</v>
      </c>
    </row>
    <row r="581" spans="4:12" x14ac:dyDescent="0.25">
      <c r="D581" s="46" t="str">
        <f>IFERROR(VLOOKUP($E581,'BASE DE DATOS'!$A:$I,2,0)," ")</f>
        <v xml:space="preserve"> </v>
      </c>
      <c r="F581" s="46">
        <f>IFERROR(VLOOKUP($E594,'BASE DE DATOS'!$A:$I,3,0),0)</f>
        <v>0</v>
      </c>
      <c r="G581" s="46">
        <f>IFERROR(VLOOKUP($E581,'BASE DE DATOS'!$A:$I,3,0),0)</f>
        <v>0</v>
      </c>
      <c r="H581" s="46">
        <f>IFERROR(VLOOKUP($E581,'BASE DE DATOS'!$A:$I,3,0),0)</f>
        <v>0</v>
      </c>
      <c r="I581" s="46">
        <f>IFERROR(VLOOKUP($E581,'BASE DE DATOS'!$A:$I,3,0),0)</f>
        <v>0</v>
      </c>
      <c r="J581" s="46">
        <f>IFERROR(VLOOKUP($E581,'BASE DE DATOS'!$A:$I,3,0),0)</f>
        <v>0</v>
      </c>
      <c r="K581" s="46">
        <f>IFERROR(VLOOKUP($E840,'BASE DE DATOS'!$A:$I,3,0),0)</f>
        <v>0</v>
      </c>
      <c r="L581" s="46">
        <f>IFERROR(VLOOKUP($E581,'BASE DE DATOS'!$A:$I,3,0),0)</f>
        <v>0</v>
      </c>
    </row>
    <row r="582" spans="4:12" x14ac:dyDescent="0.25">
      <c r="D582" s="46" t="str">
        <f>IFERROR(VLOOKUP($E582,'BASE DE DATOS'!$A:$I,2,0)," ")</f>
        <v xml:space="preserve"> </v>
      </c>
      <c r="F582" s="46">
        <f>IFERROR(VLOOKUP($E595,'BASE DE DATOS'!$A:$I,3,0),0)</f>
        <v>0</v>
      </c>
      <c r="G582" s="46">
        <f>IFERROR(VLOOKUP($E582,'BASE DE DATOS'!$A:$I,3,0),0)</f>
        <v>0</v>
      </c>
      <c r="H582" s="46">
        <f>IFERROR(VLOOKUP($E582,'BASE DE DATOS'!$A:$I,3,0),0)</f>
        <v>0</v>
      </c>
      <c r="I582" s="46">
        <f>IFERROR(VLOOKUP($E582,'BASE DE DATOS'!$A:$I,3,0),0)</f>
        <v>0</v>
      </c>
      <c r="J582" s="46">
        <f>IFERROR(VLOOKUP($E582,'BASE DE DATOS'!$A:$I,3,0),0)</f>
        <v>0</v>
      </c>
      <c r="K582" s="46">
        <f>IFERROR(VLOOKUP($E841,'BASE DE DATOS'!$A:$I,3,0),0)</f>
        <v>0</v>
      </c>
      <c r="L582" s="46">
        <f>IFERROR(VLOOKUP($E582,'BASE DE DATOS'!$A:$I,3,0),0)</f>
        <v>0</v>
      </c>
    </row>
    <row r="583" spans="4:12" x14ac:dyDescent="0.25">
      <c r="D583" s="46" t="str">
        <f>IFERROR(VLOOKUP($E583,'BASE DE DATOS'!$A:$I,2,0)," ")</f>
        <v xml:space="preserve"> </v>
      </c>
      <c r="F583" s="46">
        <f>IFERROR(VLOOKUP($E596,'BASE DE DATOS'!$A:$I,3,0),0)</f>
        <v>0</v>
      </c>
      <c r="G583" s="46">
        <f>IFERROR(VLOOKUP($E583,'BASE DE DATOS'!$A:$I,3,0),0)</f>
        <v>0</v>
      </c>
      <c r="H583" s="46">
        <f>IFERROR(VLOOKUP($E583,'BASE DE DATOS'!$A:$I,3,0),0)</f>
        <v>0</v>
      </c>
      <c r="I583" s="46">
        <f>IFERROR(VLOOKUP($E583,'BASE DE DATOS'!$A:$I,3,0),0)</f>
        <v>0</v>
      </c>
      <c r="J583" s="46">
        <f>IFERROR(VLOOKUP($E583,'BASE DE DATOS'!$A:$I,3,0),0)</f>
        <v>0</v>
      </c>
      <c r="K583" s="46">
        <f>IFERROR(VLOOKUP($E842,'BASE DE DATOS'!$A:$I,3,0),0)</f>
        <v>0</v>
      </c>
      <c r="L583" s="46">
        <f>IFERROR(VLOOKUP($E583,'BASE DE DATOS'!$A:$I,3,0),0)</f>
        <v>0</v>
      </c>
    </row>
    <row r="584" spans="4:12" x14ac:dyDescent="0.25">
      <c r="D584" s="46" t="str">
        <f>IFERROR(VLOOKUP($E584,'BASE DE DATOS'!$A:$I,2,0)," ")</f>
        <v xml:space="preserve"> </v>
      </c>
      <c r="F584" s="46">
        <f>IFERROR(VLOOKUP($E597,'BASE DE DATOS'!$A:$I,3,0),0)</f>
        <v>0</v>
      </c>
      <c r="G584" s="46">
        <f>IFERROR(VLOOKUP($E584,'BASE DE DATOS'!$A:$I,3,0),0)</f>
        <v>0</v>
      </c>
      <c r="H584" s="46">
        <f>IFERROR(VLOOKUP($E584,'BASE DE DATOS'!$A:$I,3,0),0)</f>
        <v>0</v>
      </c>
      <c r="I584" s="46">
        <f>IFERROR(VLOOKUP($E584,'BASE DE DATOS'!$A:$I,3,0),0)</f>
        <v>0</v>
      </c>
      <c r="J584" s="46">
        <f>IFERROR(VLOOKUP($E584,'BASE DE DATOS'!$A:$I,3,0),0)</f>
        <v>0</v>
      </c>
      <c r="K584" s="46">
        <f>IFERROR(VLOOKUP($E843,'BASE DE DATOS'!$A:$I,3,0),0)</f>
        <v>0</v>
      </c>
      <c r="L584" s="46">
        <f>IFERROR(VLOOKUP($E584,'BASE DE DATOS'!$A:$I,3,0),0)</f>
        <v>0</v>
      </c>
    </row>
    <row r="585" spans="4:12" x14ac:dyDescent="0.25">
      <c r="D585" s="46" t="str">
        <f>IFERROR(VLOOKUP($E585,'BASE DE DATOS'!$A:$I,2,0)," ")</f>
        <v xml:space="preserve"> </v>
      </c>
      <c r="F585" s="46">
        <f>IFERROR(VLOOKUP($E598,'BASE DE DATOS'!$A:$I,3,0),0)</f>
        <v>0</v>
      </c>
      <c r="G585" s="46">
        <f>IFERROR(VLOOKUP($E585,'BASE DE DATOS'!$A:$I,3,0),0)</f>
        <v>0</v>
      </c>
      <c r="H585" s="46">
        <f>IFERROR(VLOOKUP($E585,'BASE DE DATOS'!$A:$I,3,0),0)</f>
        <v>0</v>
      </c>
      <c r="I585" s="46">
        <f>IFERROR(VLOOKUP($E585,'BASE DE DATOS'!$A:$I,3,0),0)</f>
        <v>0</v>
      </c>
      <c r="J585" s="46">
        <f>IFERROR(VLOOKUP($E585,'BASE DE DATOS'!$A:$I,3,0),0)</f>
        <v>0</v>
      </c>
      <c r="K585" s="46">
        <f>IFERROR(VLOOKUP($E844,'BASE DE DATOS'!$A:$I,3,0),0)</f>
        <v>0</v>
      </c>
      <c r="L585" s="46">
        <f>IFERROR(VLOOKUP($E585,'BASE DE DATOS'!$A:$I,3,0),0)</f>
        <v>0</v>
      </c>
    </row>
    <row r="586" spans="4:12" x14ac:dyDescent="0.25">
      <c r="D586" s="46" t="str">
        <f>IFERROR(VLOOKUP($E586,'BASE DE DATOS'!$A:$I,2,0)," ")</f>
        <v xml:space="preserve"> </v>
      </c>
      <c r="F586" s="46">
        <f>IFERROR(VLOOKUP($E599,'BASE DE DATOS'!$A:$I,3,0),0)</f>
        <v>0</v>
      </c>
      <c r="G586" s="46">
        <f>IFERROR(VLOOKUP($E586,'BASE DE DATOS'!$A:$I,3,0),0)</f>
        <v>0</v>
      </c>
      <c r="H586" s="46">
        <f>IFERROR(VLOOKUP($E586,'BASE DE DATOS'!$A:$I,3,0),0)</f>
        <v>0</v>
      </c>
      <c r="I586" s="46">
        <f>IFERROR(VLOOKUP($E586,'BASE DE DATOS'!$A:$I,3,0),0)</f>
        <v>0</v>
      </c>
      <c r="J586" s="46">
        <f>IFERROR(VLOOKUP($E586,'BASE DE DATOS'!$A:$I,3,0),0)</f>
        <v>0</v>
      </c>
      <c r="K586" s="46">
        <f>IFERROR(VLOOKUP($E845,'BASE DE DATOS'!$A:$I,3,0),0)</f>
        <v>0</v>
      </c>
      <c r="L586" s="46">
        <f>IFERROR(VLOOKUP($E586,'BASE DE DATOS'!$A:$I,3,0),0)</f>
        <v>0</v>
      </c>
    </row>
    <row r="587" spans="4:12" x14ac:dyDescent="0.25">
      <c r="D587" s="46" t="str">
        <f>IFERROR(VLOOKUP($E587,'BASE DE DATOS'!$A:$I,2,0)," ")</f>
        <v xml:space="preserve"> </v>
      </c>
      <c r="F587" s="46">
        <f>IFERROR(VLOOKUP($E600,'BASE DE DATOS'!$A:$I,3,0),0)</f>
        <v>0</v>
      </c>
      <c r="G587" s="46">
        <f>IFERROR(VLOOKUP($E587,'BASE DE DATOS'!$A:$I,3,0),0)</f>
        <v>0</v>
      </c>
      <c r="H587" s="46">
        <f>IFERROR(VLOOKUP($E587,'BASE DE DATOS'!$A:$I,3,0),0)</f>
        <v>0</v>
      </c>
      <c r="I587" s="46">
        <f>IFERROR(VLOOKUP($E587,'BASE DE DATOS'!$A:$I,3,0),0)</f>
        <v>0</v>
      </c>
      <c r="J587" s="46">
        <f>IFERROR(VLOOKUP($E587,'BASE DE DATOS'!$A:$I,3,0),0)</f>
        <v>0</v>
      </c>
      <c r="K587" s="46">
        <f>IFERROR(VLOOKUP($E846,'BASE DE DATOS'!$A:$I,3,0),0)</f>
        <v>0</v>
      </c>
      <c r="L587" s="46">
        <f>IFERROR(VLOOKUP($E587,'BASE DE DATOS'!$A:$I,3,0),0)</f>
        <v>0</v>
      </c>
    </row>
    <row r="588" spans="4:12" x14ac:dyDescent="0.25">
      <c r="D588" s="46" t="str">
        <f>IFERROR(VLOOKUP($E588,'BASE DE DATOS'!$A:$I,2,0)," ")</f>
        <v xml:space="preserve"> </v>
      </c>
      <c r="F588" s="46">
        <f>IFERROR(VLOOKUP($E601,'BASE DE DATOS'!$A:$I,3,0),0)</f>
        <v>0</v>
      </c>
      <c r="G588" s="46">
        <f>IFERROR(VLOOKUP($E588,'BASE DE DATOS'!$A:$I,3,0),0)</f>
        <v>0</v>
      </c>
      <c r="H588" s="46">
        <f>IFERROR(VLOOKUP($E588,'BASE DE DATOS'!$A:$I,3,0),0)</f>
        <v>0</v>
      </c>
      <c r="I588" s="46">
        <f>IFERROR(VLOOKUP($E588,'BASE DE DATOS'!$A:$I,3,0),0)</f>
        <v>0</v>
      </c>
      <c r="J588" s="46">
        <f>IFERROR(VLOOKUP($E588,'BASE DE DATOS'!$A:$I,3,0),0)</f>
        <v>0</v>
      </c>
      <c r="K588" s="46">
        <f>IFERROR(VLOOKUP($E847,'BASE DE DATOS'!$A:$I,3,0),0)</f>
        <v>0</v>
      </c>
      <c r="L588" s="46">
        <f>IFERROR(VLOOKUP($E588,'BASE DE DATOS'!$A:$I,3,0),0)</f>
        <v>0</v>
      </c>
    </row>
    <row r="589" spans="4:12" x14ac:dyDescent="0.25">
      <c r="D589" s="46" t="str">
        <f>IFERROR(VLOOKUP($E589,'BASE DE DATOS'!$A:$I,2,0)," ")</f>
        <v xml:space="preserve"> </v>
      </c>
      <c r="F589" s="46">
        <f>IFERROR(VLOOKUP($E602,'BASE DE DATOS'!$A:$I,3,0),0)</f>
        <v>0</v>
      </c>
      <c r="G589" s="46">
        <f>IFERROR(VLOOKUP($E589,'BASE DE DATOS'!$A:$I,3,0),0)</f>
        <v>0</v>
      </c>
      <c r="H589" s="46">
        <f>IFERROR(VLOOKUP($E589,'BASE DE DATOS'!$A:$I,3,0),0)</f>
        <v>0</v>
      </c>
      <c r="I589" s="46">
        <f>IFERROR(VLOOKUP($E589,'BASE DE DATOS'!$A:$I,3,0),0)</f>
        <v>0</v>
      </c>
      <c r="J589" s="46">
        <f>IFERROR(VLOOKUP($E589,'BASE DE DATOS'!$A:$I,3,0),0)</f>
        <v>0</v>
      </c>
      <c r="K589" s="46">
        <f>IFERROR(VLOOKUP($E848,'BASE DE DATOS'!$A:$I,3,0),0)</f>
        <v>0</v>
      </c>
      <c r="L589" s="46">
        <f>IFERROR(VLOOKUP($E589,'BASE DE DATOS'!$A:$I,3,0),0)</f>
        <v>0</v>
      </c>
    </row>
    <row r="590" spans="4:12" x14ac:dyDescent="0.25">
      <c r="D590" s="46" t="str">
        <f>IFERROR(VLOOKUP($E590,'BASE DE DATOS'!$A:$I,2,0)," ")</f>
        <v xml:space="preserve"> </v>
      </c>
      <c r="F590" s="46">
        <f>IFERROR(VLOOKUP($E603,'BASE DE DATOS'!$A:$I,3,0),0)</f>
        <v>0</v>
      </c>
      <c r="G590" s="46">
        <f>IFERROR(VLOOKUP($E590,'BASE DE DATOS'!$A:$I,3,0),0)</f>
        <v>0</v>
      </c>
      <c r="H590" s="46">
        <f>IFERROR(VLOOKUP($E590,'BASE DE DATOS'!$A:$I,3,0),0)</f>
        <v>0</v>
      </c>
      <c r="I590" s="46">
        <f>IFERROR(VLOOKUP($E590,'BASE DE DATOS'!$A:$I,3,0),0)</f>
        <v>0</v>
      </c>
      <c r="J590" s="46">
        <f>IFERROR(VLOOKUP($E590,'BASE DE DATOS'!$A:$I,3,0),0)</f>
        <v>0</v>
      </c>
      <c r="K590" s="46">
        <f>IFERROR(VLOOKUP($E849,'BASE DE DATOS'!$A:$I,3,0),0)</f>
        <v>0</v>
      </c>
      <c r="L590" s="46">
        <f>IFERROR(VLOOKUP($E590,'BASE DE DATOS'!$A:$I,3,0),0)</f>
        <v>0</v>
      </c>
    </row>
    <row r="591" spans="4:12" x14ac:dyDescent="0.25">
      <c r="D591" s="46" t="str">
        <f>IFERROR(VLOOKUP($E591,'BASE DE DATOS'!$A:$I,2,0)," ")</f>
        <v xml:space="preserve"> </v>
      </c>
      <c r="F591" s="46">
        <f>IFERROR(VLOOKUP($E604,'BASE DE DATOS'!$A:$I,3,0),0)</f>
        <v>0</v>
      </c>
      <c r="G591" s="46">
        <f>IFERROR(VLOOKUP($E591,'BASE DE DATOS'!$A:$I,3,0),0)</f>
        <v>0</v>
      </c>
      <c r="H591" s="46">
        <f>IFERROR(VLOOKUP($E591,'BASE DE DATOS'!$A:$I,3,0),0)</f>
        <v>0</v>
      </c>
      <c r="I591" s="46">
        <f>IFERROR(VLOOKUP($E591,'BASE DE DATOS'!$A:$I,3,0),0)</f>
        <v>0</v>
      </c>
      <c r="J591" s="46">
        <f>IFERROR(VLOOKUP($E591,'BASE DE DATOS'!$A:$I,3,0),0)</f>
        <v>0</v>
      </c>
      <c r="K591" s="46">
        <f>IFERROR(VLOOKUP($E850,'BASE DE DATOS'!$A:$I,3,0),0)</f>
        <v>0</v>
      </c>
      <c r="L591" s="46">
        <f>IFERROR(VLOOKUP($E591,'BASE DE DATOS'!$A:$I,3,0),0)</f>
        <v>0</v>
      </c>
    </row>
    <row r="592" spans="4:12" x14ac:dyDescent="0.25">
      <c r="D592" s="46" t="str">
        <f>IFERROR(VLOOKUP($E592,'BASE DE DATOS'!$A:$I,2,0)," ")</f>
        <v xml:space="preserve"> </v>
      </c>
      <c r="F592" s="46">
        <f>IFERROR(VLOOKUP($E605,'BASE DE DATOS'!$A:$I,3,0),0)</f>
        <v>0</v>
      </c>
      <c r="G592" s="46">
        <f>IFERROR(VLOOKUP($E592,'BASE DE DATOS'!$A:$I,3,0),0)</f>
        <v>0</v>
      </c>
      <c r="H592" s="46">
        <f>IFERROR(VLOOKUP($E592,'BASE DE DATOS'!$A:$I,3,0),0)</f>
        <v>0</v>
      </c>
      <c r="I592" s="46">
        <f>IFERROR(VLOOKUP($E592,'BASE DE DATOS'!$A:$I,3,0),0)</f>
        <v>0</v>
      </c>
      <c r="J592" s="46">
        <f>IFERROR(VLOOKUP($E592,'BASE DE DATOS'!$A:$I,3,0),0)</f>
        <v>0</v>
      </c>
      <c r="K592" s="46">
        <f>IFERROR(VLOOKUP($E851,'BASE DE DATOS'!$A:$I,3,0),0)</f>
        <v>0</v>
      </c>
      <c r="L592" s="46">
        <f>IFERROR(VLOOKUP($E592,'BASE DE DATOS'!$A:$I,3,0),0)</f>
        <v>0</v>
      </c>
    </row>
    <row r="593" spans="4:12" x14ac:dyDescent="0.25">
      <c r="D593" s="46" t="str">
        <f>IFERROR(VLOOKUP($E593,'BASE DE DATOS'!$A:$I,2,0)," ")</f>
        <v xml:space="preserve"> </v>
      </c>
      <c r="F593" s="46">
        <f>IFERROR(VLOOKUP($E606,'BASE DE DATOS'!$A:$I,3,0),0)</f>
        <v>0</v>
      </c>
      <c r="G593" s="46">
        <f>IFERROR(VLOOKUP($E593,'BASE DE DATOS'!$A:$I,3,0),0)</f>
        <v>0</v>
      </c>
      <c r="H593" s="46">
        <f>IFERROR(VLOOKUP($E593,'BASE DE DATOS'!$A:$I,3,0),0)</f>
        <v>0</v>
      </c>
      <c r="I593" s="46">
        <f>IFERROR(VLOOKUP($E593,'BASE DE DATOS'!$A:$I,3,0),0)</f>
        <v>0</v>
      </c>
      <c r="J593" s="46">
        <f>IFERROR(VLOOKUP($E593,'BASE DE DATOS'!$A:$I,3,0),0)</f>
        <v>0</v>
      </c>
      <c r="K593" s="46">
        <f>IFERROR(VLOOKUP($E852,'BASE DE DATOS'!$A:$I,3,0),0)</f>
        <v>0</v>
      </c>
      <c r="L593" s="46">
        <f>IFERROR(VLOOKUP($E593,'BASE DE DATOS'!$A:$I,3,0),0)</f>
        <v>0</v>
      </c>
    </row>
    <row r="594" spans="4:12" x14ac:dyDescent="0.25">
      <c r="D594" s="46" t="str">
        <f>IFERROR(VLOOKUP($E594,'BASE DE DATOS'!$A:$I,2,0)," ")</f>
        <v xml:space="preserve"> </v>
      </c>
      <c r="F594" s="46">
        <f>IFERROR(VLOOKUP($E607,'BASE DE DATOS'!$A:$I,3,0),0)</f>
        <v>0</v>
      </c>
      <c r="G594" s="46">
        <f>IFERROR(VLOOKUP($E594,'BASE DE DATOS'!$A:$I,3,0),0)</f>
        <v>0</v>
      </c>
      <c r="H594" s="46">
        <f>IFERROR(VLOOKUP($E594,'BASE DE DATOS'!$A:$I,3,0),0)</f>
        <v>0</v>
      </c>
      <c r="I594" s="46">
        <f>IFERROR(VLOOKUP($E594,'BASE DE DATOS'!$A:$I,3,0),0)</f>
        <v>0</v>
      </c>
      <c r="J594" s="46">
        <f>IFERROR(VLOOKUP($E594,'BASE DE DATOS'!$A:$I,3,0),0)</f>
        <v>0</v>
      </c>
      <c r="K594" s="46">
        <f>IFERROR(VLOOKUP($E853,'BASE DE DATOS'!$A:$I,3,0),0)</f>
        <v>0</v>
      </c>
      <c r="L594" s="46">
        <f>IFERROR(VLOOKUP($E594,'BASE DE DATOS'!$A:$I,3,0),0)</f>
        <v>0</v>
      </c>
    </row>
    <row r="595" spans="4:12" x14ac:dyDescent="0.25">
      <c r="D595" s="46" t="str">
        <f>IFERROR(VLOOKUP($E595,'BASE DE DATOS'!$A:$I,2,0)," ")</f>
        <v xml:space="preserve"> </v>
      </c>
      <c r="F595" s="46">
        <f>IFERROR(VLOOKUP($E608,'BASE DE DATOS'!$A:$I,3,0),0)</f>
        <v>0</v>
      </c>
      <c r="G595" s="46">
        <f>IFERROR(VLOOKUP($E595,'BASE DE DATOS'!$A:$I,3,0),0)</f>
        <v>0</v>
      </c>
      <c r="H595" s="46">
        <f>IFERROR(VLOOKUP($E595,'BASE DE DATOS'!$A:$I,3,0),0)</f>
        <v>0</v>
      </c>
      <c r="I595" s="46">
        <f>IFERROR(VLOOKUP($E595,'BASE DE DATOS'!$A:$I,3,0),0)</f>
        <v>0</v>
      </c>
      <c r="J595" s="46">
        <f>IFERROR(VLOOKUP($E595,'BASE DE DATOS'!$A:$I,3,0),0)</f>
        <v>0</v>
      </c>
      <c r="K595" s="46">
        <f>IFERROR(VLOOKUP($E854,'BASE DE DATOS'!$A:$I,3,0),0)</f>
        <v>0</v>
      </c>
      <c r="L595" s="46">
        <f>IFERROR(VLOOKUP($E595,'BASE DE DATOS'!$A:$I,3,0),0)</f>
        <v>0</v>
      </c>
    </row>
    <row r="596" spans="4:12" x14ac:dyDescent="0.25">
      <c r="D596" s="46" t="str">
        <f>IFERROR(VLOOKUP($E596,'BASE DE DATOS'!$A:$I,2,0)," ")</f>
        <v xml:space="preserve"> </v>
      </c>
      <c r="F596" s="46">
        <f>IFERROR(VLOOKUP($E609,'BASE DE DATOS'!$A:$I,3,0),0)</f>
        <v>0</v>
      </c>
      <c r="G596" s="46">
        <f>IFERROR(VLOOKUP($E596,'BASE DE DATOS'!$A:$I,3,0),0)</f>
        <v>0</v>
      </c>
      <c r="H596" s="46">
        <f>IFERROR(VLOOKUP($E596,'BASE DE DATOS'!$A:$I,3,0),0)</f>
        <v>0</v>
      </c>
      <c r="I596" s="46">
        <f>IFERROR(VLOOKUP($E596,'BASE DE DATOS'!$A:$I,3,0),0)</f>
        <v>0</v>
      </c>
      <c r="J596" s="46">
        <f>IFERROR(VLOOKUP($E596,'BASE DE DATOS'!$A:$I,3,0),0)</f>
        <v>0</v>
      </c>
      <c r="K596" s="46">
        <f>IFERROR(VLOOKUP($E855,'BASE DE DATOS'!$A:$I,3,0),0)</f>
        <v>0</v>
      </c>
      <c r="L596" s="46">
        <f>IFERROR(VLOOKUP($E596,'BASE DE DATOS'!$A:$I,3,0),0)</f>
        <v>0</v>
      </c>
    </row>
    <row r="597" spans="4:12" x14ac:dyDescent="0.25">
      <c r="D597" s="46" t="str">
        <f>IFERROR(VLOOKUP($E597,'BASE DE DATOS'!$A:$I,2,0)," ")</f>
        <v xml:space="preserve"> </v>
      </c>
      <c r="F597" s="46">
        <f>IFERROR(VLOOKUP($E610,'BASE DE DATOS'!$A:$I,3,0),0)</f>
        <v>0</v>
      </c>
      <c r="G597" s="46">
        <f>IFERROR(VLOOKUP($E597,'BASE DE DATOS'!$A:$I,3,0),0)</f>
        <v>0</v>
      </c>
      <c r="H597" s="46">
        <f>IFERROR(VLOOKUP($E597,'BASE DE DATOS'!$A:$I,3,0),0)</f>
        <v>0</v>
      </c>
      <c r="I597" s="46">
        <f>IFERROR(VLOOKUP($E597,'BASE DE DATOS'!$A:$I,3,0),0)</f>
        <v>0</v>
      </c>
      <c r="J597" s="46">
        <f>IFERROR(VLOOKUP($E597,'BASE DE DATOS'!$A:$I,3,0),0)</f>
        <v>0</v>
      </c>
      <c r="K597" s="46">
        <f>IFERROR(VLOOKUP($E856,'BASE DE DATOS'!$A:$I,3,0),0)</f>
        <v>0</v>
      </c>
      <c r="L597" s="46">
        <f>IFERROR(VLOOKUP($E597,'BASE DE DATOS'!$A:$I,3,0),0)</f>
        <v>0</v>
      </c>
    </row>
    <row r="598" spans="4:12" x14ac:dyDescent="0.25">
      <c r="D598" s="46" t="str">
        <f>IFERROR(VLOOKUP($E598,'BASE DE DATOS'!$A:$I,2,0)," ")</f>
        <v xml:space="preserve"> </v>
      </c>
      <c r="F598" s="46">
        <f>IFERROR(VLOOKUP($E611,'BASE DE DATOS'!$A:$I,3,0),0)</f>
        <v>0</v>
      </c>
      <c r="G598" s="46">
        <f>IFERROR(VLOOKUP($E598,'BASE DE DATOS'!$A:$I,3,0),0)</f>
        <v>0</v>
      </c>
      <c r="H598" s="46">
        <f>IFERROR(VLOOKUP($E598,'BASE DE DATOS'!$A:$I,3,0),0)</f>
        <v>0</v>
      </c>
      <c r="I598" s="46">
        <f>IFERROR(VLOOKUP($E598,'BASE DE DATOS'!$A:$I,3,0),0)</f>
        <v>0</v>
      </c>
      <c r="J598" s="46">
        <f>IFERROR(VLOOKUP($E598,'BASE DE DATOS'!$A:$I,3,0),0)</f>
        <v>0</v>
      </c>
      <c r="K598" s="46">
        <f>IFERROR(VLOOKUP($E857,'BASE DE DATOS'!$A:$I,3,0),0)</f>
        <v>0</v>
      </c>
      <c r="L598" s="46">
        <f>IFERROR(VLOOKUP($E598,'BASE DE DATOS'!$A:$I,3,0),0)</f>
        <v>0</v>
      </c>
    </row>
    <row r="599" spans="4:12" x14ac:dyDescent="0.25">
      <c r="D599" s="46" t="str">
        <f>IFERROR(VLOOKUP($E599,'BASE DE DATOS'!$A:$I,2,0)," ")</f>
        <v xml:space="preserve"> </v>
      </c>
      <c r="F599" s="46">
        <f>IFERROR(VLOOKUP($E612,'BASE DE DATOS'!$A:$I,3,0),0)</f>
        <v>0</v>
      </c>
      <c r="G599" s="46">
        <f>IFERROR(VLOOKUP($E599,'BASE DE DATOS'!$A:$I,3,0),0)</f>
        <v>0</v>
      </c>
      <c r="H599" s="46">
        <f>IFERROR(VLOOKUP($E599,'BASE DE DATOS'!$A:$I,3,0),0)</f>
        <v>0</v>
      </c>
      <c r="I599" s="46">
        <f>IFERROR(VLOOKUP($E599,'BASE DE DATOS'!$A:$I,3,0),0)</f>
        <v>0</v>
      </c>
      <c r="J599" s="46">
        <f>IFERROR(VLOOKUP($E599,'BASE DE DATOS'!$A:$I,3,0),0)</f>
        <v>0</v>
      </c>
      <c r="K599" s="46">
        <f>IFERROR(VLOOKUP($E858,'BASE DE DATOS'!$A:$I,3,0),0)</f>
        <v>0</v>
      </c>
      <c r="L599" s="46">
        <f>IFERROR(VLOOKUP($E599,'BASE DE DATOS'!$A:$I,3,0),0)</f>
        <v>0</v>
      </c>
    </row>
    <row r="600" spans="4:12" x14ac:dyDescent="0.25">
      <c r="D600" s="46" t="str">
        <f>IFERROR(VLOOKUP($E600,'BASE DE DATOS'!$A:$I,2,0)," ")</f>
        <v xml:space="preserve"> </v>
      </c>
      <c r="F600" s="46">
        <f>IFERROR(VLOOKUP($E613,'BASE DE DATOS'!$A:$I,3,0),0)</f>
        <v>0</v>
      </c>
      <c r="G600" s="46">
        <f>IFERROR(VLOOKUP($E600,'BASE DE DATOS'!$A:$I,3,0),0)</f>
        <v>0</v>
      </c>
      <c r="H600" s="46">
        <f>IFERROR(VLOOKUP($E600,'BASE DE DATOS'!$A:$I,3,0),0)</f>
        <v>0</v>
      </c>
      <c r="I600" s="46">
        <f>IFERROR(VLOOKUP($E600,'BASE DE DATOS'!$A:$I,3,0),0)</f>
        <v>0</v>
      </c>
      <c r="J600" s="46">
        <f>IFERROR(VLOOKUP($E600,'BASE DE DATOS'!$A:$I,3,0),0)</f>
        <v>0</v>
      </c>
      <c r="K600" s="46">
        <f>IFERROR(VLOOKUP($E859,'BASE DE DATOS'!$A:$I,3,0),0)</f>
        <v>0</v>
      </c>
      <c r="L600" s="46">
        <f>IFERROR(VLOOKUP($E600,'BASE DE DATOS'!$A:$I,3,0),0)</f>
        <v>0</v>
      </c>
    </row>
    <row r="601" spans="4:12" x14ac:dyDescent="0.25">
      <c r="D601" s="46" t="str">
        <f>IFERROR(VLOOKUP($E601,'BASE DE DATOS'!$A:$I,2,0)," ")</f>
        <v xml:space="preserve"> </v>
      </c>
      <c r="F601" s="46">
        <f>IFERROR(VLOOKUP($E614,'BASE DE DATOS'!$A:$I,3,0),0)</f>
        <v>0</v>
      </c>
      <c r="G601" s="46">
        <f>IFERROR(VLOOKUP($E601,'BASE DE DATOS'!$A:$I,3,0),0)</f>
        <v>0</v>
      </c>
      <c r="H601" s="46">
        <f>IFERROR(VLOOKUP($E601,'BASE DE DATOS'!$A:$I,3,0),0)</f>
        <v>0</v>
      </c>
      <c r="I601" s="46">
        <f>IFERROR(VLOOKUP($E601,'BASE DE DATOS'!$A:$I,3,0),0)</f>
        <v>0</v>
      </c>
      <c r="J601" s="46">
        <f>IFERROR(VLOOKUP($E601,'BASE DE DATOS'!$A:$I,3,0),0)</f>
        <v>0</v>
      </c>
      <c r="K601" s="46">
        <f>IFERROR(VLOOKUP($E860,'BASE DE DATOS'!$A:$I,3,0),0)</f>
        <v>0</v>
      </c>
      <c r="L601" s="46">
        <f>IFERROR(VLOOKUP($E601,'BASE DE DATOS'!$A:$I,3,0),0)</f>
        <v>0</v>
      </c>
    </row>
    <row r="602" spans="4:12" x14ac:dyDescent="0.25">
      <c r="D602" s="46" t="str">
        <f>IFERROR(VLOOKUP($E602,'BASE DE DATOS'!$A:$I,2,0)," ")</f>
        <v xml:space="preserve"> </v>
      </c>
      <c r="F602" s="46">
        <f>IFERROR(VLOOKUP($E615,'BASE DE DATOS'!$A:$I,3,0),0)</f>
        <v>0</v>
      </c>
      <c r="G602" s="46">
        <f>IFERROR(VLOOKUP($E602,'BASE DE DATOS'!$A:$I,3,0),0)</f>
        <v>0</v>
      </c>
      <c r="H602" s="46">
        <f>IFERROR(VLOOKUP($E602,'BASE DE DATOS'!$A:$I,3,0),0)</f>
        <v>0</v>
      </c>
      <c r="I602" s="46">
        <f>IFERROR(VLOOKUP($E602,'BASE DE DATOS'!$A:$I,3,0),0)</f>
        <v>0</v>
      </c>
      <c r="J602" s="46">
        <f>IFERROR(VLOOKUP($E602,'BASE DE DATOS'!$A:$I,3,0),0)</f>
        <v>0</v>
      </c>
      <c r="K602" s="46">
        <f>IFERROR(VLOOKUP($E861,'BASE DE DATOS'!$A:$I,3,0),0)</f>
        <v>0</v>
      </c>
      <c r="L602" s="46">
        <f>IFERROR(VLOOKUP($E602,'BASE DE DATOS'!$A:$I,3,0),0)</f>
        <v>0</v>
      </c>
    </row>
    <row r="603" spans="4:12" x14ac:dyDescent="0.25">
      <c r="D603" s="46" t="str">
        <f>IFERROR(VLOOKUP($E603,'BASE DE DATOS'!$A:$I,2,0)," ")</f>
        <v xml:space="preserve"> </v>
      </c>
      <c r="F603" s="46">
        <f>IFERROR(VLOOKUP($E616,'BASE DE DATOS'!$A:$I,3,0),0)</f>
        <v>0</v>
      </c>
      <c r="G603" s="46">
        <f>IFERROR(VLOOKUP($E603,'BASE DE DATOS'!$A:$I,3,0),0)</f>
        <v>0</v>
      </c>
      <c r="H603" s="46">
        <f>IFERROR(VLOOKUP($E603,'BASE DE DATOS'!$A:$I,3,0),0)</f>
        <v>0</v>
      </c>
      <c r="I603" s="46">
        <f>IFERROR(VLOOKUP($E603,'BASE DE DATOS'!$A:$I,3,0),0)</f>
        <v>0</v>
      </c>
      <c r="J603" s="46">
        <f>IFERROR(VLOOKUP($E603,'BASE DE DATOS'!$A:$I,3,0),0)</f>
        <v>0</v>
      </c>
      <c r="K603" s="46">
        <f>IFERROR(VLOOKUP($E862,'BASE DE DATOS'!$A:$I,3,0),0)</f>
        <v>0</v>
      </c>
      <c r="L603" s="46">
        <f>IFERROR(VLOOKUP($E603,'BASE DE DATOS'!$A:$I,3,0),0)</f>
        <v>0</v>
      </c>
    </row>
    <row r="604" spans="4:12" x14ac:dyDescent="0.25">
      <c r="D604" s="46" t="str">
        <f>IFERROR(VLOOKUP($E604,'BASE DE DATOS'!$A:$I,2,0)," ")</f>
        <v xml:space="preserve"> </v>
      </c>
      <c r="F604" s="46">
        <f>IFERROR(VLOOKUP($E617,'BASE DE DATOS'!$A:$I,3,0),0)</f>
        <v>0</v>
      </c>
      <c r="G604" s="46">
        <f>IFERROR(VLOOKUP($E604,'BASE DE DATOS'!$A:$I,3,0),0)</f>
        <v>0</v>
      </c>
      <c r="H604" s="46">
        <f>IFERROR(VLOOKUP($E604,'BASE DE DATOS'!$A:$I,3,0),0)</f>
        <v>0</v>
      </c>
      <c r="I604" s="46">
        <f>IFERROR(VLOOKUP($E604,'BASE DE DATOS'!$A:$I,3,0),0)</f>
        <v>0</v>
      </c>
      <c r="J604" s="46">
        <f>IFERROR(VLOOKUP($E604,'BASE DE DATOS'!$A:$I,3,0),0)</f>
        <v>0</v>
      </c>
      <c r="K604" s="46">
        <f>IFERROR(VLOOKUP($E863,'BASE DE DATOS'!$A:$I,3,0),0)</f>
        <v>0</v>
      </c>
      <c r="L604" s="46">
        <f>IFERROR(VLOOKUP($E604,'BASE DE DATOS'!$A:$I,3,0),0)</f>
        <v>0</v>
      </c>
    </row>
    <row r="605" spans="4:12" x14ac:dyDescent="0.25">
      <c r="D605" s="46" t="str">
        <f>IFERROR(VLOOKUP($E605,'BASE DE DATOS'!$A:$I,2,0)," ")</f>
        <v xml:space="preserve"> </v>
      </c>
      <c r="F605" s="46">
        <f>IFERROR(VLOOKUP($E618,'BASE DE DATOS'!$A:$I,3,0),0)</f>
        <v>0</v>
      </c>
      <c r="G605" s="46">
        <f>IFERROR(VLOOKUP($E605,'BASE DE DATOS'!$A:$I,3,0),0)</f>
        <v>0</v>
      </c>
      <c r="H605" s="46">
        <f>IFERROR(VLOOKUP($E605,'BASE DE DATOS'!$A:$I,3,0),0)</f>
        <v>0</v>
      </c>
      <c r="I605" s="46">
        <f>IFERROR(VLOOKUP($E605,'BASE DE DATOS'!$A:$I,3,0),0)</f>
        <v>0</v>
      </c>
      <c r="J605" s="46">
        <f>IFERROR(VLOOKUP($E605,'BASE DE DATOS'!$A:$I,3,0),0)</f>
        <v>0</v>
      </c>
      <c r="K605" s="46">
        <f>IFERROR(VLOOKUP($E864,'BASE DE DATOS'!$A:$I,3,0),0)</f>
        <v>0</v>
      </c>
      <c r="L605" s="46">
        <f>IFERROR(VLOOKUP($E605,'BASE DE DATOS'!$A:$I,3,0),0)</f>
        <v>0</v>
      </c>
    </row>
    <row r="606" spans="4:12" x14ac:dyDescent="0.25">
      <c r="D606" s="46" t="str">
        <f>IFERROR(VLOOKUP($E606,'BASE DE DATOS'!$A:$I,2,0)," ")</f>
        <v xml:space="preserve"> </v>
      </c>
      <c r="F606" s="46">
        <f>IFERROR(VLOOKUP($E619,'BASE DE DATOS'!$A:$I,3,0),0)</f>
        <v>0</v>
      </c>
      <c r="G606" s="46">
        <f>IFERROR(VLOOKUP($E606,'BASE DE DATOS'!$A:$I,3,0),0)</f>
        <v>0</v>
      </c>
      <c r="H606" s="46">
        <f>IFERROR(VLOOKUP($E606,'BASE DE DATOS'!$A:$I,3,0),0)</f>
        <v>0</v>
      </c>
      <c r="I606" s="46">
        <f>IFERROR(VLOOKUP($E606,'BASE DE DATOS'!$A:$I,3,0),0)</f>
        <v>0</v>
      </c>
      <c r="J606" s="46">
        <f>IFERROR(VLOOKUP($E606,'BASE DE DATOS'!$A:$I,3,0),0)</f>
        <v>0</v>
      </c>
      <c r="K606" s="46">
        <f>IFERROR(VLOOKUP($E865,'BASE DE DATOS'!$A:$I,3,0),0)</f>
        <v>0</v>
      </c>
      <c r="L606" s="46">
        <f>IFERROR(VLOOKUP($E606,'BASE DE DATOS'!$A:$I,3,0),0)</f>
        <v>0</v>
      </c>
    </row>
    <row r="607" spans="4:12" x14ac:dyDescent="0.25">
      <c r="D607" s="46" t="str">
        <f>IFERROR(VLOOKUP($E607,'BASE DE DATOS'!$A:$I,2,0)," ")</f>
        <v xml:space="preserve"> </v>
      </c>
      <c r="F607" s="46">
        <f>IFERROR(VLOOKUP($E620,'BASE DE DATOS'!$A:$I,3,0),0)</f>
        <v>0</v>
      </c>
      <c r="G607" s="46">
        <f>IFERROR(VLOOKUP($E607,'BASE DE DATOS'!$A:$I,3,0),0)</f>
        <v>0</v>
      </c>
      <c r="H607" s="46">
        <f>IFERROR(VLOOKUP($E607,'BASE DE DATOS'!$A:$I,3,0),0)</f>
        <v>0</v>
      </c>
      <c r="I607" s="46">
        <f>IFERROR(VLOOKUP($E607,'BASE DE DATOS'!$A:$I,3,0),0)</f>
        <v>0</v>
      </c>
      <c r="J607" s="46">
        <f>IFERROR(VLOOKUP($E607,'BASE DE DATOS'!$A:$I,3,0),0)</f>
        <v>0</v>
      </c>
      <c r="K607" s="46">
        <f>IFERROR(VLOOKUP($E866,'BASE DE DATOS'!$A:$I,3,0),0)</f>
        <v>0</v>
      </c>
      <c r="L607" s="46">
        <f>IFERROR(VLOOKUP($E607,'BASE DE DATOS'!$A:$I,3,0),0)</f>
        <v>0</v>
      </c>
    </row>
    <row r="608" spans="4:12" x14ac:dyDescent="0.25">
      <c r="D608" s="46" t="str">
        <f>IFERROR(VLOOKUP($E608,'BASE DE DATOS'!$A:$I,2,0)," ")</f>
        <v xml:space="preserve"> </v>
      </c>
      <c r="F608" s="46">
        <f>IFERROR(VLOOKUP($E621,'BASE DE DATOS'!$A:$I,3,0),0)</f>
        <v>0</v>
      </c>
      <c r="G608" s="46">
        <f>IFERROR(VLOOKUP($E608,'BASE DE DATOS'!$A:$I,3,0),0)</f>
        <v>0</v>
      </c>
      <c r="H608" s="46">
        <f>IFERROR(VLOOKUP($E608,'BASE DE DATOS'!$A:$I,3,0),0)</f>
        <v>0</v>
      </c>
      <c r="I608" s="46">
        <f>IFERROR(VLOOKUP($E608,'BASE DE DATOS'!$A:$I,3,0),0)</f>
        <v>0</v>
      </c>
      <c r="J608" s="46">
        <f>IFERROR(VLOOKUP($E608,'BASE DE DATOS'!$A:$I,3,0),0)</f>
        <v>0</v>
      </c>
      <c r="K608" s="46">
        <f>IFERROR(VLOOKUP($E867,'BASE DE DATOS'!$A:$I,3,0),0)</f>
        <v>0</v>
      </c>
      <c r="L608" s="46">
        <f>IFERROR(VLOOKUP($E608,'BASE DE DATOS'!$A:$I,3,0),0)</f>
        <v>0</v>
      </c>
    </row>
    <row r="609" spans="4:12" x14ac:dyDescent="0.25">
      <c r="D609" s="46" t="str">
        <f>IFERROR(VLOOKUP($E609,'BASE DE DATOS'!$A:$I,2,0)," ")</f>
        <v xml:space="preserve"> </v>
      </c>
      <c r="F609" s="46">
        <f>IFERROR(VLOOKUP($E622,'BASE DE DATOS'!$A:$I,3,0),0)</f>
        <v>0</v>
      </c>
      <c r="G609" s="46">
        <f>IFERROR(VLOOKUP($E609,'BASE DE DATOS'!$A:$I,3,0),0)</f>
        <v>0</v>
      </c>
      <c r="H609" s="46">
        <f>IFERROR(VLOOKUP($E609,'BASE DE DATOS'!$A:$I,3,0),0)</f>
        <v>0</v>
      </c>
      <c r="I609" s="46">
        <f>IFERROR(VLOOKUP($E609,'BASE DE DATOS'!$A:$I,3,0),0)</f>
        <v>0</v>
      </c>
      <c r="J609" s="46">
        <f>IFERROR(VLOOKUP($E609,'BASE DE DATOS'!$A:$I,3,0),0)</f>
        <v>0</v>
      </c>
      <c r="K609" s="46">
        <f>IFERROR(VLOOKUP($E868,'BASE DE DATOS'!$A:$I,3,0),0)</f>
        <v>0</v>
      </c>
      <c r="L609" s="46">
        <f>IFERROR(VLOOKUP($E609,'BASE DE DATOS'!$A:$I,3,0),0)</f>
        <v>0</v>
      </c>
    </row>
    <row r="610" spans="4:12" x14ac:dyDescent="0.25">
      <c r="D610" s="46" t="str">
        <f>IFERROR(VLOOKUP($E610,'BASE DE DATOS'!$A:$I,2,0)," ")</f>
        <v xml:space="preserve"> </v>
      </c>
      <c r="F610" s="46">
        <f>IFERROR(VLOOKUP($E623,'BASE DE DATOS'!$A:$I,3,0),0)</f>
        <v>0</v>
      </c>
      <c r="G610" s="46">
        <f>IFERROR(VLOOKUP($E610,'BASE DE DATOS'!$A:$I,3,0),0)</f>
        <v>0</v>
      </c>
      <c r="H610" s="46">
        <f>IFERROR(VLOOKUP($E610,'BASE DE DATOS'!$A:$I,3,0),0)</f>
        <v>0</v>
      </c>
      <c r="I610" s="46">
        <f>IFERROR(VLOOKUP($E610,'BASE DE DATOS'!$A:$I,3,0),0)</f>
        <v>0</v>
      </c>
      <c r="J610" s="46">
        <f>IFERROR(VLOOKUP($E610,'BASE DE DATOS'!$A:$I,3,0),0)</f>
        <v>0</v>
      </c>
      <c r="K610" s="46">
        <f>IFERROR(VLOOKUP($E869,'BASE DE DATOS'!$A:$I,3,0),0)</f>
        <v>0</v>
      </c>
      <c r="L610" s="46">
        <f>IFERROR(VLOOKUP($E610,'BASE DE DATOS'!$A:$I,3,0),0)</f>
        <v>0</v>
      </c>
    </row>
    <row r="611" spans="4:12" x14ac:dyDescent="0.25">
      <c r="D611" s="46" t="str">
        <f>IFERROR(VLOOKUP($E611,'BASE DE DATOS'!$A:$I,2,0)," ")</f>
        <v xml:space="preserve"> </v>
      </c>
      <c r="F611" s="46">
        <f>IFERROR(VLOOKUP($E624,'BASE DE DATOS'!$A:$I,3,0),0)</f>
        <v>0</v>
      </c>
      <c r="G611" s="46">
        <f>IFERROR(VLOOKUP($E611,'BASE DE DATOS'!$A:$I,3,0),0)</f>
        <v>0</v>
      </c>
      <c r="H611" s="46">
        <f>IFERROR(VLOOKUP($E611,'BASE DE DATOS'!$A:$I,3,0),0)</f>
        <v>0</v>
      </c>
      <c r="I611" s="46">
        <f>IFERROR(VLOOKUP($E611,'BASE DE DATOS'!$A:$I,3,0),0)</f>
        <v>0</v>
      </c>
      <c r="J611" s="46">
        <f>IFERROR(VLOOKUP($E611,'BASE DE DATOS'!$A:$I,3,0),0)</f>
        <v>0</v>
      </c>
      <c r="K611" s="46">
        <f>IFERROR(VLOOKUP($E870,'BASE DE DATOS'!$A:$I,3,0),0)</f>
        <v>0</v>
      </c>
      <c r="L611" s="46">
        <f>IFERROR(VLOOKUP($E611,'BASE DE DATOS'!$A:$I,3,0),0)</f>
        <v>0</v>
      </c>
    </row>
    <row r="612" spans="4:12" x14ac:dyDescent="0.25">
      <c r="D612" s="46" t="str">
        <f>IFERROR(VLOOKUP($E612,'BASE DE DATOS'!$A:$I,2,0)," ")</f>
        <v xml:space="preserve"> </v>
      </c>
      <c r="F612" s="46">
        <f>IFERROR(VLOOKUP($E625,'BASE DE DATOS'!$A:$I,3,0),0)</f>
        <v>0</v>
      </c>
      <c r="G612" s="46">
        <f>IFERROR(VLOOKUP($E612,'BASE DE DATOS'!$A:$I,3,0),0)</f>
        <v>0</v>
      </c>
      <c r="H612" s="46">
        <f>IFERROR(VLOOKUP($E612,'BASE DE DATOS'!$A:$I,3,0),0)</f>
        <v>0</v>
      </c>
      <c r="I612" s="46">
        <f>IFERROR(VLOOKUP($E612,'BASE DE DATOS'!$A:$I,3,0),0)</f>
        <v>0</v>
      </c>
      <c r="J612" s="46">
        <f>IFERROR(VLOOKUP($E612,'BASE DE DATOS'!$A:$I,3,0),0)</f>
        <v>0</v>
      </c>
      <c r="K612" s="46">
        <f>IFERROR(VLOOKUP($E871,'BASE DE DATOS'!$A:$I,3,0),0)</f>
        <v>0</v>
      </c>
      <c r="L612" s="46">
        <f>IFERROR(VLOOKUP($E612,'BASE DE DATOS'!$A:$I,3,0),0)</f>
        <v>0</v>
      </c>
    </row>
    <row r="613" spans="4:12" x14ac:dyDescent="0.25">
      <c r="D613" s="46" t="str">
        <f>IFERROR(VLOOKUP($E613,'BASE DE DATOS'!$A:$I,2,0)," ")</f>
        <v xml:space="preserve"> </v>
      </c>
      <c r="F613" s="46">
        <f>IFERROR(VLOOKUP($E626,'BASE DE DATOS'!$A:$I,3,0),0)</f>
        <v>0</v>
      </c>
      <c r="G613" s="46">
        <f>IFERROR(VLOOKUP($E613,'BASE DE DATOS'!$A:$I,3,0),0)</f>
        <v>0</v>
      </c>
      <c r="H613" s="46">
        <f>IFERROR(VLOOKUP($E613,'BASE DE DATOS'!$A:$I,3,0),0)</f>
        <v>0</v>
      </c>
      <c r="I613" s="46">
        <f>IFERROR(VLOOKUP($E613,'BASE DE DATOS'!$A:$I,3,0),0)</f>
        <v>0</v>
      </c>
      <c r="J613" s="46">
        <f>IFERROR(VLOOKUP($E613,'BASE DE DATOS'!$A:$I,3,0),0)</f>
        <v>0</v>
      </c>
      <c r="K613" s="46">
        <f>IFERROR(VLOOKUP($E872,'BASE DE DATOS'!$A:$I,3,0),0)</f>
        <v>0</v>
      </c>
      <c r="L613" s="46">
        <f>IFERROR(VLOOKUP($E613,'BASE DE DATOS'!$A:$I,3,0),0)</f>
        <v>0</v>
      </c>
    </row>
    <row r="614" spans="4:12" x14ac:dyDescent="0.25">
      <c r="D614" s="46" t="str">
        <f>IFERROR(VLOOKUP($E614,'BASE DE DATOS'!$A:$I,2,0)," ")</f>
        <v xml:space="preserve"> </v>
      </c>
      <c r="F614" s="46">
        <f>IFERROR(VLOOKUP($E627,'BASE DE DATOS'!$A:$I,3,0),0)</f>
        <v>0</v>
      </c>
      <c r="G614" s="46">
        <f>IFERROR(VLOOKUP($E614,'BASE DE DATOS'!$A:$I,3,0),0)</f>
        <v>0</v>
      </c>
      <c r="H614" s="46">
        <f>IFERROR(VLOOKUP($E614,'BASE DE DATOS'!$A:$I,3,0),0)</f>
        <v>0</v>
      </c>
      <c r="I614" s="46">
        <f>IFERROR(VLOOKUP($E614,'BASE DE DATOS'!$A:$I,3,0),0)</f>
        <v>0</v>
      </c>
      <c r="J614" s="46">
        <f>IFERROR(VLOOKUP($E614,'BASE DE DATOS'!$A:$I,3,0),0)</f>
        <v>0</v>
      </c>
      <c r="K614" s="46">
        <f>IFERROR(VLOOKUP($E873,'BASE DE DATOS'!$A:$I,3,0),0)</f>
        <v>0</v>
      </c>
      <c r="L614" s="46">
        <f>IFERROR(VLOOKUP($E614,'BASE DE DATOS'!$A:$I,3,0),0)</f>
        <v>0</v>
      </c>
    </row>
    <row r="615" spans="4:12" x14ac:dyDescent="0.25">
      <c r="D615" s="46" t="str">
        <f>IFERROR(VLOOKUP($E615,'BASE DE DATOS'!$A:$I,2,0)," ")</f>
        <v xml:space="preserve"> </v>
      </c>
      <c r="F615" s="46">
        <f>IFERROR(VLOOKUP($E628,'BASE DE DATOS'!$A:$I,3,0),0)</f>
        <v>0</v>
      </c>
      <c r="G615" s="46">
        <f>IFERROR(VLOOKUP($E615,'BASE DE DATOS'!$A:$I,3,0),0)</f>
        <v>0</v>
      </c>
      <c r="H615" s="46">
        <f>IFERROR(VLOOKUP($E615,'BASE DE DATOS'!$A:$I,3,0),0)</f>
        <v>0</v>
      </c>
      <c r="I615" s="46">
        <f>IFERROR(VLOOKUP($E615,'BASE DE DATOS'!$A:$I,3,0),0)</f>
        <v>0</v>
      </c>
      <c r="J615" s="46">
        <f>IFERROR(VLOOKUP($E615,'BASE DE DATOS'!$A:$I,3,0),0)</f>
        <v>0</v>
      </c>
      <c r="K615" s="46">
        <f>IFERROR(VLOOKUP($E874,'BASE DE DATOS'!$A:$I,3,0),0)</f>
        <v>0</v>
      </c>
      <c r="L615" s="46">
        <f>IFERROR(VLOOKUP($E615,'BASE DE DATOS'!$A:$I,3,0),0)</f>
        <v>0</v>
      </c>
    </row>
    <row r="616" spans="4:12" x14ac:dyDescent="0.25">
      <c r="D616" s="46" t="str">
        <f>IFERROR(VLOOKUP($E616,'BASE DE DATOS'!$A:$I,2,0)," ")</f>
        <v xml:space="preserve"> </v>
      </c>
      <c r="F616" s="46">
        <f>IFERROR(VLOOKUP($E629,'BASE DE DATOS'!$A:$I,3,0),0)</f>
        <v>0</v>
      </c>
      <c r="G616" s="46">
        <f>IFERROR(VLOOKUP($E616,'BASE DE DATOS'!$A:$I,3,0),0)</f>
        <v>0</v>
      </c>
      <c r="H616" s="46">
        <f>IFERROR(VLOOKUP($E616,'BASE DE DATOS'!$A:$I,3,0),0)</f>
        <v>0</v>
      </c>
      <c r="I616" s="46">
        <f>IFERROR(VLOOKUP($E616,'BASE DE DATOS'!$A:$I,3,0),0)</f>
        <v>0</v>
      </c>
      <c r="J616" s="46">
        <f>IFERROR(VLOOKUP($E616,'BASE DE DATOS'!$A:$I,3,0),0)</f>
        <v>0</v>
      </c>
      <c r="K616" s="46">
        <f>IFERROR(VLOOKUP($E875,'BASE DE DATOS'!$A:$I,3,0),0)</f>
        <v>0</v>
      </c>
      <c r="L616" s="46">
        <f>IFERROR(VLOOKUP($E616,'BASE DE DATOS'!$A:$I,3,0),0)</f>
        <v>0</v>
      </c>
    </row>
    <row r="617" spans="4:12" x14ac:dyDescent="0.25">
      <c r="D617" s="46" t="str">
        <f>IFERROR(VLOOKUP($E617,'BASE DE DATOS'!$A:$I,2,0)," ")</f>
        <v xml:space="preserve"> </v>
      </c>
      <c r="F617" s="46">
        <f>IFERROR(VLOOKUP($E630,'BASE DE DATOS'!$A:$I,3,0),0)</f>
        <v>0</v>
      </c>
      <c r="G617" s="46">
        <f>IFERROR(VLOOKUP($E617,'BASE DE DATOS'!$A:$I,3,0),0)</f>
        <v>0</v>
      </c>
      <c r="H617" s="46">
        <f>IFERROR(VLOOKUP($E617,'BASE DE DATOS'!$A:$I,3,0),0)</f>
        <v>0</v>
      </c>
      <c r="I617" s="46">
        <f>IFERROR(VLOOKUP($E617,'BASE DE DATOS'!$A:$I,3,0),0)</f>
        <v>0</v>
      </c>
      <c r="J617" s="46">
        <f>IFERROR(VLOOKUP($E617,'BASE DE DATOS'!$A:$I,3,0),0)</f>
        <v>0</v>
      </c>
      <c r="K617" s="46">
        <f>IFERROR(VLOOKUP($E876,'BASE DE DATOS'!$A:$I,3,0),0)</f>
        <v>0</v>
      </c>
      <c r="L617" s="46">
        <f>IFERROR(VLOOKUP($E617,'BASE DE DATOS'!$A:$I,3,0),0)</f>
        <v>0</v>
      </c>
    </row>
    <row r="618" spans="4:12" x14ac:dyDescent="0.25">
      <c r="D618" s="46" t="str">
        <f>IFERROR(VLOOKUP($E618,'BASE DE DATOS'!$A:$I,2,0)," ")</f>
        <v xml:space="preserve"> </v>
      </c>
      <c r="F618" s="46">
        <f>IFERROR(VLOOKUP($E631,'BASE DE DATOS'!$A:$I,3,0),0)</f>
        <v>0</v>
      </c>
      <c r="G618" s="46">
        <f>IFERROR(VLOOKUP($E618,'BASE DE DATOS'!$A:$I,3,0),0)</f>
        <v>0</v>
      </c>
      <c r="H618" s="46">
        <f>IFERROR(VLOOKUP($E618,'BASE DE DATOS'!$A:$I,3,0),0)</f>
        <v>0</v>
      </c>
      <c r="I618" s="46">
        <f>IFERROR(VLOOKUP($E618,'BASE DE DATOS'!$A:$I,3,0),0)</f>
        <v>0</v>
      </c>
      <c r="J618" s="46">
        <f>IFERROR(VLOOKUP($E618,'BASE DE DATOS'!$A:$I,3,0),0)</f>
        <v>0</v>
      </c>
      <c r="K618" s="46">
        <f>IFERROR(VLOOKUP($E877,'BASE DE DATOS'!$A:$I,3,0),0)</f>
        <v>0</v>
      </c>
      <c r="L618" s="46">
        <f>IFERROR(VLOOKUP($E618,'BASE DE DATOS'!$A:$I,3,0),0)</f>
        <v>0</v>
      </c>
    </row>
    <row r="619" spans="4:12" x14ac:dyDescent="0.25">
      <c r="D619" s="46" t="str">
        <f>IFERROR(VLOOKUP($E619,'BASE DE DATOS'!$A:$I,2,0)," ")</f>
        <v xml:space="preserve"> </v>
      </c>
      <c r="F619" s="46">
        <f>IFERROR(VLOOKUP($E632,'BASE DE DATOS'!$A:$I,3,0),0)</f>
        <v>0</v>
      </c>
      <c r="G619" s="46">
        <f>IFERROR(VLOOKUP($E619,'BASE DE DATOS'!$A:$I,3,0),0)</f>
        <v>0</v>
      </c>
      <c r="H619" s="46">
        <f>IFERROR(VLOOKUP($E619,'BASE DE DATOS'!$A:$I,3,0),0)</f>
        <v>0</v>
      </c>
      <c r="I619" s="46">
        <f>IFERROR(VLOOKUP($E619,'BASE DE DATOS'!$A:$I,3,0),0)</f>
        <v>0</v>
      </c>
      <c r="J619" s="46">
        <f>IFERROR(VLOOKUP($E619,'BASE DE DATOS'!$A:$I,3,0),0)</f>
        <v>0</v>
      </c>
      <c r="K619" s="46">
        <f>IFERROR(VLOOKUP($E878,'BASE DE DATOS'!$A:$I,3,0),0)</f>
        <v>0</v>
      </c>
      <c r="L619" s="46">
        <f>IFERROR(VLOOKUP($E619,'BASE DE DATOS'!$A:$I,3,0),0)</f>
        <v>0</v>
      </c>
    </row>
    <row r="620" spans="4:12" x14ac:dyDescent="0.25">
      <c r="D620" s="46" t="str">
        <f>IFERROR(VLOOKUP($E620,'BASE DE DATOS'!$A:$I,2,0)," ")</f>
        <v xml:space="preserve"> </v>
      </c>
      <c r="F620" s="46">
        <f>IFERROR(VLOOKUP($E633,'BASE DE DATOS'!$A:$I,3,0),0)</f>
        <v>0</v>
      </c>
      <c r="G620" s="46">
        <f>IFERROR(VLOOKUP($E620,'BASE DE DATOS'!$A:$I,3,0),0)</f>
        <v>0</v>
      </c>
      <c r="H620" s="46">
        <f>IFERROR(VLOOKUP($E620,'BASE DE DATOS'!$A:$I,3,0),0)</f>
        <v>0</v>
      </c>
      <c r="I620" s="46">
        <f>IFERROR(VLOOKUP($E620,'BASE DE DATOS'!$A:$I,3,0),0)</f>
        <v>0</v>
      </c>
      <c r="J620" s="46">
        <f>IFERROR(VLOOKUP($E620,'BASE DE DATOS'!$A:$I,3,0),0)</f>
        <v>0</v>
      </c>
      <c r="K620" s="46">
        <f>IFERROR(VLOOKUP($E879,'BASE DE DATOS'!$A:$I,3,0),0)</f>
        <v>0</v>
      </c>
      <c r="L620" s="46">
        <f>IFERROR(VLOOKUP($E620,'BASE DE DATOS'!$A:$I,3,0),0)</f>
        <v>0</v>
      </c>
    </row>
    <row r="621" spans="4:12" x14ac:dyDescent="0.25">
      <c r="D621" s="46" t="str">
        <f>IFERROR(VLOOKUP($E621,'BASE DE DATOS'!$A:$I,2,0)," ")</f>
        <v xml:space="preserve"> </v>
      </c>
      <c r="F621" s="46">
        <f>IFERROR(VLOOKUP($E634,'BASE DE DATOS'!$A:$I,3,0),0)</f>
        <v>0</v>
      </c>
      <c r="G621" s="46">
        <f>IFERROR(VLOOKUP($E621,'BASE DE DATOS'!$A:$I,3,0),0)</f>
        <v>0</v>
      </c>
      <c r="H621" s="46">
        <f>IFERROR(VLOOKUP($E621,'BASE DE DATOS'!$A:$I,3,0),0)</f>
        <v>0</v>
      </c>
      <c r="I621" s="46">
        <f>IFERROR(VLOOKUP($E621,'BASE DE DATOS'!$A:$I,3,0),0)</f>
        <v>0</v>
      </c>
      <c r="J621" s="46">
        <f>IFERROR(VLOOKUP($E621,'BASE DE DATOS'!$A:$I,3,0),0)</f>
        <v>0</v>
      </c>
      <c r="K621" s="46">
        <f>IFERROR(VLOOKUP($E880,'BASE DE DATOS'!$A:$I,3,0),0)</f>
        <v>0</v>
      </c>
      <c r="L621" s="46">
        <f>IFERROR(VLOOKUP($E621,'BASE DE DATOS'!$A:$I,3,0),0)</f>
        <v>0</v>
      </c>
    </row>
    <row r="622" spans="4:12" x14ac:dyDescent="0.25">
      <c r="D622" s="46" t="str">
        <f>IFERROR(VLOOKUP($E622,'BASE DE DATOS'!$A:$I,2,0)," ")</f>
        <v xml:space="preserve"> </v>
      </c>
      <c r="F622" s="46">
        <f>IFERROR(VLOOKUP($E635,'BASE DE DATOS'!$A:$I,3,0),0)</f>
        <v>0</v>
      </c>
      <c r="G622" s="46">
        <f>IFERROR(VLOOKUP($E622,'BASE DE DATOS'!$A:$I,3,0),0)</f>
        <v>0</v>
      </c>
      <c r="H622" s="46">
        <f>IFERROR(VLOOKUP($E622,'BASE DE DATOS'!$A:$I,3,0),0)</f>
        <v>0</v>
      </c>
      <c r="I622" s="46">
        <f>IFERROR(VLOOKUP($E622,'BASE DE DATOS'!$A:$I,3,0),0)</f>
        <v>0</v>
      </c>
      <c r="J622" s="46">
        <f>IFERROR(VLOOKUP($E622,'BASE DE DATOS'!$A:$I,3,0),0)</f>
        <v>0</v>
      </c>
      <c r="K622" s="46">
        <f>IFERROR(VLOOKUP($E881,'BASE DE DATOS'!$A:$I,3,0),0)</f>
        <v>0</v>
      </c>
      <c r="L622" s="46">
        <f>IFERROR(VLOOKUP($E622,'BASE DE DATOS'!$A:$I,3,0),0)</f>
        <v>0</v>
      </c>
    </row>
    <row r="623" spans="4:12" x14ac:dyDescent="0.25">
      <c r="D623" s="46" t="str">
        <f>IFERROR(VLOOKUP($E623,'BASE DE DATOS'!$A:$I,2,0)," ")</f>
        <v xml:space="preserve"> </v>
      </c>
      <c r="F623" s="46">
        <f>IFERROR(VLOOKUP($E636,'BASE DE DATOS'!$A:$I,3,0),0)</f>
        <v>0</v>
      </c>
      <c r="G623" s="46">
        <f>IFERROR(VLOOKUP($E623,'BASE DE DATOS'!$A:$I,3,0),0)</f>
        <v>0</v>
      </c>
      <c r="H623" s="46">
        <f>IFERROR(VLOOKUP($E623,'BASE DE DATOS'!$A:$I,3,0),0)</f>
        <v>0</v>
      </c>
      <c r="I623" s="46">
        <f>IFERROR(VLOOKUP($E623,'BASE DE DATOS'!$A:$I,3,0),0)</f>
        <v>0</v>
      </c>
      <c r="J623" s="46">
        <f>IFERROR(VLOOKUP($E623,'BASE DE DATOS'!$A:$I,3,0),0)</f>
        <v>0</v>
      </c>
      <c r="K623" s="46">
        <f>IFERROR(VLOOKUP($E882,'BASE DE DATOS'!$A:$I,3,0),0)</f>
        <v>0</v>
      </c>
      <c r="L623" s="46">
        <f>IFERROR(VLOOKUP($E623,'BASE DE DATOS'!$A:$I,3,0),0)</f>
        <v>0</v>
      </c>
    </row>
    <row r="624" spans="4:12" x14ac:dyDescent="0.25">
      <c r="D624" s="46" t="str">
        <f>IFERROR(VLOOKUP($E624,'BASE DE DATOS'!$A:$I,2,0)," ")</f>
        <v xml:space="preserve"> </v>
      </c>
      <c r="F624" s="46">
        <f>IFERROR(VLOOKUP($E637,'BASE DE DATOS'!$A:$I,3,0),0)</f>
        <v>0</v>
      </c>
      <c r="G624" s="46">
        <f>IFERROR(VLOOKUP($E624,'BASE DE DATOS'!$A:$I,3,0),0)</f>
        <v>0</v>
      </c>
      <c r="H624" s="46">
        <f>IFERROR(VLOOKUP($E624,'BASE DE DATOS'!$A:$I,3,0),0)</f>
        <v>0</v>
      </c>
      <c r="I624" s="46">
        <f>IFERROR(VLOOKUP($E624,'BASE DE DATOS'!$A:$I,3,0),0)</f>
        <v>0</v>
      </c>
      <c r="J624" s="46">
        <f>IFERROR(VLOOKUP($E624,'BASE DE DATOS'!$A:$I,3,0),0)</f>
        <v>0</v>
      </c>
      <c r="K624" s="46">
        <f>IFERROR(VLOOKUP($E883,'BASE DE DATOS'!$A:$I,3,0),0)</f>
        <v>0</v>
      </c>
      <c r="L624" s="46">
        <f>IFERROR(VLOOKUP($E624,'BASE DE DATOS'!$A:$I,3,0),0)</f>
        <v>0</v>
      </c>
    </row>
    <row r="625" spans="4:12" x14ac:dyDescent="0.25">
      <c r="D625" s="46" t="str">
        <f>IFERROR(VLOOKUP($E625,'BASE DE DATOS'!$A:$I,2,0)," ")</f>
        <v xml:space="preserve"> </v>
      </c>
      <c r="F625" s="46">
        <f>IFERROR(VLOOKUP($E638,'BASE DE DATOS'!$A:$I,3,0),0)</f>
        <v>0</v>
      </c>
      <c r="G625" s="46">
        <f>IFERROR(VLOOKUP($E625,'BASE DE DATOS'!$A:$I,3,0),0)</f>
        <v>0</v>
      </c>
      <c r="H625" s="46">
        <f>IFERROR(VLOOKUP($E625,'BASE DE DATOS'!$A:$I,3,0),0)</f>
        <v>0</v>
      </c>
      <c r="I625" s="46">
        <f>IFERROR(VLOOKUP($E625,'BASE DE DATOS'!$A:$I,3,0),0)</f>
        <v>0</v>
      </c>
      <c r="J625" s="46">
        <f>IFERROR(VLOOKUP($E625,'BASE DE DATOS'!$A:$I,3,0),0)</f>
        <v>0</v>
      </c>
      <c r="K625" s="46">
        <f>IFERROR(VLOOKUP($E884,'BASE DE DATOS'!$A:$I,3,0),0)</f>
        <v>0</v>
      </c>
      <c r="L625" s="46">
        <f>IFERROR(VLOOKUP($E625,'BASE DE DATOS'!$A:$I,3,0),0)</f>
        <v>0</v>
      </c>
    </row>
    <row r="626" spans="4:12" x14ac:dyDescent="0.25">
      <c r="D626" s="46" t="str">
        <f>IFERROR(VLOOKUP($E626,'BASE DE DATOS'!$A:$I,2,0)," ")</f>
        <v xml:space="preserve"> </v>
      </c>
      <c r="F626" s="46">
        <f>IFERROR(VLOOKUP($E639,'BASE DE DATOS'!$A:$I,3,0),0)</f>
        <v>0</v>
      </c>
      <c r="G626" s="46">
        <f>IFERROR(VLOOKUP($E626,'BASE DE DATOS'!$A:$I,3,0),0)</f>
        <v>0</v>
      </c>
      <c r="H626" s="46">
        <f>IFERROR(VLOOKUP($E626,'BASE DE DATOS'!$A:$I,3,0),0)</f>
        <v>0</v>
      </c>
      <c r="I626" s="46">
        <f>IFERROR(VLOOKUP($E626,'BASE DE DATOS'!$A:$I,3,0),0)</f>
        <v>0</v>
      </c>
      <c r="J626" s="46">
        <f>IFERROR(VLOOKUP($E626,'BASE DE DATOS'!$A:$I,3,0),0)</f>
        <v>0</v>
      </c>
      <c r="K626" s="46">
        <f>IFERROR(VLOOKUP($E885,'BASE DE DATOS'!$A:$I,3,0),0)</f>
        <v>0</v>
      </c>
      <c r="L626" s="46">
        <f>IFERROR(VLOOKUP($E626,'BASE DE DATOS'!$A:$I,3,0),0)</f>
        <v>0</v>
      </c>
    </row>
    <row r="627" spans="4:12" x14ac:dyDescent="0.25">
      <c r="D627" s="46" t="str">
        <f>IFERROR(VLOOKUP($E627,'BASE DE DATOS'!$A:$I,2,0)," ")</f>
        <v xml:space="preserve"> </v>
      </c>
      <c r="F627" s="46">
        <f>IFERROR(VLOOKUP($E640,'BASE DE DATOS'!$A:$I,3,0),0)</f>
        <v>0</v>
      </c>
      <c r="G627" s="46">
        <f>IFERROR(VLOOKUP($E627,'BASE DE DATOS'!$A:$I,3,0),0)</f>
        <v>0</v>
      </c>
      <c r="H627" s="46">
        <f>IFERROR(VLOOKUP($E627,'BASE DE DATOS'!$A:$I,3,0),0)</f>
        <v>0</v>
      </c>
      <c r="I627" s="46">
        <f>IFERROR(VLOOKUP($E627,'BASE DE DATOS'!$A:$I,3,0),0)</f>
        <v>0</v>
      </c>
      <c r="J627" s="46">
        <f>IFERROR(VLOOKUP($E627,'BASE DE DATOS'!$A:$I,3,0),0)</f>
        <v>0</v>
      </c>
      <c r="K627" s="46">
        <f>IFERROR(VLOOKUP($E886,'BASE DE DATOS'!$A:$I,3,0),0)</f>
        <v>0</v>
      </c>
      <c r="L627" s="46">
        <f>IFERROR(VLOOKUP($E627,'BASE DE DATOS'!$A:$I,3,0),0)</f>
        <v>0</v>
      </c>
    </row>
    <row r="628" spans="4:12" x14ac:dyDescent="0.25">
      <c r="D628" s="46" t="str">
        <f>IFERROR(VLOOKUP($E628,'BASE DE DATOS'!$A:$I,2,0)," ")</f>
        <v xml:space="preserve"> </v>
      </c>
      <c r="F628" s="46">
        <f>IFERROR(VLOOKUP($E641,'BASE DE DATOS'!$A:$I,3,0),0)</f>
        <v>0</v>
      </c>
      <c r="G628" s="46">
        <f>IFERROR(VLOOKUP($E628,'BASE DE DATOS'!$A:$I,3,0),0)</f>
        <v>0</v>
      </c>
      <c r="H628" s="46">
        <f>IFERROR(VLOOKUP($E628,'BASE DE DATOS'!$A:$I,3,0),0)</f>
        <v>0</v>
      </c>
      <c r="I628" s="46">
        <f>IFERROR(VLOOKUP($E628,'BASE DE DATOS'!$A:$I,3,0),0)</f>
        <v>0</v>
      </c>
      <c r="J628" s="46">
        <f>IFERROR(VLOOKUP($E628,'BASE DE DATOS'!$A:$I,3,0),0)</f>
        <v>0</v>
      </c>
      <c r="K628" s="46">
        <f>IFERROR(VLOOKUP($E887,'BASE DE DATOS'!$A:$I,3,0),0)</f>
        <v>0</v>
      </c>
      <c r="L628" s="46">
        <f>IFERROR(VLOOKUP($E628,'BASE DE DATOS'!$A:$I,3,0),0)</f>
        <v>0</v>
      </c>
    </row>
    <row r="629" spans="4:12" x14ac:dyDescent="0.25">
      <c r="D629" s="46" t="str">
        <f>IFERROR(VLOOKUP($E629,'BASE DE DATOS'!$A:$I,2,0)," ")</f>
        <v xml:space="preserve"> </v>
      </c>
      <c r="F629" s="46">
        <f>IFERROR(VLOOKUP($E642,'BASE DE DATOS'!$A:$I,3,0),0)</f>
        <v>0</v>
      </c>
      <c r="G629" s="46">
        <f>IFERROR(VLOOKUP($E629,'BASE DE DATOS'!$A:$I,3,0),0)</f>
        <v>0</v>
      </c>
      <c r="H629" s="46">
        <f>IFERROR(VLOOKUP($E629,'BASE DE DATOS'!$A:$I,3,0),0)</f>
        <v>0</v>
      </c>
      <c r="I629" s="46">
        <f>IFERROR(VLOOKUP($E629,'BASE DE DATOS'!$A:$I,3,0),0)</f>
        <v>0</v>
      </c>
      <c r="J629" s="46">
        <f>IFERROR(VLOOKUP($E629,'BASE DE DATOS'!$A:$I,3,0),0)</f>
        <v>0</v>
      </c>
      <c r="K629" s="46">
        <f>IFERROR(VLOOKUP($E888,'BASE DE DATOS'!$A:$I,3,0),0)</f>
        <v>0</v>
      </c>
      <c r="L629" s="46">
        <f>IFERROR(VLOOKUP($E629,'BASE DE DATOS'!$A:$I,3,0),0)</f>
        <v>0</v>
      </c>
    </row>
    <row r="630" spans="4:12" x14ac:dyDescent="0.25">
      <c r="D630" s="46" t="str">
        <f>IFERROR(VLOOKUP($E630,'BASE DE DATOS'!$A:$I,2,0)," ")</f>
        <v xml:space="preserve"> </v>
      </c>
      <c r="F630" s="46">
        <f>IFERROR(VLOOKUP($E643,'BASE DE DATOS'!$A:$I,3,0),0)</f>
        <v>0</v>
      </c>
      <c r="G630" s="46">
        <f>IFERROR(VLOOKUP($E630,'BASE DE DATOS'!$A:$I,3,0),0)</f>
        <v>0</v>
      </c>
      <c r="H630" s="46">
        <f>IFERROR(VLOOKUP($E630,'BASE DE DATOS'!$A:$I,3,0),0)</f>
        <v>0</v>
      </c>
      <c r="I630" s="46">
        <f>IFERROR(VLOOKUP($E630,'BASE DE DATOS'!$A:$I,3,0),0)</f>
        <v>0</v>
      </c>
      <c r="J630" s="46">
        <f>IFERROR(VLOOKUP($E630,'BASE DE DATOS'!$A:$I,3,0),0)</f>
        <v>0</v>
      </c>
      <c r="K630" s="46">
        <f>IFERROR(VLOOKUP($E889,'BASE DE DATOS'!$A:$I,3,0),0)</f>
        <v>0</v>
      </c>
      <c r="L630" s="46">
        <f>IFERROR(VLOOKUP($E630,'BASE DE DATOS'!$A:$I,3,0),0)</f>
        <v>0</v>
      </c>
    </row>
    <row r="631" spans="4:12" x14ac:dyDescent="0.25">
      <c r="D631" s="46" t="str">
        <f>IFERROR(VLOOKUP($E631,'BASE DE DATOS'!$A:$I,2,0)," ")</f>
        <v xml:space="preserve"> </v>
      </c>
      <c r="F631" s="46">
        <f>IFERROR(VLOOKUP($E644,'BASE DE DATOS'!$A:$I,3,0),0)</f>
        <v>0</v>
      </c>
      <c r="G631" s="46">
        <f>IFERROR(VLOOKUP($E631,'BASE DE DATOS'!$A:$I,3,0),0)</f>
        <v>0</v>
      </c>
      <c r="H631" s="46">
        <f>IFERROR(VLOOKUP($E631,'BASE DE DATOS'!$A:$I,3,0),0)</f>
        <v>0</v>
      </c>
      <c r="I631" s="46">
        <f>IFERROR(VLOOKUP($E631,'BASE DE DATOS'!$A:$I,3,0),0)</f>
        <v>0</v>
      </c>
      <c r="J631" s="46">
        <f>IFERROR(VLOOKUP($E631,'BASE DE DATOS'!$A:$I,3,0),0)</f>
        <v>0</v>
      </c>
      <c r="K631" s="46">
        <f>IFERROR(VLOOKUP($E890,'BASE DE DATOS'!$A:$I,3,0),0)</f>
        <v>0</v>
      </c>
      <c r="L631" s="46">
        <f>IFERROR(VLOOKUP($E631,'BASE DE DATOS'!$A:$I,3,0),0)</f>
        <v>0</v>
      </c>
    </row>
    <row r="632" spans="4:12" x14ac:dyDescent="0.25">
      <c r="D632" s="46" t="str">
        <f>IFERROR(VLOOKUP($E632,'BASE DE DATOS'!$A:$I,2,0)," ")</f>
        <v xml:space="preserve"> </v>
      </c>
      <c r="F632" s="46">
        <f>IFERROR(VLOOKUP($E645,'BASE DE DATOS'!$A:$I,3,0),0)</f>
        <v>0</v>
      </c>
      <c r="G632" s="46">
        <f>IFERROR(VLOOKUP($E632,'BASE DE DATOS'!$A:$I,3,0),0)</f>
        <v>0</v>
      </c>
      <c r="H632" s="46">
        <f>IFERROR(VLOOKUP($E632,'BASE DE DATOS'!$A:$I,3,0),0)</f>
        <v>0</v>
      </c>
      <c r="I632" s="46">
        <f>IFERROR(VLOOKUP($E632,'BASE DE DATOS'!$A:$I,3,0),0)</f>
        <v>0</v>
      </c>
      <c r="J632" s="46">
        <f>IFERROR(VLOOKUP($E632,'BASE DE DATOS'!$A:$I,3,0),0)</f>
        <v>0</v>
      </c>
      <c r="K632" s="46">
        <f>IFERROR(VLOOKUP($E891,'BASE DE DATOS'!$A:$I,3,0),0)</f>
        <v>0</v>
      </c>
      <c r="L632" s="46">
        <f>IFERROR(VLOOKUP($E632,'BASE DE DATOS'!$A:$I,3,0),0)</f>
        <v>0</v>
      </c>
    </row>
    <row r="633" spans="4:12" x14ac:dyDescent="0.25">
      <c r="D633" s="46" t="str">
        <f>IFERROR(VLOOKUP($E633,'BASE DE DATOS'!$A:$I,2,0)," ")</f>
        <v xml:space="preserve"> </v>
      </c>
      <c r="F633" s="46">
        <f>IFERROR(VLOOKUP($E646,'BASE DE DATOS'!$A:$I,3,0),0)</f>
        <v>0</v>
      </c>
      <c r="G633" s="46">
        <f>IFERROR(VLOOKUP($E633,'BASE DE DATOS'!$A:$I,3,0),0)</f>
        <v>0</v>
      </c>
      <c r="H633" s="46">
        <f>IFERROR(VLOOKUP($E633,'BASE DE DATOS'!$A:$I,3,0),0)</f>
        <v>0</v>
      </c>
      <c r="I633" s="46">
        <f>IFERROR(VLOOKUP($E633,'BASE DE DATOS'!$A:$I,3,0),0)</f>
        <v>0</v>
      </c>
      <c r="J633" s="46">
        <f>IFERROR(VLOOKUP($E633,'BASE DE DATOS'!$A:$I,3,0),0)</f>
        <v>0</v>
      </c>
      <c r="K633" s="46">
        <f>IFERROR(VLOOKUP($E892,'BASE DE DATOS'!$A:$I,3,0),0)</f>
        <v>0</v>
      </c>
      <c r="L633" s="46">
        <f>IFERROR(VLOOKUP($E633,'BASE DE DATOS'!$A:$I,3,0),0)</f>
        <v>0</v>
      </c>
    </row>
    <row r="634" spans="4:12" x14ac:dyDescent="0.25">
      <c r="D634" s="46" t="str">
        <f>IFERROR(VLOOKUP($E634,'BASE DE DATOS'!$A:$I,2,0)," ")</f>
        <v xml:space="preserve"> </v>
      </c>
      <c r="F634" s="46">
        <f>IFERROR(VLOOKUP($E647,'BASE DE DATOS'!$A:$I,3,0),0)</f>
        <v>0</v>
      </c>
      <c r="G634" s="46">
        <f>IFERROR(VLOOKUP($E634,'BASE DE DATOS'!$A:$I,3,0),0)</f>
        <v>0</v>
      </c>
      <c r="H634" s="46">
        <f>IFERROR(VLOOKUP($E634,'BASE DE DATOS'!$A:$I,3,0),0)</f>
        <v>0</v>
      </c>
      <c r="I634" s="46">
        <f>IFERROR(VLOOKUP($E634,'BASE DE DATOS'!$A:$I,3,0),0)</f>
        <v>0</v>
      </c>
      <c r="J634" s="46">
        <f>IFERROR(VLOOKUP($E634,'BASE DE DATOS'!$A:$I,3,0),0)</f>
        <v>0</v>
      </c>
      <c r="K634" s="46">
        <f>IFERROR(VLOOKUP($E893,'BASE DE DATOS'!$A:$I,3,0),0)</f>
        <v>0</v>
      </c>
      <c r="L634" s="46">
        <f>IFERROR(VLOOKUP($E634,'BASE DE DATOS'!$A:$I,3,0),0)</f>
        <v>0</v>
      </c>
    </row>
    <row r="635" spans="4:12" x14ac:dyDescent="0.25">
      <c r="D635" s="46" t="str">
        <f>IFERROR(VLOOKUP($E635,'BASE DE DATOS'!$A:$I,2,0)," ")</f>
        <v xml:space="preserve"> </v>
      </c>
      <c r="F635" s="46">
        <f>IFERROR(VLOOKUP($E648,'BASE DE DATOS'!$A:$I,3,0),0)</f>
        <v>0</v>
      </c>
      <c r="G635" s="46">
        <f>IFERROR(VLOOKUP($E635,'BASE DE DATOS'!$A:$I,3,0),0)</f>
        <v>0</v>
      </c>
      <c r="H635" s="46">
        <f>IFERROR(VLOOKUP($E635,'BASE DE DATOS'!$A:$I,3,0),0)</f>
        <v>0</v>
      </c>
      <c r="I635" s="46">
        <f>IFERROR(VLOOKUP($E635,'BASE DE DATOS'!$A:$I,3,0),0)</f>
        <v>0</v>
      </c>
      <c r="J635" s="46">
        <f>IFERROR(VLOOKUP($E635,'BASE DE DATOS'!$A:$I,3,0),0)</f>
        <v>0</v>
      </c>
      <c r="K635" s="46">
        <f>IFERROR(VLOOKUP($E894,'BASE DE DATOS'!$A:$I,3,0),0)</f>
        <v>0</v>
      </c>
      <c r="L635" s="46">
        <f>IFERROR(VLOOKUP($E635,'BASE DE DATOS'!$A:$I,3,0),0)</f>
        <v>0</v>
      </c>
    </row>
    <row r="636" spans="4:12" x14ac:dyDescent="0.25">
      <c r="D636" s="46" t="str">
        <f>IFERROR(VLOOKUP($E636,'BASE DE DATOS'!$A:$I,2,0)," ")</f>
        <v xml:space="preserve"> </v>
      </c>
      <c r="F636" s="46">
        <f>IFERROR(VLOOKUP($E649,'BASE DE DATOS'!$A:$I,3,0),0)</f>
        <v>0</v>
      </c>
      <c r="G636" s="46">
        <f>IFERROR(VLOOKUP($E636,'BASE DE DATOS'!$A:$I,3,0),0)</f>
        <v>0</v>
      </c>
      <c r="H636" s="46">
        <f>IFERROR(VLOOKUP($E636,'BASE DE DATOS'!$A:$I,3,0),0)</f>
        <v>0</v>
      </c>
      <c r="I636" s="46">
        <f>IFERROR(VLOOKUP($E636,'BASE DE DATOS'!$A:$I,3,0),0)</f>
        <v>0</v>
      </c>
      <c r="J636" s="46">
        <f>IFERROR(VLOOKUP($E636,'BASE DE DATOS'!$A:$I,3,0),0)</f>
        <v>0</v>
      </c>
      <c r="K636" s="46">
        <f>IFERROR(VLOOKUP($E895,'BASE DE DATOS'!$A:$I,3,0),0)</f>
        <v>0</v>
      </c>
      <c r="L636" s="46">
        <f>IFERROR(VLOOKUP($E636,'BASE DE DATOS'!$A:$I,3,0),0)</f>
        <v>0</v>
      </c>
    </row>
    <row r="637" spans="4:12" x14ac:dyDescent="0.25">
      <c r="D637" s="46" t="str">
        <f>IFERROR(VLOOKUP($E637,'BASE DE DATOS'!$A:$I,2,0)," ")</f>
        <v xml:space="preserve"> </v>
      </c>
      <c r="F637" s="46">
        <f>IFERROR(VLOOKUP($E650,'BASE DE DATOS'!$A:$I,3,0),0)</f>
        <v>0</v>
      </c>
      <c r="G637" s="46">
        <f>IFERROR(VLOOKUP($E637,'BASE DE DATOS'!$A:$I,3,0),0)</f>
        <v>0</v>
      </c>
      <c r="H637" s="46">
        <f>IFERROR(VLOOKUP($E637,'BASE DE DATOS'!$A:$I,3,0),0)</f>
        <v>0</v>
      </c>
      <c r="I637" s="46">
        <f>IFERROR(VLOOKUP($E637,'BASE DE DATOS'!$A:$I,3,0),0)</f>
        <v>0</v>
      </c>
      <c r="J637" s="46">
        <f>IFERROR(VLOOKUP($E637,'BASE DE DATOS'!$A:$I,3,0),0)</f>
        <v>0</v>
      </c>
      <c r="K637" s="46">
        <f>IFERROR(VLOOKUP($E896,'BASE DE DATOS'!$A:$I,3,0),0)</f>
        <v>0</v>
      </c>
      <c r="L637" s="46">
        <f>IFERROR(VLOOKUP($E637,'BASE DE DATOS'!$A:$I,3,0),0)</f>
        <v>0</v>
      </c>
    </row>
    <row r="638" spans="4:12" x14ac:dyDescent="0.25">
      <c r="D638" s="46" t="str">
        <f>IFERROR(VLOOKUP($E638,'BASE DE DATOS'!$A:$I,2,0)," ")</f>
        <v xml:space="preserve"> </v>
      </c>
      <c r="F638" s="46">
        <f>IFERROR(VLOOKUP($E651,'BASE DE DATOS'!$A:$I,3,0),0)</f>
        <v>0</v>
      </c>
      <c r="G638" s="46">
        <f>IFERROR(VLOOKUP($E638,'BASE DE DATOS'!$A:$I,3,0),0)</f>
        <v>0</v>
      </c>
      <c r="H638" s="46">
        <f>IFERROR(VLOOKUP($E638,'BASE DE DATOS'!$A:$I,3,0),0)</f>
        <v>0</v>
      </c>
      <c r="I638" s="46">
        <f>IFERROR(VLOOKUP($E638,'BASE DE DATOS'!$A:$I,3,0),0)</f>
        <v>0</v>
      </c>
      <c r="J638" s="46">
        <f>IFERROR(VLOOKUP($E638,'BASE DE DATOS'!$A:$I,3,0),0)</f>
        <v>0</v>
      </c>
      <c r="K638" s="46">
        <f>IFERROR(VLOOKUP($E897,'BASE DE DATOS'!$A:$I,3,0),0)</f>
        <v>0</v>
      </c>
      <c r="L638" s="46">
        <f>IFERROR(VLOOKUP($E638,'BASE DE DATOS'!$A:$I,3,0),0)</f>
        <v>0</v>
      </c>
    </row>
    <row r="639" spans="4:12" x14ac:dyDescent="0.25">
      <c r="D639" s="46" t="str">
        <f>IFERROR(VLOOKUP($E639,'BASE DE DATOS'!$A:$I,2,0)," ")</f>
        <v xml:space="preserve"> </v>
      </c>
      <c r="F639" s="46">
        <f>IFERROR(VLOOKUP($E652,'BASE DE DATOS'!$A:$I,3,0),0)</f>
        <v>0</v>
      </c>
      <c r="G639" s="46">
        <f>IFERROR(VLOOKUP($E639,'BASE DE DATOS'!$A:$I,3,0),0)</f>
        <v>0</v>
      </c>
      <c r="H639" s="46">
        <f>IFERROR(VLOOKUP($E639,'BASE DE DATOS'!$A:$I,3,0),0)</f>
        <v>0</v>
      </c>
      <c r="I639" s="46">
        <f>IFERROR(VLOOKUP($E639,'BASE DE DATOS'!$A:$I,3,0),0)</f>
        <v>0</v>
      </c>
      <c r="J639" s="46">
        <f>IFERROR(VLOOKUP($E639,'BASE DE DATOS'!$A:$I,3,0),0)</f>
        <v>0</v>
      </c>
      <c r="K639" s="46">
        <f>IFERROR(VLOOKUP($E898,'BASE DE DATOS'!$A:$I,3,0),0)</f>
        <v>0</v>
      </c>
      <c r="L639" s="46">
        <f>IFERROR(VLOOKUP($E639,'BASE DE DATOS'!$A:$I,3,0),0)</f>
        <v>0</v>
      </c>
    </row>
    <row r="640" spans="4:12" x14ac:dyDescent="0.25">
      <c r="D640" s="46" t="str">
        <f>IFERROR(VLOOKUP($E640,'BASE DE DATOS'!$A:$I,2,0)," ")</f>
        <v xml:space="preserve"> </v>
      </c>
      <c r="F640" s="46">
        <f>IFERROR(VLOOKUP($E653,'BASE DE DATOS'!$A:$I,3,0),0)</f>
        <v>0</v>
      </c>
      <c r="G640" s="46">
        <f>IFERROR(VLOOKUP($E640,'BASE DE DATOS'!$A:$I,3,0),0)</f>
        <v>0</v>
      </c>
      <c r="H640" s="46">
        <f>IFERROR(VLOOKUP($E640,'BASE DE DATOS'!$A:$I,3,0),0)</f>
        <v>0</v>
      </c>
      <c r="I640" s="46">
        <f>IFERROR(VLOOKUP($E640,'BASE DE DATOS'!$A:$I,3,0),0)</f>
        <v>0</v>
      </c>
      <c r="J640" s="46">
        <f>IFERROR(VLOOKUP($E640,'BASE DE DATOS'!$A:$I,3,0),0)</f>
        <v>0</v>
      </c>
      <c r="K640" s="46">
        <f>IFERROR(VLOOKUP($E899,'BASE DE DATOS'!$A:$I,3,0),0)</f>
        <v>0</v>
      </c>
      <c r="L640" s="46">
        <f>IFERROR(VLOOKUP($E640,'BASE DE DATOS'!$A:$I,3,0),0)</f>
        <v>0</v>
      </c>
    </row>
    <row r="641" spans="4:12" x14ac:dyDescent="0.25">
      <c r="D641" s="46" t="str">
        <f>IFERROR(VLOOKUP($E641,'BASE DE DATOS'!$A:$I,2,0)," ")</f>
        <v xml:space="preserve"> </v>
      </c>
      <c r="F641" s="46">
        <f>IFERROR(VLOOKUP($E654,'BASE DE DATOS'!$A:$I,3,0),0)</f>
        <v>0</v>
      </c>
      <c r="G641" s="46">
        <f>IFERROR(VLOOKUP($E641,'BASE DE DATOS'!$A:$I,3,0),0)</f>
        <v>0</v>
      </c>
      <c r="H641" s="46">
        <f>IFERROR(VLOOKUP($E641,'BASE DE DATOS'!$A:$I,3,0),0)</f>
        <v>0</v>
      </c>
      <c r="I641" s="46">
        <f>IFERROR(VLOOKUP($E641,'BASE DE DATOS'!$A:$I,3,0),0)</f>
        <v>0</v>
      </c>
      <c r="J641" s="46">
        <f>IFERROR(VLOOKUP($E641,'BASE DE DATOS'!$A:$I,3,0),0)</f>
        <v>0</v>
      </c>
      <c r="K641" s="46">
        <f>IFERROR(VLOOKUP($E900,'BASE DE DATOS'!$A:$I,3,0),0)</f>
        <v>0</v>
      </c>
      <c r="L641" s="46">
        <f>IFERROR(VLOOKUP($E641,'BASE DE DATOS'!$A:$I,3,0),0)</f>
        <v>0</v>
      </c>
    </row>
    <row r="642" spans="4:12" x14ac:dyDescent="0.25">
      <c r="D642" s="46" t="str">
        <f>IFERROR(VLOOKUP($E642,'BASE DE DATOS'!$A:$I,2,0)," ")</f>
        <v xml:space="preserve"> </v>
      </c>
      <c r="F642" s="46">
        <f>IFERROR(VLOOKUP($E655,'BASE DE DATOS'!$A:$I,3,0),0)</f>
        <v>0</v>
      </c>
      <c r="G642" s="46">
        <f>IFERROR(VLOOKUP($E642,'BASE DE DATOS'!$A:$I,3,0),0)</f>
        <v>0</v>
      </c>
      <c r="H642" s="46">
        <f>IFERROR(VLOOKUP($E642,'BASE DE DATOS'!$A:$I,3,0),0)</f>
        <v>0</v>
      </c>
      <c r="I642" s="46">
        <f>IFERROR(VLOOKUP($E642,'BASE DE DATOS'!$A:$I,3,0),0)</f>
        <v>0</v>
      </c>
      <c r="J642" s="46">
        <f>IFERROR(VLOOKUP($E642,'BASE DE DATOS'!$A:$I,3,0),0)</f>
        <v>0</v>
      </c>
      <c r="K642" s="46">
        <f>IFERROR(VLOOKUP($E901,'BASE DE DATOS'!$A:$I,3,0),0)</f>
        <v>0</v>
      </c>
      <c r="L642" s="46">
        <f>IFERROR(VLOOKUP($E642,'BASE DE DATOS'!$A:$I,3,0),0)</f>
        <v>0</v>
      </c>
    </row>
    <row r="643" spans="4:12" x14ac:dyDescent="0.25">
      <c r="D643" s="46" t="str">
        <f>IFERROR(VLOOKUP($E643,'BASE DE DATOS'!$A:$I,2,0)," ")</f>
        <v xml:space="preserve"> </v>
      </c>
      <c r="F643" s="46">
        <f>IFERROR(VLOOKUP($E656,'BASE DE DATOS'!$A:$I,3,0),0)</f>
        <v>0</v>
      </c>
      <c r="G643" s="46">
        <f>IFERROR(VLOOKUP($E643,'BASE DE DATOS'!$A:$I,3,0),0)</f>
        <v>0</v>
      </c>
      <c r="H643" s="46">
        <f>IFERROR(VLOOKUP($E643,'BASE DE DATOS'!$A:$I,3,0),0)</f>
        <v>0</v>
      </c>
      <c r="I643" s="46">
        <f>IFERROR(VLOOKUP($E643,'BASE DE DATOS'!$A:$I,3,0),0)</f>
        <v>0</v>
      </c>
      <c r="J643" s="46">
        <f>IFERROR(VLOOKUP($E643,'BASE DE DATOS'!$A:$I,3,0),0)</f>
        <v>0</v>
      </c>
      <c r="K643" s="46">
        <f>IFERROR(VLOOKUP($E902,'BASE DE DATOS'!$A:$I,3,0),0)</f>
        <v>0</v>
      </c>
      <c r="L643" s="46">
        <f>IFERROR(VLOOKUP($E643,'BASE DE DATOS'!$A:$I,3,0),0)</f>
        <v>0</v>
      </c>
    </row>
    <row r="644" spans="4:12" x14ac:dyDescent="0.25">
      <c r="D644" s="46" t="str">
        <f>IFERROR(VLOOKUP($E644,'BASE DE DATOS'!$A:$I,2,0)," ")</f>
        <v xml:space="preserve"> </v>
      </c>
      <c r="F644" s="46">
        <f>IFERROR(VLOOKUP($E657,'BASE DE DATOS'!$A:$I,3,0),0)</f>
        <v>0</v>
      </c>
      <c r="G644" s="46">
        <f>IFERROR(VLOOKUP($E644,'BASE DE DATOS'!$A:$I,3,0),0)</f>
        <v>0</v>
      </c>
      <c r="H644" s="46">
        <f>IFERROR(VLOOKUP($E644,'BASE DE DATOS'!$A:$I,3,0),0)</f>
        <v>0</v>
      </c>
      <c r="I644" s="46">
        <f>IFERROR(VLOOKUP($E644,'BASE DE DATOS'!$A:$I,3,0),0)</f>
        <v>0</v>
      </c>
      <c r="J644" s="46">
        <f>IFERROR(VLOOKUP($E644,'BASE DE DATOS'!$A:$I,3,0),0)</f>
        <v>0</v>
      </c>
      <c r="K644" s="46">
        <f>IFERROR(VLOOKUP($E903,'BASE DE DATOS'!$A:$I,3,0),0)</f>
        <v>0</v>
      </c>
      <c r="L644" s="46">
        <f>IFERROR(VLOOKUP($E644,'BASE DE DATOS'!$A:$I,3,0),0)</f>
        <v>0</v>
      </c>
    </row>
    <row r="645" spans="4:12" x14ac:dyDescent="0.25">
      <c r="D645" s="46" t="str">
        <f>IFERROR(VLOOKUP($E645,'BASE DE DATOS'!$A:$I,2,0)," ")</f>
        <v xml:space="preserve"> </v>
      </c>
      <c r="F645" s="46">
        <f>IFERROR(VLOOKUP($E658,'BASE DE DATOS'!$A:$I,3,0),0)</f>
        <v>0</v>
      </c>
      <c r="G645" s="46">
        <f>IFERROR(VLOOKUP($E645,'BASE DE DATOS'!$A:$I,3,0),0)</f>
        <v>0</v>
      </c>
      <c r="H645" s="46">
        <f>IFERROR(VLOOKUP($E645,'BASE DE DATOS'!$A:$I,3,0),0)</f>
        <v>0</v>
      </c>
      <c r="I645" s="46">
        <f>IFERROR(VLOOKUP($E645,'BASE DE DATOS'!$A:$I,3,0),0)</f>
        <v>0</v>
      </c>
      <c r="J645" s="46">
        <f>IFERROR(VLOOKUP($E645,'BASE DE DATOS'!$A:$I,3,0),0)</f>
        <v>0</v>
      </c>
      <c r="K645" s="46">
        <f>IFERROR(VLOOKUP($E904,'BASE DE DATOS'!$A:$I,3,0),0)</f>
        <v>0</v>
      </c>
      <c r="L645" s="46">
        <f>IFERROR(VLOOKUP($E645,'BASE DE DATOS'!$A:$I,3,0),0)</f>
        <v>0</v>
      </c>
    </row>
    <row r="646" spans="4:12" x14ac:dyDescent="0.25">
      <c r="D646" s="46" t="str">
        <f>IFERROR(VLOOKUP($E646,'BASE DE DATOS'!$A:$I,2,0)," ")</f>
        <v xml:space="preserve"> </v>
      </c>
      <c r="F646" s="46">
        <f>IFERROR(VLOOKUP($E659,'BASE DE DATOS'!$A:$I,3,0),0)</f>
        <v>0</v>
      </c>
      <c r="G646" s="46">
        <f>IFERROR(VLOOKUP($E646,'BASE DE DATOS'!$A:$I,3,0),0)</f>
        <v>0</v>
      </c>
      <c r="H646" s="46">
        <f>IFERROR(VLOOKUP($E646,'BASE DE DATOS'!$A:$I,3,0),0)</f>
        <v>0</v>
      </c>
      <c r="I646" s="46">
        <f>IFERROR(VLOOKUP($E646,'BASE DE DATOS'!$A:$I,3,0),0)</f>
        <v>0</v>
      </c>
      <c r="J646" s="46">
        <f>IFERROR(VLOOKUP($E646,'BASE DE DATOS'!$A:$I,3,0),0)</f>
        <v>0</v>
      </c>
      <c r="K646" s="46">
        <f>IFERROR(VLOOKUP($E905,'BASE DE DATOS'!$A:$I,3,0),0)</f>
        <v>0</v>
      </c>
      <c r="L646" s="46">
        <f>IFERROR(VLOOKUP($E646,'BASE DE DATOS'!$A:$I,3,0),0)</f>
        <v>0</v>
      </c>
    </row>
    <row r="647" spans="4:12" x14ac:dyDescent="0.25">
      <c r="D647" s="46" t="str">
        <f>IFERROR(VLOOKUP($E647,'BASE DE DATOS'!$A:$I,2,0)," ")</f>
        <v xml:space="preserve"> </v>
      </c>
      <c r="F647" s="46">
        <f>IFERROR(VLOOKUP($E660,'BASE DE DATOS'!$A:$I,3,0),0)</f>
        <v>0</v>
      </c>
      <c r="G647" s="46">
        <f>IFERROR(VLOOKUP($E647,'BASE DE DATOS'!$A:$I,3,0),0)</f>
        <v>0</v>
      </c>
      <c r="H647" s="46">
        <f>IFERROR(VLOOKUP($E647,'BASE DE DATOS'!$A:$I,3,0),0)</f>
        <v>0</v>
      </c>
      <c r="I647" s="46">
        <f>IFERROR(VLOOKUP($E647,'BASE DE DATOS'!$A:$I,3,0),0)</f>
        <v>0</v>
      </c>
      <c r="J647" s="46">
        <f>IFERROR(VLOOKUP($E647,'BASE DE DATOS'!$A:$I,3,0),0)</f>
        <v>0</v>
      </c>
      <c r="K647" s="46">
        <f>IFERROR(VLOOKUP($E906,'BASE DE DATOS'!$A:$I,3,0),0)</f>
        <v>0</v>
      </c>
      <c r="L647" s="46">
        <f>IFERROR(VLOOKUP($E647,'BASE DE DATOS'!$A:$I,3,0),0)</f>
        <v>0</v>
      </c>
    </row>
    <row r="648" spans="4:12" x14ac:dyDescent="0.25">
      <c r="D648" s="46" t="str">
        <f>IFERROR(VLOOKUP($E648,'BASE DE DATOS'!$A:$I,2,0)," ")</f>
        <v xml:space="preserve"> </v>
      </c>
      <c r="F648" s="46">
        <f>IFERROR(VLOOKUP($E661,'BASE DE DATOS'!$A:$I,3,0),0)</f>
        <v>0</v>
      </c>
      <c r="G648" s="46">
        <f>IFERROR(VLOOKUP($E648,'BASE DE DATOS'!$A:$I,3,0),0)</f>
        <v>0</v>
      </c>
      <c r="H648" s="46">
        <f>IFERROR(VLOOKUP($E648,'BASE DE DATOS'!$A:$I,3,0),0)</f>
        <v>0</v>
      </c>
      <c r="I648" s="46">
        <f>IFERROR(VLOOKUP($E648,'BASE DE DATOS'!$A:$I,3,0),0)</f>
        <v>0</v>
      </c>
      <c r="J648" s="46">
        <f>IFERROR(VLOOKUP($E648,'BASE DE DATOS'!$A:$I,3,0),0)</f>
        <v>0</v>
      </c>
      <c r="K648" s="46">
        <f>IFERROR(VLOOKUP($E907,'BASE DE DATOS'!$A:$I,3,0),0)</f>
        <v>0</v>
      </c>
      <c r="L648" s="46">
        <f>IFERROR(VLOOKUP($E648,'BASE DE DATOS'!$A:$I,3,0),0)</f>
        <v>0</v>
      </c>
    </row>
    <row r="649" spans="4:12" x14ac:dyDescent="0.25">
      <c r="D649" s="46" t="str">
        <f>IFERROR(VLOOKUP($E649,'BASE DE DATOS'!$A:$I,2,0)," ")</f>
        <v xml:space="preserve"> </v>
      </c>
      <c r="F649" s="46">
        <f>IFERROR(VLOOKUP($E662,'BASE DE DATOS'!$A:$I,3,0),0)</f>
        <v>0</v>
      </c>
      <c r="G649" s="46">
        <f>IFERROR(VLOOKUP($E649,'BASE DE DATOS'!$A:$I,3,0),0)</f>
        <v>0</v>
      </c>
      <c r="H649" s="46">
        <f>IFERROR(VLOOKUP($E649,'BASE DE DATOS'!$A:$I,3,0),0)</f>
        <v>0</v>
      </c>
      <c r="I649" s="46">
        <f>IFERROR(VLOOKUP($E649,'BASE DE DATOS'!$A:$I,3,0),0)</f>
        <v>0</v>
      </c>
      <c r="J649" s="46">
        <f>IFERROR(VLOOKUP($E649,'BASE DE DATOS'!$A:$I,3,0),0)</f>
        <v>0</v>
      </c>
      <c r="K649" s="46">
        <f>IFERROR(VLOOKUP($E908,'BASE DE DATOS'!$A:$I,3,0),0)</f>
        <v>0</v>
      </c>
      <c r="L649" s="46">
        <f>IFERROR(VLOOKUP($E649,'BASE DE DATOS'!$A:$I,3,0),0)</f>
        <v>0</v>
      </c>
    </row>
    <row r="650" spans="4:12" x14ac:dyDescent="0.25">
      <c r="D650" s="46" t="str">
        <f>IFERROR(VLOOKUP($E650,'BASE DE DATOS'!$A:$I,2,0)," ")</f>
        <v xml:space="preserve"> </v>
      </c>
      <c r="F650" s="46">
        <f>IFERROR(VLOOKUP($E663,'BASE DE DATOS'!$A:$I,3,0),0)</f>
        <v>0</v>
      </c>
      <c r="G650" s="46">
        <f>IFERROR(VLOOKUP($E650,'BASE DE DATOS'!$A:$I,3,0),0)</f>
        <v>0</v>
      </c>
      <c r="H650" s="46">
        <f>IFERROR(VLOOKUP($E650,'BASE DE DATOS'!$A:$I,3,0),0)</f>
        <v>0</v>
      </c>
      <c r="I650" s="46">
        <f>IFERROR(VLOOKUP($E650,'BASE DE DATOS'!$A:$I,3,0),0)</f>
        <v>0</v>
      </c>
      <c r="J650" s="46">
        <f>IFERROR(VLOOKUP($E650,'BASE DE DATOS'!$A:$I,3,0),0)</f>
        <v>0</v>
      </c>
      <c r="K650" s="46">
        <f>IFERROR(VLOOKUP($E909,'BASE DE DATOS'!$A:$I,3,0),0)</f>
        <v>0</v>
      </c>
      <c r="L650" s="46">
        <f>IFERROR(VLOOKUP($E650,'BASE DE DATOS'!$A:$I,3,0),0)</f>
        <v>0</v>
      </c>
    </row>
    <row r="651" spans="4:12" x14ac:dyDescent="0.25">
      <c r="D651" s="46" t="str">
        <f>IFERROR(VLOOKUP($E651,'BASE DE DATOS'!$A:$I,2,0)," ")</f>
        <v xml:space="preserve"> </v>
      </c>
      <c r="F651" s="46">
        <f>IFERROR(VLOOKUP($E664,'BASE DE DATOS'!$A:$I,3,0),0)</f>
        <v>0</v>
      </c>
      <c r="G651" s="46">
        <f>IFERROR(VLOOKUP($E651,'BASE DE DATOS'!$A:$I,3,0),0)</f>
        <v>0</v>
      </c>
      <c r="H651" s="46">
        <f>IFERROR(VLOOKUP($E651,'BASE DE DATOS'!$A:$I,3,0),0)</f>
        <v>0</v>
      </c>
      <c r="I651" s="46">
        <f>IFERROR(VLOOKUP($E651,'BASE DE DATOS'!$A:$I,3,0),0)</f>
        <v>0</v>
      </c>
      <c r="J651" s="46">
        <f>IFERROR(VLOOKUP($E651,'BASE DE DATOS'!$A:$I,3,0),0)</f>
        <v>0</v>
      </c>
      <c r="K651" s="46">
        <f>IFERROR(VLOOKUP($E910,'BASE DE DATOS'!$A:$I,3,0),0)</f>
        <v>0</v>
      </c>
      <c r="L651" s="46">
        <f>IFERROR(VLOOKUP($E651,'BASE DE DATOS'!$A:$I,3,0),0)</f>
        <v>0</v>
      </c>
    </row>
    <row r="652" spans="4:12" x14ac:dyDescent="0.25">
      <c r="D652" s="46" t="str">
        <f>IFERROR(VLOOKUP($E652,'BASE DE DATOS'!$A:$I,2,0)," ")</f>
        <v xml:space="preserve"> </v>
      </c>
      <c r="F652" s="46">
        <f>IFERROR(VLOOKUP($E665,'BASE DE DATOS'!$A:$I,3,0),0)</f>
        <v>0</v>
      </c>
      <c r="G652" s="46">
        <f>IFERROR(VLOOKUP($E652,'BASE DE DATOS'!$A:$I,3,0),0)</f>
        <v>0</v>
      </c>
      <c r="H652" s="46">
        <f>IFERROR(VLOOKUP($E652,'BASE DE DATOS'!$A:$I,3,0),0)</f>
        <v>0</v>
      </c>
      <c r="I652" s="46">
        <f>IFERROR(VLOOKUP($E652,'BASE DE DATOS'!$A:$I,3,0),0)</f>
        <v>0</v>
      </c>
      <c r="J652" s="46">
        <f>IFERROR(VLOOKUP($E652,'BASE DE DATOS'!$A:$I,3,0),0)</f>
        <v>0</v>
      </c>
      <c r="K652" s="46">
        <f>IFERROR(VLOOKUP($E911,'BASE DE DATOS'!$A:$I,3,0),0)</f>
        <v>0</v>
      </c>
      <c r="L652" s="46">
        <f>IFERROR(VLOOKUP($E652,'BASE DE DATOS'!$A:$I,3,0),0)</f>
        <v>0</v>
      </c>
    </row>
    <row r="653" spans="4:12" x14ac:dyDescent="0.25">
      <c r="D653" s="46" t="str">
        <f>IFERROR(VLOOKUP($E653,'BASE DE DATOS'!$A:$I,2,0)," ")</f>
        <v xml:space="preserve"> </v>
      </c>
      <c r="F653" s="46">
        <f>IFERROR(VLOOKUP($E666,'BASE DE DATOS'!$A:$I,3,0),0)</f>
        <v>0</v>
      </c>
      <c r="G653" s="46">
        <f>IFERROR(VLOOKUP($E653,'BASE DE DATOS'!$A:$I,3,0),0)</f>
        <v>0</v>
      </c>
      <c r="H653" s="46">
        <f>IFERROR(VLOOKUP($E653,'BASE DE DATOS'!$A:$I,3,0),0)</f>
        <v>0</v>
      </c>
      <c r="I653" s="46">
        <f>IFERROR(VLOOKUP($E653,'BASE DE DATOS'!$A:$I,3,0),0)</f>
        <v>0</v>
      </c>
      <c r="J653" s="46">
        <f>IFERROR(VLOOKUP($E653,'BASE DE DATOS'!$A:$I,3,0),0)</f>
        <v>0</v>
      </c>
      <c r="K653" s="46">
        <f>IFERROR(VLOOKUP($E912,'BASE DE DATOS'!$A:$I,3,0),0)</f>
        <v>0</v>
      </c>
      <c r="L653" s="46">
        <f>IFERROR(VLOOKUP($E653,'BASE DE DATOS'!$A:$I,3,0),0)</f>
        <v>0</v>
      </c>
    </row>
    <row r="654" spans="4:12" x14ac:dyDescent="0.25">
      <c r="D654" s="46" t="str">
        <f>IFERROR(VLOOKUP($E654,'BASE DE DATOS'!$A:$I,2,0)," ")</f>
        <v xml:space="preserve"> </v>
      </c>
      <c r="F654" s="46">
        <f>IFERROR(VLOOKUP($E667,'BASE DE DATOS'!$A:$I,3,0),0)</f>
        <v>0</v>
      </c>
      <c r="G654" s="46">
        <f>IFERROR(VLOOKUP($E654,'BASE DE DATOS'!$A:$I,3,0),0)</f>
        <v>0</v>
      </c>
      <c r="H654" s="46">
        <f>IFERROR(VLOOKUP($E654,'BASE DE DATOS'!$A:$I,3,0),0)</f>
        <v>0</v>
      </c>
      <c r="I654" s="46">
        <f>IFERROR(VLOOKUP($E654,'BASE DE DATOS'!$A:$I,3,0),0)</f>
        <v>0</v>
      </c>
      <c r="J654" s="46">
        <f>IFERROR(VLOOKUP($E654,'BASE DE DATOS'!$A:$I,3,0),0)</f>
        <v>0</v>
      </c>
      <c r="K654" s="46">
        <f>IFERROR(VLOOKUP($E913,'BASE DE DATOS'!$A:$I,3,0),0)</f>
        <v>0</v>
      </c>
      <c r="L654" s="46">
        <f>IFERROR(VLOOKUP($E654,'BASE DE DATOS'!$A:$I,3,0),0)</f>
        <v>0</v>
      </c>
    </row>
    <row r="655" spans="4:12" x14ac:dyDescent="0.25">
      <c r="D655" s="46" t="str">
        <f>IFERROR(VLOOKUP($E655,'BASE DE DATOS'!$A:$I,2,0)," ")</f>
        <v xml:space="preserve"> </v>
      </c>
      <c r="F655" s="46">
        <f>IFERROR(VLOOKUP($E668,'BASE DE DATOS'!$A:$I,3,0),0)</f>
        <v>0</v>
      </c>
      <c r="G655" s="46">
        <f>IFERROR(VLOOKUP($E655,'BASE DE DATOS'!$A:$I,3,0),0)</f>
        <v>0</v>
      </c>
      <c r="H655" s="46">
        <f>IFERROR(VLOOKUP($E655,'BASE DE DATOS'!$A:$I,3,0),0)</f>
        <v>0</v>
      </c>
      <c r="I655" s="46">
        <f>IFERROR(VLOOKUP($E655,'BASE DE DATOS'!$A:$I,3,0),0)</f>
        <v>0</v>
      </c>
      <c r="J655" s="46">
        <f>IFERROR(VLOOKUP($E655,'BASE DE DATOS'!$A:$I,3,0),0)</f>
        <v>0</v>
      </c>
      <c r="K655" s="46">
        <f>IFERROR(VLOOKUP($E914,'BASE DE DATOS'!$A:$I,3,0),0)</f>
        <v>0</v>
      </c>
      <c r="L655" s="46">
        <f>IFERROR(VLOOKUP($E655,'BASE DE DATOS'!$A:$I,3,0),0)</f>
        <v>0</v>
      </c>
    </row>
    <row r="656" spans="4:12" x14ac:dyDescent="0.25">
      <c r="D656" s="46" t="str">
        <f>IFERROR(VLOOKUP($E656,'BASE DE DATOS'!$A:$I,2,0)," ")</f>
        <v xml:space="preserve"> </v>
      </c>
      <c r="F656" s="46">
        <f>IFERROR(VLOOKUP($E669,'BASE DE DATOS'!$A:$I,3,0),0)</f>
        <v>0</v>
      </c>
      <c r="G656" s="46">
        <f>IFERROR(VLOOKUP($E656,'BASE DE DATOS'!$A:$I,3,0),0)</f>
        <v>0</v>
      </c>
      <c r="H656" s="46">
        <f>IFERROR(VLOOKUP($E656,'BASE DE DATOS'!$A:$I,3,0),0)</f>
        <v>0</v>
      </c>
      <c r="I656" s="46">
        <f>IFERROR(VLOOKUP($E656,'BASE DE DATOS'!$A:$I,3,0),0)</f>
        <v>0</v>
      </c>
      <c r="J656" s="46">
        <f>IFERROR(VLOOKUP($E656,'BASE DE DATOS'!$A:$I,3,0),0)</f>
        <v>0</v>
      </c>
      <c r="K656" s="46">
        <f>IFERROR(VLOOKUP($E915,'BASE DE DATOS'!$A:$I,3,0),0)</f>
        <v>0</v>
      </c>
      <c r="L656" s="46">
        <f>IFERROR(VLOOKUP($E656,'BASE DE DATOS'!$A:$I,3,0),0)</f>
        <v>0</v>
      </c>
    </row>
    <row r="657" spans="4:12" x14ac:dyDescent="0.25">
      <c r="D657" s="46" t="str">
        <f>IFERROR(VLOOKUP($E657,'BASE DE DATOS'!$A:$I,2,0)," ")</f>
        <v xml:space="preserve"> </v>
      </c>
      <c r="F657" s="46">
        <f>IFERROR(VLOOKUP($E670,'BASE DE DATOS'!$A:$I,3,0),0)</f>
        <v>0</v>
      </c>
      <c r="G657" s="46">
        <f>IFERROR(VLOOKUP($E657,'BASE DE DATOS'!$A:$I,3,0),0)</f>
        <v>0</v>
      </c>
      <c r="H657" s="46">
        <f>IFERROR(VLOOKUP($E657,'BASE DE DATOS'!$A:$I,3,0),0)</f>
        <v>0</v>
      </c>
      <c r="I657" s="46">
        <f>IFERROR(VLOOKUP($E657,'BASE DE DATOS'!$A:$I,3,0),0)</f>
        <v>0</v>
      </c>
      <c r="J657" s="46">
        <f>IFERROR(VLOOKUP($E657,'BASE DE DATOS'!$A:$I,3,0),0)</f>
        <v>0</v>
      </c>
      <c r="K657" s="46">
        <f>IFERROR(VLOOKUP($E916,'BASE DE DATOS'!$A:$I,3,0),0)</f>
        <v>0</v>
      </c>
      <c r="L657" s="46">
        <f>IFERROR(VLOOKUP($E657,'BASE DE DATOS'!$A:$I,3,0),0)</f>
        <v>0</v>
      </c>
    </row>
    <row r="658" spans="4:12" x14ac:dyDescent="0.25">
      <c r="D658" s="46" t="str">
        <f>IFERROR(VLOOKUP($E658,'BASE DE DATOS'!$A:$I,2,0)," ")</f>
        <v xml:space="preserve"> </v>
      </c>
      <c r="F658" s="46">
        <f>IFERROR(VLOOKUP($E671,'BASE DE DATOS'!$A:$I,3,0),0)</f>
        <v>0</v>
      </c>
      <c r="G658" s="46">
        <f>IFERROR(VLOOKUP($E658,'BASE DE DATOS'!$A:$I,3,0),0)</f>
        <v>0</v>
      </c>
      <c r="H658" s="46">
        <f>IFERROR(VLOOKUP($E658,'BASE DE DATOS'!$A:$I,3,0),0)</f>
        <v>0</v>
      </c>
      <c r="I658" s="46">
        <f>IFERROR(VLOOKUP($E658,'BASE DE DATOS'!$A:$I,3,0),0)</f>
        <v>0</v>
      </c>
      <c r="J658" s="46">
        <f>IFERROR(VLOOKUP($E658,'BASE DE DATOS'!$A:$I,3,0),0)</f>
        <v>0</v>
      </c>
      <c r="K658" s="46">
        <f>IFERROR(VLOOKUP($E917,'BASE DE DATOS'!$A:$I,3,0),0)</f>
        <v>0</v>
      </c>
      <c r="L658" s="46">
        <f>IFERROR(VLOOKUP($E658,'BASE DE DATOS'!$A:$I,3,0),0)</f>
        <v>0</v>
      </c>
    </row>
    <row r="659" spans="4:12" x14ac:dyDescent="0.25">
      <c r="D659" s="46" t="str">
        <f>IFERROR(VLOOKUP($E659,'BASE DE DATOS'!$A:$I,2,0)," ")</f>
        <v xml:space="preserve"> </v>
      </c>
      <c r="F659" s="46">
        <f>IFERROR(VLOOKUP($E672,'BASE DE DATOS'!$A:$I,3,0),0)</f>
        <v>0</v>
      </c>
      <c r="G659" s="46">
        <f>IFERROR(VLOOKUP($E659,'BASE DE DATOS'!$A:$I,3,0),0)</f>
        <v>0</v>
      </c>
      <c r="H659" s="46">
        <f>IFERROR(VLOOKUP($E659,'BASE DE DATOS'!$A:$I,3,0),0)</f>
        <v>0</v>
      </c>
      <c r="I659" s="46">
        <f>IFERROR(VLOOKUP($E659,'BASE DE DATOS'!$A:$I,3,0),0)</f>
        <v>0</v>
      </c>
      <c r="J659" s="46">
        <f>IFERROR(VLOOKUP($E659,'BASE DE DATOS'!$A:$I,3,0),0)</f>
        <v>0</v>
      </c>
      <c r="K659" s="46">
        <f>IFERROR(VLOOKUP($E918,'BASE DE DATOS'!$A:$I,3,0),0)</f>
        <v>0</v>
      </c>
      <c r="L659" s="46">
        <f>IFERROR(VLOOKUP($E659,'BASE DE DATOS'!$A:$I,3,0),0)</f>
        <v>0</v>
      </c>
    </row>
    <row r="660" spans="4:12" x14ac:dyDescent="0.25">
      <c r="D660" s="46" t="str">
        <f>IFERROR(VLOOKUP($E660,'BASE DE DATOS'!$A:$I,2,0)," ")</f>
        <v xml:space="preserve"> </v>
      </c>
      <c r="F660" s="46">
        <f>IFERROR(VLOOKUP($E673,'BASE DE DATOS'!$A:$I,3,0),0)</f>
        <v>0</v>
      </c>
      <c r="G660" s="46">
        <f>IFERROR(VLOOKUP($E660,'BASE DE DATOS'!$A:$I,3,0),0)</f>
        <v>0</v>
      </c>
      <c r="H660" s="46">
        <f>IFERROR(VLOOKUP($E660,'BASE DE DATOS'!$A:$I,3,0),0)</f>
        <v>0</v>
      </c>
      <c r="I660" s="46">
        <f>IFERROR(VLOOKUP($E660,'BASE DE DATOS'!$A:$I,3,0),0)</f>
        <v>0</v>
      </c>
      <c r="J660" s="46">
        <f>IFERROR(VLOOKUP($E660,'BASE DE DATOS'!$A:$I,3,0),0)</f>
        <v>0</v>
      </c>
      <c r="K660" s="46">
        <f>IFERROR(VLOOKUP($E919,'BASE DE DATOS'!$A:$I,3,0),0)</f>
        <v>0</v>
      </c>
      <c r="L660" s="46">
        <f>IFERROR(VLOOKUP($E660,'BASE DE DATOS'!$A:$I,3,0),0)</f>
        <v>0</v>
      </c>
    </row>
    <row r="661" spans="4:12" x14ac:dyDescent="0.25">
      <c r="D661" s="46" t="str">
        <f>IFERROR(VLOOKUP($E661,'BASE DE DATOS'!$A:$I,2,0)," ")</f>
        <v xml:space="preserve"> </v>
      </c>
      <c r="F661" s="46">
        <f>IFERROR(VLOOKUP($E674,'BASE DE DATOS'!$A:$I,3,0),0)</f>
        <v>0</v>
      </c>
      <c r="G661" s="46">
        <f>IFERROR(VLOOKUP($E661,'BASE DE DATOS'!$A:$I,3,0),0)</f>
        <v>0</v>
      </c>
      <c r="H661" s="46">
        <f>IFERROR(VLOOKUP($E661,'BASE DE DATOS'!$A:$I,3,0),0)</f>
        <v>0</v>
      </c>
      <c r="I661" s="46">
        <f>IFERROR(VLOOKUP($E661,'BASE DE DATOS'!$A:$I,3,0),0)</f>
        <v>0</v>
      </c>
      <c r="J661" s="46">
        <f>IFERROR(VLOOKUP($E661,'BASE DE DATOS'!$A:$I,3,0),0)</f>
        <v>0</v>
      </c>
      <c r="K661" s="46">
        <f>IFERROR(VLOOKUP($E920,'BASE DE DATOS'!$A:$I,3,0),0)</f>
        <v>0</v>
      </c>
      <c r="L661" s="46">
        <f>IFERROR(VLOOKUP($E661,'BASE DE DATOS'!$A:$I,3,0),0)</f>
        <v>0</v>
      </c>
    </row>
    <row r="662" spans="4:12" x14ac:dyDescent="0.25">
      <c r="D662" s="46" t="str">
        <f>IFERROR(VLOOKUP($E662,'BASE DE DATOS'!$A:$I,2,0)," ")</f>
        <v xml:space="preserve"> </v>
      </c>
      <c r="F662" s="46">
        <f>IFERROR(VLOOKUP($E675,'BASE DE DATOS'!$A:$I,3,0),0)</f>
        <v>0</v>
      </c>
      <c r="G662" s="46">
        <f>IFERROR(VLOOKUP($E662,'BASE DE DATOS'!$A:$I,3,0),0)</f>
        <v>0</v>
      </c>
      <c r="H662" s="46">
        <f>IFERROR(VLOOKUP($E662,'BASE DE DATOS'!$A:$I,3,0),0)</f>
        <v>0</v>
      </c>
      <c r="I662" s="46">
        <f>IFERROR(VLOOKUP($E662,'BASE DE DATOS'!$A:$I,3,0),0)</f>
        <v>0</v>
      </c>
      <c r="J662" s="46">
        <f>IFERROR(VLOOKUP($E662,'BASE DE DATOS'!$A:$I,3,0),0)</f>
        <v>0</v>
      </c>
      <c r="K662" s="46">
        <f>IFERROR(VLOOKUP($E921,'BASE DE DATOS'!$A:$I,3,0),0)</f>
        <v>0</v>
      </c>
      <c r="L662" s="46">
        <f>IFERROR(VLOOKUP($E662,'BASE DE DATOS'!$A:$I,3,0),0)</f>
        <v>0</v>
      </c>
    </row>
    <row r="663" spans="4:12" x14ac:dyDescent="0.25">
      <c r="D663" s="46" t="str">
        <f>IFERROR(VLOOKUP($E663,'BASE DE DATOS'!$A:$I,2,0)," ")</f>
        <v xml:space="preserve"> </v>
      </c>
      <c r="F663" s="46">
        <f>IFERROR(VLOOKUP($E676,'BASE DE DATOS'!$A:$I,3,0),0)</f>
        <v>0</v>
      </c>
      <c r="G663" s="46">
        <f>IFERROR(VLOOKUP($E663,'BASE DE DATOS'!$A:$I,3,0),0)</f>
        <v>0</v>
      </c>
      <c r="H663" s="46">
        <f>IFERROR(VLOOKUP($E663,'BASE DE DATOS'!$A:$I,3,0),0)</f>
        <v>0</v>
      </c>
      <c r="I663" s="46">
        <f>IFERROR(VLOOKUP($E663,'BASE DE DATOS'!$A:$I,3,0),0)</f>
        <v>0</v>
      </c>
      <c r="J663" s="46">
        <f>IFERROR(VLOOKUP($E663,'BASE DE DATOS'!$A:$I,3,0),0)</f>
        <v>0</v>
      </c>
      <c r="K663" s="46">
        <f>IFERROR(VLOOKUP($E922,'BASE DE DATOS'!$A:$I,3,0),0)</f>
        <v>0</v>
      </c>
      <c r="L663" s="46">
        <f>IFERROR(VLOOKUP($E663,'BASE DE DATOS'!$A:$I,3,0),0)</f>
        <v>0</v>
      </c>
    </row>
    <row r="664" spans="4:12" x14ac:dyDescent="0.25">
      <c r="D664" s="46" t="str">
        <f>IFERROR(VLOOKUP($E664,'BASE DE DATOS'!$A:$I,2,0)," ")</f>
        <v xml:space="preserve"> </v>
      </c>
      <c r="F664" s="46">
        <f>IFERROR(VLOOKUP($E677,'BASE DE DATOS'!$A:$I,3,0),0)</f>
        <v>0</v>
      </c>
      <c r="G664" s="46">
        <f>IFERROR(VLOOKUP($E664,'BASE DE DATOS'!$A:$I,3,0),0)</f>
        <v>0</v>
      </c>
      <c r="H664" s="46">
        <f>IFERROR(VLOOKUP($E664,'BASE DE DATOS'!$A:$I,3,0),0)</f>
        <v>0</v>
      </c>
      <c r="I664" s="46">
        <f>IFERROR(VLOOKUP($E664,'BASE DE DATOS'!$A:$I,3,0),0)</f>
        <v>0</v>
      </c>
      <c r="J664" s="46">
        <f>IFERROR(VLOOKUP($E664,'BASE DE DATOS'!$A:$I,3,0),0)</f>
        <v>0</v>
      </c>
      <c r="K664" s="46">
        <f>IFERROR(VLOOKUP($E923,'BASE DE DATOS'!$A:$I,3,0),0)</f>
        <v>0</v>
      </c>
      <c r="L664" s="46">
        <f>IFERROR(VLOOKUP($E664,'BASE DE DATOS'!$A:$I,3,0),0)</f>
        <v>0</v>
      </c>
    </row>
    <row r="665" spans="4:12" x14ac:dyDescent="0.25">
      <c r="D665" s="46" t="str">
        <f>IFERROR(VLOOKUP($E665,'BASE DE DATOS'!$A:$I,2,0)," ")</f>
        <v xml:space="preserve"> </v>
      </c>
      <c r="F665" s="46">
        <f>IFERROR(VLOOKUP($E678,'BASE DE DATOS'!$A:$I,3,0),0)</f>
        <v>0</v>
      </c>
      <c r="G665" s="46">
        <f>IFERROR(VLOOKUP($E665,'BASE DE DATOS'!$A:$I,3,0),0)</f>
        <v>0</v>
      </c>
      <c r="H665" s="46">
        <f>IFERROR(VLOOKUP($E665,'BASE DE DATOS'!$A:$I,3,0),0)</f>
        <v>0</v>
      </c>
      <c r="I665" s="46">
        <f>IFERROR(VLOOKUP($E665,'BASE DE DATOS'!$A:$I,3,0),0)</f>
        <v>0</v>
      </c>
      <c r="J665" s="46">
        <f>IFERROR(VLOOKUP($E665,'BASE DE DATOS'!$A:$I,3,0),0)</f>
        <v>0</v>
      </c>
      <c r="K665" s="46">
        <f>IFERROR(VLOOKUP($E924,'BASE DE DATOS'!$A:$I,3,0),0)</f>
        <v>0</v>
      </c>
      <c r="L665" s="46">
        <f>IFERROR(VLOOKUP($E665,'BASE DE DATOS'!$A:$I,3,0),0)</f>
        <v>0</v>
      </c>
    </row>
    <row r="666" spans="4:12" x14ac:dyDescent="0.25">
      <c r="D666" s="46" t="str">
        <f>IFERROR(VLOOKUP($E666,'BASE DE DATOS'!$A:$I,2,0)," ")</f>
        <v xml:space="preserve"> </v>
      </c>
      <c r="F666" s="46">
        <f>IFERROR(VLOOKUP($E679,'BASE DE DATOS'!$A:$I,3,0),0)</f>
        <v>0</v>
      </c>
      <c r="G666" s="46">
        <f>IFERROR(VLOOKUP($E666,'BASE DE DATOS'!$A:$I,3,0),0)</f>
        <v>0</v>
      </c>
      <c r="H666" s="46">
        <f>IFERROR(VLOOKUP($E666,'BASE DE DATOS'!$A:$I,3,0),0)</f>
        <v>0</v>
      </c>
      <c r="I666" s="46">
        <f>IFERROR(VLOOKUP($E666,'BASE DE DATOS'!$A:$I,3,0),0)</f>
        <v>0</v>
      </c>
      <c r="J666" s="46">
        <f>IFERROR(VLOOKUP($E666,'BASE DE DATOS'!$A:$I,3,0),0)</f>
        <v>0</v>
      </c>
      <c r="K666" s="46">
        <f>IFERROR(VLOOKUP($E925,'BASE DE DATOS'!$A:$I,3,0),0)</f>
        <v>0</v>
      </c>
      <c r="L666" s="46">
        <f>IFERROR(VLOOKUP($E666,'BASE DE DATOS'!$A:$I,3,0),0)</f>
        <v>0</v>
      </c>
    </row>
    <row r="667" spans="4:12" x14ac:dyDescent="0.25">
      <c r="D667" s="46" t="str">
        <f>IFERROR(VLOOKUP($E667,'BASE DE DATOS'!$A:$I,2,0)," ")</f>
        <v xml:space="preserve"> </v>
      </c>
      <c r="F667" s="46">
        <f>IFERROR(VLOOKUP($E680,'BASE DE DATOS'!$A:$I,3,0),0)</f>
        <v>0</v>
      </c>
      <c r="G667" s="46">
        <f>IFERROR(VLOOKUP($E667,'BASE DE DATOS'!$A:$I,3,0),0)</f>
        <v>0</v>
      </c>
      <c r="H667" s="46">
        <f>IFERROR(VLOOKUP($E667,'BASE DE DATOS'!$A:$I,3,0),0)</f>
        <v>0</v>
      </c>
      <c r="I667" s="46">
        <f>IFERROR(VLOOKUP($E667,'BASE DE DATOS'!$A:$I,3,0),0)</f>
        <v>0</v>
      </c>
      <c r="J667" s="46">
        <f>IFERROR(VLOOKUP($E667,'BASE DE DATOS'!$A:$I,3,0),0)</f>
        <v>0</v>
      </c>
      <c r="K667" s="46">
        <f>IFERROR(VLOOKUP($E926,'BASE DE DATOS'!$A:$I,3,0),0)</f>
        <v>0</v>
      </c>
      <c r="L667" s="46">
        <f>IFERROR(VLOOKUP($E667,'BASE DE DATOS'!$A:$I,3,0),0)</f>
        <v>0</v>
      </c>
    </row>
    <row r="668" spans="4:12" x14ac:dyDescent="0.25">
      <c r="D668" s="46" t="str">
        <f>IFERROR(VLOOKUP($E668,'BASE DE DATOS'!$A:$I,2,0)," ")</f>
        <v xml:space="preserve"> </v>
      </c>
      <c r="F668" s="46">
        <f>IFERROR(VLOOKUP($E681,'BASE DE DATOS'!$A:$I,3,0),0)</f>
        <v>0</v>
      </c>
      <c r="G668" s="46">
        <f>IFERROR(VLOOKUP($E668,'BASE DE DATOS'!$A:$I,3,0),0)</f>
        <v>0</v>
      </c>
      <c r="H668" s="46">
        <f>IFERROR(VLOOKUP($E668,'BASE DE DATOS'!$A:$I,3,0),0)</f>
        <v>0</v>
      </c>
      <c r="I668" s="46">
        <f>IFERROR(VLOOKUP($E668,'BASE DE DATOS'!$A:$I,3,0),0)</f>
        <v>0</v>
      </c>
      <c r="J668" s="46">
        <f>IFERROR(VLOOKUP($E668,'BASE DE DATOS'!$A:$I,3,0),0)</f>
        <v>0</v>
      </c>
      <c r="K668" s="46">
        <f>IFERROR(VLOOKUP($E927,'BASE DE DATOS'!$A:$I,3,0),0)</f>
        <v>0</v>
      </c>
      <c r="L668" s="46">
        <f>IFERROR(VLOOKUP($E668,'BASE DE DATOS'!$A:$I,3,0),0)</f>
        <v>0</v>
      </c>
    </row>
    <row r="669" spans="4:12" x14ac:dyDescent="0.25">
      <c r="D669" s="46" t="str">
        <f>IFERROR(VLOOKUP($E669,'BASE DE DATOS'!$A:$I,2,0)," ")</f>
        <v xml:space="preserve"> </v>
      </c>
      <c r="F669" s="46">
        <f>IFERROR(VLOOKUP($E682,'BASE DE DATOS'!$A:$I,3,0),0)</f>
        <v>0</v>
      </c>
      <c r="G669" s="46">
        <f>IFERROR(VLOOKUP($E669,'BASE DE DATOS'!$A:$I,3,0),0)</f>
        <v>0</v>
      </c>
      <c r="H669" s="46">
        <f>IFERROR(VLOOKUP($E669,'BASE DE DATOS'!$A:$I,3,0),0)</f>
        <v>0</v>
      </c>
      <c r="I669" s="46">
        <f>IFERROR(VLOOKUP($E669,'BASE DE DATOS'!$A:$I,3,0),0)</f>
        <v>0</v>
      </c>
      <c r="J669" s="46">
        <f>IFERROR(VLOOKUP($E669,'BASE DE DATOS'!$A:$I,3,0),0)</f>
        <v>0</v>
      </c>
      <c r="K669" s="46">
        <f>IFERROR(VLOOKUP($E928,'BASE DE DATOS'!$A:$I,3,0),0)</f>
        <v>0</v>
      </c>
      <c r="L669" s="46">
        <f>IFERROR(VLOOKUP($E669,'BASE DE DATOS'!$A:$I,3,0),0)</f>
        <v>0</v>
      </c>
    </row>
    <row r="670" spans="4:12" x14ac:dyDescent="0.25">
      <c r="D670" s="46" t="str">
        <f>IFERROR(VLOOKUP($E670,'BASE DE DATOS'!$A:$I,2,0)," ")</f>
        <v xml:space="preserve"> </v>
      </c>
      <c r="F670" s="46">
        <f>IFERROR(VLOOKUP($E683,'BASE DE DATOS'!$A:$I,3,0),0)</f>
        <v>0</v>
      </c>
      <c r="G670" s="46">
        <f>IFERROR(VLOOKUP($E670,'BASE DE DATOS'!$A:$I,3,0),0)</f>
        <v>0</v>
      </c>
      <c r="H670" s="46">
        <f>IFERROR(VLOOKUP($E670,'BASE DE DATOS'!$A:$I,3,0),0)</f>
        <v>0</v>
      </c>
      <c r="I670" s="46">
        <f>IFERROR(VLOOKUP($E670,'BASE DE DATOS'!$A:$I,3,0),0)</f>
        <v>0</v>
      </c>
      <c r="J670" s="46">
        <f>IFERROR(VLOOKUP($E670,'BASE DE DATOS'!$A:$I,3,0),0)</f>
        <v>0</v>
      </c>
      <c r="K670" s="46">
        <f>IFERROR(VLOOKUP($E929,'BASE DE DATOS'!$A:$I,3,0),0)</f>
        <v>0</v>
      </c>
      <c r="L670" s="46">
        <f>IFERROR(VLOOKUP($E670,'BASE DE DATOS'!$A:$I,3,0),0)</f>
        <v>0</v>
      </c>
    </row>
    <row r="671" spans="4:12" x14ac:dyDescent="0.25">
      <c r="D671" s="46" t="str">
        <f>IFERROR(VLOOKUP($E671,'BASE DE DATOS'!$A:$I,2,0)," ")</f>
        <v xml:space="preserve"> </v>
      </c>
      <c r="F671" s="46">
        <f>IFERROR(VLOOKUP($E684,'BASE DE DATOS'!$A:$I,3,0),0)</f>
        <v>0</v>
      </c>
      <c r="G671" s="46">
        <f>IFERROR(VLOOKUP($E671,'BASE DE DATOS'!$A:$I,3,0),0)</f>
        <v>0</v>
      </c>
      <c r="H671" s="46">
        <f>IFERROR(VLOOKUP($E671,'BASE DE DATOS'!$A:$I,3,0),0)</f>
        <v>0</v>
      </c>
      <c r="I671" s="46">
        <f>IFERROR(VLOOKUP($E671,'BASE DE DATOS'!$A:$I,3,0),0)</f>
        <v>0</v>
      </c>
      <c r="J671" s="46">
        <f>IFERROR(VLOOKUP($E671,'BASE DE DATOS'!$A:$I,3,0),0)</f>
        <v>0</v>
      </c>
      <c r="K671" s="46">
        <f>IFERROR(VLOOKUP($E930,'BASE DE DATOS'!$A:$I,3,0),0)</f>
        <v>0</v>
      </c>
      <c r="L671" s="46">
        <f>IFERROR(VLOOKUP($E671,'BASE DE DATOS'!$A:$I,3,0),0)</f>
        <v>0</v>
      </c>
    </row>
    <row r="672" spans="4:12" x14ac:dyDescent="0.25">
      <c r="D672" s="46" t="str">
        <f>IFERROR(VLOOKUP($E672,'BASE DE DATOS'!$A:$I,2,0)," ")</f>
        <v xml:space="preserve"> </v>
      </c>
      <c r="F672" s="46">
        <f>IFERROR(VLOOKUP($E685,'BASE DE DATOS'!$A:$I,3,0),0)</f>
        <v>0</v>
      </c>
      <c r="G672" s="46">
        <f>IFERROR(VLOOKUP($E672,'BASE DE DATOS'!$A:$I,3,0),0)</f>
        <v>0</v>
      </c>
      <c r="H672" s="46">
        <f>IFERROR(VLOOKUP($E672,'BASE DE DATOS'!$A:$I,3,0),0)</f>
        <v>0</v>
      </c>
      <c r="I672" s="46">
        <f>IFERROR(VLOOKUP($E672,'BASE DE DATOS'!$A:$I,3,0),0)</f>
        <v>0</v>
      </c>
      <c r="J672" s="46">
        <f>IFERROR(VLOOKUP($E672,'BASE DE DATOS'!$A:$I,3,0),0)</f>
        <v>0</v>
      </c>
      <c r="K672" s="46">
        <f>IFERROR(VLOOKUP($E931,'BASE DE DATOS'!$A:$I,3,0),0)</f>
        <v>0</v>
      </c>
      <c r="L672" s="46">
        <f>IFERROR(VLOOKUP($E672,'BASE DE DATOS'!$A:$I,3,0),0)</f>
        <v>0</v>
      </c>
    </row>
    <row r="673" spans="4:12" x14ac:dyDescent="0.25">
      <c r="D673" s="46" t="str">
        <f>IFERROR(VLOOKUP($E673,'BASE DE DATOS'!$A:$I,2,0)," ")</f>
        <v xml:space="preserve"> </v>
      </c>
      <c r="F673" s="46">
        <f>IFERROR(VLOOKUP($E686,'BASE DE DATOS'!$A:$I,3,0),0)</f>
        <v>0</v>
      </c>
      <c r="G673" s="46">
        <f>IFERROR(VLOOKUP($E673,'BASE DE DATOS'!$A:$I,3,0),0)</f>
        <v>0</v>
      </c>
      <c r="H673" s="46">
        <f>IFERROR(VLOOKUP($E673,'BASE DE DATOS'!$A:$I,3,0),0)</f>
        <v>0</v>
      </c>
      <c r="I673" s="46">
        <f>IFERROR(VLOOKUP($E673,'BASE DE DATOS'!$A:$I,3,0),0)</f>
        <v>0</v>
      </c>
      <c r="J673" s="46">
        <f>IFERROR(VLOOKUP($E673,'BASE DE DATOS'!$A:$I,3,0),0)</f>
        <v>0</v>
      </c>
      <c r="K673" s="46">
        <f>IFERROR(VLOOKUP($E932,'BASE DE DATOS'!$A:$I,3,0),0)</f>
        <v>0</v>
      </c>
      <c r="L673" s="46">
        <f>IFERROR(VLOOKUP($E673,'BASE DE DATOS'!$A:$I,3,0),0)</f>
        <v>0</v>
      </c>
    </row>
    <row r="674" spans="4:12" x14ac:dyDescent="0.25">
      <c r="D674" s="46" t="str">
        <f>IFERROR(VLOOKUP($E674,'BASE DE DATOS'!$A:$I,2,0)," ")</f>
        <v xml:space="preserve"> </v>
      </c>
      <c r="F674" s="46">
        <f>IFERROR(VLOOKUP($E687,'BASE DE DATOS'!$A:$I,3,0),0)</f>
        <v>0</v>
      </c>
      <c r="G674" s="46">
        <f>IFERROR(VLOOKUP($E674,'BASE DE DATOS'!$A:$I,3,0),0)</f>
        <v>0</v>
      </c>
      <c r="H674" s="46">
        <f>IFERROR(VLOOKUP($E674,'BASE DE DATOS'!$A:$I,3,0),0)</f>
        <v>0</v>
      </c>
      <c r="I674" s="46">
        <f>IFERROR(VLOOKUP($E674,'BASE DE DATOS'!$A:$I,3,0),0)</f>
        <v>0</v>
      </c>
      <c r="J674" s="46">
        <f>IFERROR(VLOOKUP($E674,'BASE DE DATOS'!$A:$I,3,0),0)</f>
        <v>0</v>
      </c>
      <c r="K674" s="46">
        <f>IFERROR(VLOOKUP($E933,'BASE DE DATOS'!$A:$I,3,0),0)</f>
        <v>0</v>
      </c>
      <c r="L674" s="46">
        <f>IFERROR(VLOOKUP($E674,'BASE DE DATOS'!$A:$I,3,0),0)</f>
        <v>0</v>
      </c>
    </row>
    <row r="675" spans="4:12" x14ac:dyDescent="0.25">
      <c r="D675" s="46" t="str">
        <f>IFERROR(VLOOKUP($E675,'BASE DE DATOS'!$A:$I,2,0)," ")</f>
        <v xml:space="preserve"> </v>
      </c>
      <c r="F675" s="46">
        <f>IFERROR(VLOOKUP($E688,'BASE DE DATOS'!$A:$I,3,0),0)</f>
        <v>0</v>
      </c>
      <c r="G675" s="46">
        <f>IFERROR(VLOOKUP($E675,'BASE DE DATOS'!$A:$I,3,0),0)</f>
        <v>0</v>
      </c>
      <c r="H675" s="46">
        <f>IFERROR(VLOOKUP($E675,'BASE DE DATOS'!$A:$I,3,0),0)</f>
        <v>0</v>
      </c>
      <c r="I675" s="46">
        <f>IFERROR(VLOOKUP($E675,'BASE DE DATOS'!$A:$I,3,0),0)</f>
        <v>0</v>
      </c>
      <c r="J675" s="46">
        <f>IFERROR(VLOOKUP($E675,'BASE DE DATOS'!$A:$I,3,0),0)</f>
        <v>0</v>
      </c>
      <c r="K675" s="46">
        <f>IFERROR(VLOOKUP($E934,'BASE DE DATOS'!$A:$I,3,0),0)</f>
        <v>0</v>
      </c>
      <c r="L675" s="46">
        <f>IFERROR(VLOOKUP($E675,'BASE DE DATOS'!$A:$I,3,0),0)</f>
        <v>0</v>
      </c>
    </row>
    <row r="676" spans="4:12" x14ac:dyDescent="0.25">
      <c r="D676" s="46" t="str">
        <f>IFERROR(VLOOKUP($E676,'BASE DE DATOS'!$A:$I,2,0)," ")</f>
        <v xml:space="preserve"> </v>
      </c>
      <c r="F676" s="46">
        <f>IFERROR(VLOOKUP($E689,'BASE DE DATOS'!$A:$I,3,0),0)</f>
        <v>0</v>
      </c>
      <c r="G676" s="46">
        <f>IFERROR(VLOOKUP($E676,'BASE DE DATOS'!$A:$I,3,0),0)</f>
        <v>0</v>
      </c>
      <c r="H676" s="46">
        <f>IFERROR(VLOOKUP($E676,'BASE DE DATOS'!$A:$I,3,0),0)</f>
        <v>0</v>
      </c>
      <c r="I676" s="46">
        <f>IFERROR(VLOOKUP($E676,'BASE DE DATOS'!$A:$I,3,0),0)</f>
        <v>0</v>
      </c>
      <c r="J676" s="46">
        <f>IFERROR(VLOOKUP($E676,'BASE DE DATOS'!$A:$I,3,0),0)</f>
        <v>0</v>
      </c>
      <c r="K676" s="46">
        <f>IFERROR(VLOOKUP($E935,'BASE DE DATOS'!$A:$I,3,0),0)</f>
        <v>0</v>
      </c>
      <c r="L676" s="46">
        <f>IFERROR(VLOOKUP($E676,'BASE DE DATOS'!$A:$I,3,0),0)</f>
        <v>0</v>
      </c>
    </row>
    <row r="677" spans="4:12" x14ac:dyDescent="0.25">
      <c r="D677" s="46" t="str">
        <f>IFERROR(VLOOKUP($E677,'BASE DE DATOS'!$A:$I,2,0)," ")</f>
        <v xml:space="preserve"> </v>
      </c>
      <c r="F677" s="46">
        <f>IFERROR(VLOOKUP($E690,'BASE DE DATOS'!$A:$I,3,0),0)</f>
        <v>0</v>
      </c>
      <c r="G677" s="46">
        <f>IFERROR(VLOOKUP($E677,'BASE DE DATOS'!$A:$I,3,0),0)</f>
        <v>0</v>
      </c>
      <c r="H677" s="46">
        <f>IFERROR(VLOOKUP($E677,'BASE DE DATOS'!$A:$I,3,0),0)</f>
        <v>0</v>
      </c>
      <c r="I677" s="46">
        <f>IFERROR(VLOOKUP($E677,'BASE DE DATOS'!$A:$I,3,0),0)</f>
        <v>0</v>
      </c>
      <c r="J677" s="46">
        <f>IFERROR(VLOOKUP($E677,'BASE DE DATOS'!$A:$I,3,0),0)</f>
        <v>0</v>
      </c>
      <c r="K677" s="46">
        <f>IFERROR(VLOOKUP($E936,'BASE DE DATOS'!$A:$I,3,0),0)</f>
        <v>0</v>
      </c>
      <c r="L677" s="46">
        <f>IFERROR(VLOOKUP($E677,'BASE DE DATOS'!$A:$I,3,0),0)</f>
        <v>0</v>
      </c>
    </row>
    <row r="678" spans="4:12" x14ac:dyDescent="0.25">
      <c r="D678" s="46" t="str">
        <f>IFERROR(VLOOKUP($E678,'BASE DE DATOS'!$A:$I,2,0)," ")</f>
        <v xml:space="preserve"> </v>
      </c>
      <c r="F678" s="46">
        <f>IFERROR(VLOOKUP($E691,'BASE DE DATOS'!$A:$I,3,0),0)</f>
        <v>0</v>
      </c>
      <c r="G678" s="46">
        <f>IFERROR(VLOOKUP($E678,'BASE DE DATOS'!$A:$I,3,0),0)</f>
        <v>0</v>
      </c>
      <c r="H678" s="46">
        <f>IFERROR(VLOOKUP($E678,'BASE DE DATOS'!$A:$I,3,0),0)</f>
        <v>0</v>
      </c>
      <c r="I678" s="46">
        <f>IFERROR(VLOOKUP($E678,'BASE DE DATOS'!$A:$I,3,0),0)</f>
        <v>0</v>
      </c>
      <c r="J678" s="46">
        <f>IFERROR(VLOOKUP($E678,'BASE DE DATOS'!$A:$I,3,0),0)</f>
        <v>0</v>
      </c>
      <c r="K678" s="46">
        <f>IFERROR(VLOOKUP($E937,'BASE DE DATOS'!$A:$I,3,0),0)</f>
        <v>0</v>
      </c>
      <c r="L678" s="46">
        <f>IFERROR(VLOOKUP($E678,'BASE DE DATOS'!$A:$I,3,0),0)</f>
        <v>0</v>
      </c>
    </row>
    <row r="679" spans="4:12" x14ac:dyDescent="0.25">
      <c r="D679" s="46" t="str">
        <f>IFERROR(VLOOKUP($E679,'BASE DE DATOS'!$A:$I,2,0)," ")</f>
        <v xml:space="preserve"> </v>
      </c>
      <c r="F679" s="46">
        <f>IFERROR(VLOOKUP($E692,'BASE DE DATOS'!$A:$I,3,0),0)</f>
        <v>0</v>
      </c>
      <c r="G679" s="46">
        <f>IFERROR(VLOOKUP($E679,'BASE DE DATOS'!$A:$I,3,0),0)</f>
        <v>0</v>
      </c>
      <c r="H679" s="46">
        <f>IFERROR(VLOOKUP($E679,'BASE DE DATOS'!$A:$I,3,0),0)</f>
        <v>0</v>
      </c>
      <c r="I679" s="46">
        <f>IFERROR(VLOOKUP($E679,'BASE DE DATOS'!$A:$I,3,0),0)</f>
        <v>0</v>
      </c>
      <c r="J679" s="46">
        <f>IFERROR(VLOOKUP($E679,'BASE DE DATOS'!$A:$I,3,0),0)</f>
        <v>0</v>
      </c>
      <c r="K679" s="46">
        <f>IFERROR(VLOOKUP($E938,'BASE DE DATOS'!$A:$I,3,0),0)</f>
        <v>0</v>
      </c>
      <c r="L679" s="46">
        <f>IFERROR(VLOOKUP($E679,'BASE DE DATOS'!$A:$I,3,0),0)</f>
        <v>0</v>
      </c>
    </row>
    <row r="680" spans="4:12" x14ac:dyDescent="0.25">
      <c r="D680" s="46" t="str">
        <f>IFERROR(VLOOKUP($E680,'BASE DE DATOS'!$A:$I,2,0)," ")</f>
        <v xml:space="preserve"> </v>
      </c>
      <c r="F680" s="46">
        <f>IFERROR(VLOOKUP($E693,'BASE DE DATOS'!$A:$I,3,0),0)</f>
        <v>0</v>
      </c>
      <c r="G680" s="46">
        <f>IFERROR(VLOOKUP($E680,'BASE DE DATOS'!$A:$I,3,0),0)</f>
        <v>0</v>
      </c>
      <c r="H680" s="46">
        <f>IFERROR(VLOOKUP($E680,'BASE DE DATOS'!$A:$I,3,0),0)</f>
        <v>0</v>
      </c>
      <c r="I680" s="46">
        <f>IFERROR(VLOOKUP($E680,'BASE DE DATOS'!$A:$I,3,0),0)</f>
        <v>0</v>
      </c>
      <c r="J680" s="46">
        <f>IFERROR(VLOOKUP($E680,'BASE DE DATOS'!$A:$I,3,0),0)</f>
        <v>0</v>
      </c>
      <c r="K680" s="46">
        <f>IFERROR(VLOOKUP($E939,'BASE DE DATOS'!$A:$I,3,0),0)</f>
        <v>0</v>
      </c>
      <c r="L680" s="46">
        <f>IFERROR(VLOOKUP($E680,'BASE DE DATOS'!$A:$I,3,0),0)</f>
        <v>0</v>
      </c>
    </row>
    <row r="681" spans="4:12" x14ac:dyDescent="0.25">
      <c r="D681" s="46" t="str">
        <f>IFERROR(VLOOKUP($E681,'BASE DE DATOS'!$A:$I,2,0)," ")</f>
        <v xml:space="preserve"> </v>
      </c>
      <c r="F681" s="46">
        <f>IFERROR(VLOOKUP($E694,'BASE DE DATOS'!$A:$I,3,0),0)</f>
        <v>0</v>
      </c>
      <c r="G681" s="46">
        <f>IFERROR(VLOOKUP($E681,'BASE DE DATOS'!$A:$I,3,0),0)</f>
        <v>0</v>
      </c>
      <c r="H681" s="46">
        <f>IFERROR(VLOOKUP($E681,'BASE DE DATOS'!$A:$I,3,0),0)</f>
        <v>0</v>
      </c>
      <c r="I681" s="46">
        <f>IFERROR(VLOOKUP($E681,'BASE DE DATOS'!$A:$I,3,0),0)</f>
        <v>0</v>
      </c>
      <c r="J681" s="46">
        <f>IFERROR(VLOOKUP($E681,'BASE DE DATOS'!$A:$I,3,0),0)</f>
        <v>0</v>
      </c>
      <c r="K681" s="46">
        <f>IFERROR(VLOOKUP($E940,'BASE DE DATOS'!$A:$I,3,0),0)</f>
        <v>0</v>
      </c>
      <c r="L681" s="46">
        <f>IFERROR(VLOOKUP($E681,'BASE DE DATOS'!$A:$I,3,0),0)</f>
        <v>0</v>
      </c>
    </row>
    <row r="682" spans="4:12" x14ac:dyDescent="0.25">
      <c r="D682" s="46" t="str">
        <f>IFERROR(VLOOKUP($E682,'BASE DE DATOS'!$A:$I,2,0)," ")</f>
        <v xml:space="preserve"> </v>
      </c>
      <c r="F682" s="46">
        <f>IFERROR(VLOOKUP($E695,'BASE DE DATOS'!$A:$I,3,0),0)</f>
        <v>0</v>
      </c>
      <c r="G682" s="46">
        <f>IFERROR(VLOOKUP($E682,'BASE DE DATOS'!$A:$I,3,0),0)</f>
        <v>0</v>
      </c>
      <c r="H682" s="46">
        <f>IFERROR(VLOOKUP($E682,'BASE DE DATOS'!$A:$I,3,0),0)</f>
        <v>0</v>
      </c>
      <c r="I682" s="46">
        <f>IFERROR(VLOOKUP($E682,'BASE DE DATOS'!$A:$I,3,0),0)</f>
        <v>0</v>
      </c>
      <c r="J682" s="46">
        <f>IFERROR(VLOOKUP($E682,'BASE DE DATOS'!$A:$I,3,0),0)</f>
        <v>0</v>
      </c>
      <c r="K682" s="46">
        <f>IFERROR(VLOOKUP($E941,'BASE DE DATOS'!$A:$I,3,0),0)</f>
        <v>0</v>
      </c>
      <c r="L682" s="46">
        <f>IFERROR(VLOOKUP($E682,'BASE DE DATOS'!$A:$I,3,0),0)</f>
        <v>0</v>
      </c>
    </row>
    <row r="683" spans="4:12" x14ac:dyDescent="0.25">
      <c r="D683" s="46" t="str">
        <f>IFERROR(VLOOKUP($E683,'BASE DE DATOS'!$A:$I,2,0)," ")</f>
        <v xml:space="preserve"> </v>
      </c>
      <c r="F683" s="46">
        <f>IFERROR(VLOOKUP($E696,'BASE DE DATOS'!$A:$I,3,0),0)</f>
        <v>0</v>
      </c>
      <c r="G683" s="46">
        <f>IFERROR(VLOOKUP($E683,'BASE DE DATOS'!$A:$I,3,0),0)</f>
        <v>0</v>
      </c>
      <c r="H683" s="46">
        <f>IFERROR(VLOOKUP($E683,'BASE DE DATOS'!$A:$I,3,0),0)</f>
        <v>0</v>
      </c>
      <c r="I683" s="46">
        <f>IFERROR(VLOOKUP($E683,'BASE DE DATOS'!$A:$I,3,0),0)</f>
        <v>0</v>
      </c>
      <c r="J683" s="46">
        <f>IFERROR(VLOOKUP($E683,'BASE DE DATOS'!$A:$I,3,0),0)</f>
        <v>0</v>
      </c>
      <c r="K683" s="46">
        <f>IFERROR(VLOOKUP($E942,'BASE DE DATOS'!$A:$I,3,0),0)</f>
        <v>0</v>
      </c>
      <c r="L683" s="46">
        <f>IFERROR(VLOOKUP($E683,'BASE DE DATOS'!$A:$I,3,0),0)</f>
        <v>0</v>
      </c>
    </row>
    <row r="684" spans="4:12" x14ac:dyDescent="0.25">
      <c r="D684" s="46" t="str">
        <f>IFERROR(VLOOKUP($E684,'BASE DE DATOS'!$A:$I,2,0)," ")</f>
        <v xml:space="preserve"> </v>
      </c>
      <c r="F684" s="46">
        <f>IFERROR(VLOOKUP($E697,'BASE DE DATOS'!$A:$I,3,0),0)</f>
        <v>0</v>
      </c>
      <c r="G684" s="46">
        <f>IFERROR(VLOOKUP($E684,'BASE DE DATOS'!$A:$I,3,0),0)</f>
        <v>0</v>
      </c>
      <c r="H684" s="46">
        <f>IFERROR(VLOOKUP($E684,'BASE DE DATOS'!$A:$I,3,0),0)</f>
        <v>0</v>
      </c>
      <c r="I684" s="46">
        <f>IFERROR(VLOOKUP($E684,'BASE DE DATOS'!$A:$I,3,0),0)</f>
        <v>0</v>
      </c>
      <c r="J684" s="46">
        <f>IFERROR(VLOOKUP($E684,'BASE DE DATOS'!$A:$I,3,0),0)</f>
        <v>0</v>
      </c>
      <c r="K684" s="46">
        <f>IFERROR(VLOOKUP($E943,'BASE DE DATOS'!$A:$I,3,0),0)</f>
        <v>0</v>
      </c>
      <c r="L684" s="46">
        <f>IFERROR(VLOOKUP($E684,'BASE DE DATOS'!$A:$I,3,0),0)</f>
        <v>0</v>
      </c>
    </row>
    <row r="685" spans="4:12" x14ac:dyDescent="0.25">
      <c r="D685" s="46" t="str">
        <f>IFERROR(VLOOKUP($E685,'BASE DE DATOS'!$A:$I,2,0)," ")</f>
        <v xml:space="preserve"> </v>
      </c>
      <c r="F685" s="46">
        <f>IFERROR(VLOOKUP($E698,'BASE DE DATOS'!$A:$I,3,0),0)</f>
        <v>0</v>
      </c>
      <c r="G685" s="46">
        <f>IFERROR(VLOOKUP($E685,'BASE DE DATOS'!$A:$I,3,0),0)</f>
        <v>0</v>
      </c>
      <c r="H685" s="46">
        <f>IFERROR(VLOOKUP($E685,'BASE DE DATOS'!$A:$I,3,0),0)</f>
        <v>0</v>
      </c>
      <c r="I685" s="46">
        <f>IFERROR(VLOOKUP($E685,'BASE DE DATOS'!$A:$I,3,0),0)</f>
        <v>0</v>
      </c>
      <c r="J685" s="46">
        <f>IFERROR(VLOOKUP($E685,'BASE DE DATOS'!$A:$I,3,0),0)</f>
        <v>0</v>
      </c>
      <c r="K685" s="46">
        <f>IFERROR(VLOOKUP($E944,'BASE DE DATOS'!$A:$I,3,0),0)</f>
        <v>0</v>
      </c>
      <c r="L685" s="46">
        <f>IFERROR(VLOOKUP($E685,'BASE DE DATOS'!$A:$I,3,0),0)</f>
        <v>0</v>
      </c>
    </row>
    <row r="686" spans="4:12" x14ac:dyDescent="0.25">
      <c r="D686" s="46" t="str">
        <f>IFERROR(VLOOKUP($E686,'BASE DE DATOS'!$A:$I,2,0)," ")</f>
        <v xml:space="preserve"> </v>
      </c>
      <c r="F686" s="46">
        <f>IFERROR(VLOOKUP($E699,'BASE DE DATOS'!$A:$I,3,0),0)</f>
        <v>0</v>
      </c>
      <c r="G686" s="46">
        <f>IFERROR(VLOOKUP($E686,'BASE DE DATOS'!$A:$I,3,0),0)</f>
        <v>0</v>
      </c>
      <c r="H686" s="46">
        <f>IFERROR(VLOOKUP($E686,'BASE DE DATOS'!$A:$I,3,0),0)</f>
        <v>0</v>
      </c>
      <c r="I686" s="46">
        <f>IFERROR(VLOOKUP($E686,'BASE DE DATOS'!$A:$I,3,0),0)</f>
        <v>0</v>
      </c>
      <c r="J686" s="46">
        <f>IFERROR(VLOOKUP($E686,'BASE DE DATOS'!$A:$I,3,0),0)</f>
        <v>0</v>
      </c>
      <c r="K686" s="46">
        <f>IFERROR(VLOOKUP($E945,'BASE DE DATOS'!$A:$I,3,0),0)</f>
        <v>0</v>
      </c>
      <c r="L686" s="46">
        <f>IFERROR(VLOOKUP($E686,'BASE DE DATOS'!$A:$I,3,0),0)</f>
        <v>0</v>
      </c>
    </row>
    <row r="687" spans="4:12" x14ac:dyDescent="0.25">
      <c r="D687" s="46" t="str">
        <f>IFERROR(VLOOKUP($E687,'BASE DE DATOS'!$A:$I,2,0)," ")</f>
        <v xml:space="preserve"> </v>
      </c>
      <c r="F687" s="46">
        <f>IFERROR(VLOOKUP($E700,'BASE DE DATOS'!$A:$I,3,0),0)</f>
        <v>0</v>
      </c>
      <c r="G687" s="46">
        <f>IFERROR(VLOOKUP($E687,'BASE DE DATOS'!$A:$I,3,0),0)</f>
        <v>0</v>
      </c>
      <c r="H687" s="46">
        <f>IFERROR(VLOOKUP($E687,'BASE DE DATOS'!$A:$I,3,0),0)</f>
        <v>0</v>
      </c>
      <c r="I687" s="46">
        <f>IFERROR(VLOOKUP($E687,'BASE DE DATOS'!$A:$I,3,0),0)</f>
        <v>0</v>
      </c>
      <c r="J687" s="46">
        <f>IFERROR(VLOOKUP($E687,'BASE DE DATOS'!$A:$I,3,0),0)</f>
        <v>0</v>
      </c>
      <c r="K687" s="46">
        <f>IFERROR(VLOOKUP($E946,'BASE DE DATOS'!$A:$I,3,0),0)</f>
        <v>0</v>
      </c>
      <c r="L687" s="46">
        <f>IFERROR(VLOOKUP($E687,'BASE DE DATOS'!$A:$I,3,0),0)</f>
        <v>0</v>
      </c>
    </row>
    <row r="688" spans="4:12" x14ac:dyDescent="0.25">
      <c r="D688" s="46" t="str">
        <f>IFERROR(VLOOKUP($E688,'BASE DE DATOS'!$A:$I,2,0)," ")</f>
        <v xml:space="preserve"> </v>
      </c>
      <c r="F688" s="46">
        <f>IFERROR(VLOOKUP($E701,'BASE DE DATOS'!$A:$I,3,0),0)</f>
        <v>0</v>
      </c>
      <c r="G688" s="46">
        <f>IFERROR(VLOOKUP($E688,'BASE DE DATOS'!$A:$I,3,0),0)</f>
        <v>0</v>
      </c>
      <c r="H688" s="46">
        <f>IFERROR(VLOOKUP($E688,'BASE DE DATOS'!$A:$I,3,0),0)</f>
        <v>0</v>
      </c>
      <c r="I688" s="46">
        <f>IFERROR(VLOOKUP($E688,'BASE DE DATOS'!$A:$I,3,0),0)</f>
        <v>0</v>
      </c>
      <c r="J688" s="46">
        <f>IFERROR(VLOOKUP($E688,'BASE DE DATOS'!$A:$I,3,0),0)</f>
        <v>0</v>
      </c>
      <c r="K688" s="46">
        <f>IFERROR(VLOOKUP($E947,'BASE DE DATOS'!$A:$I,3,0),0)</f>
        <v>0</v>
      </c>
      <c r="L688" s="46">
        <f>IFERROR(VLOOKUP($E688,'BASE DE DATOS'!$A:$I,3,0),0)</f>
        <v>0</v>
      </c>
    </row>
    <row r="689" spans="4:12" x14ac:dyDescent="0.25">
      <c r="D689" s="46" t="str">
        <f>IFERROR(VLOOKUP($E689,'BASE DE DATOS'!$A:$I,2,0)," ")</f>
        <v xml:space="preserve"> </v>
      </c>
      <c r="F689" s="46">
        <f>IFERROR(VLOOKUP($E702,'BASE DE DATOS'!$A:$I,3,0),0)</f>
        <v>0</v>
      </c>
      <c r="G689" s="46">
        <f>IFERROR(VLOOKUP($E689,'BASE DE DATOS'!$A:$I,3,0),0)</f>
        <v>0</v>
      </c>
      <c r="H689" s="46">
        <f>IFERROR(VLOOKUP($E689,'BASE DE DATOS'!$A:$I,3,0),0)</f>
        <v>0</v>
      </c>
      <c r="I689" s="46">
        <f>IFERROR(VLOOKUP($E689,'BASE DE DATOS'!$A:$I,3,0),0)</f>
        <v>0</v>
      </c>
      <c r="J689" s="46">
        <f>IFERROR(VLOOKUP($E689,'BASE DE DATOS'!$A:$I,3,0),0)</f>
        <v>0</v>
      </c>
      <c r="K689" s="46">
        <f>IFERROR(VLOOKUP($E948,'BASE DE DATOS'!$A:$I,3,0),0)</f>
        <v>0</v>
      </c>
      <c r="L689" s="46">
        <f>IFERROR(VLOOKUP($E689,'BASE DE DATOS'!$A:$I,3,0),0)</f>
        <v>0</v>
      </c>
    </row>
    <row r="690" spans="4:12" x14ac:dyDescent="0.25">
      <c r="D690" s="46" t="str">
        <f>IFERROR(VLOOKUP($E690,'BASE DE DATOS'!$A:$I,2,0)," ")</f>
        <v xml:space="preserve"> </v>
      </c>
      <c r="F690" s="46">
        <f>IFERROR(VLOOKUP($E703,'BASE DE DATOS'!$A:$I,3,0),0)</f>
        <v>0</v>
      </c>
      <c r="G690" s="46">
        <f>IFERROR(VLOOKUP($E690,'BASE DE DATOS'!$A:$I,3,0),0)</f>
        <v>0</v>
      </c>
      <c r="H690" s="46">
        <f>IFERROR(VLOOKUP($E690,'BASE DE DATOS'!$A:$I,3,0),0)</f>
        <v>0</v>
      </c>
      <c r="I690" s="46">
        <f>IFERROR(VLOOKUP($E690,'BASE DE DATOS'!$A:$I,3,0),0)</f>
        <v>0</v>
      </c>
      <c r="J690" s="46">
        <f>IFERROR(VLOOKUP($E690,'BASE DE DATOS'!$A:$I,3,0),0)</f>
        <v>0</v>
      </c>
      <c r="K690" s="46">
        <f>IFERROR(VLOOKUP($E949,'BASE DE DATOS'!$A:$I,3,0),0)</f>
        <v>0</v>
      </c>
      <c r="L690" s="46">
        <f>IFERROR(VLOOKUP($E690,'BASE DE DATOS'!$A:$I,3,0),0)</f>
        <v>0</v>
      </c>
    </row>
    <row r="691" spans="4:12" x14ac:dyDescent="0.25">
      <c r="D691" s="46" t="str">
        <f>IFERROR(VLOOKUP($E691,'BASE DE DATOS'!$A:$I,2,0)," ")</f>
        <v xml:space="preserve"> </v>
      </c>
      <c r="F691" s="46">
        <f>IFERROR(VLOOKUP($E704,'BASE DE DATOS'!$A:$I,3,0),0)</f>
        <v>0</v>
      </c>
      <c r="G691" s="46">
        <f>IFERROR(VLOOKUP($E691,'BASE DE DATOS'!$A:$I,3,0),0)</f>
        <v>0</v>
      </c>
      <c r="H691" s="46">
        <f>IFERROR(VLOOKUP($E691,'BASE DE DATOS'!$A:$I,3,0),0)</f>
        <v>0</v>
      </c>
      <c r="I691" s="46">
        <f>IFERROR(VLOOKUP($E691,'BASE DE DATOS'!$A:$I,3,0),0)</f>
        <v>0</v>
      </c>
      <c r="J691" s="46">
        <f>IFERROR(VLOOKUP($E691,'BASE DE DATOS'!$A:$I,3,0),0)</f>
        <v>0</v>
      </c>
      <c r="K691" s="46">
        <f>IFERROR(VLOOKUP($E950,'BASE DE DATOS'!$A:$I,3,0),0)</f>
        <v>0</v>
      </c>
      <c r="L691" s="46">
        <f>IFERROR(VLOOKUP($E691,'BASE DE DATOS'!$A:$I,3,0),0)</f>
        <v>0</v>
      </c>
    </row>
    <row r="692" spans="4:12" x14ac:dyDescent="0.25">
      <c r="D692" s="46" t="str">
        <f>IFERROR(VLOOKUP($E692,'BASE DE DATOS'!$A:$I,2,0)," ")</f>
        <v xml:space="preserve"> </v>
      </c>
      <c r="F692" s="46">
        <f>IFERROR(VLOOKUP($E705,'BASE DE DATOS'!$A:$I,3,0),0)</f>
        <v>0</v>
      </c>
      <c r="G692" s="46">
        <f>IFERROR(VLOOKUP($E692,'BASE DE DATOS'!$A:$I,3,0),0)</f>
        <v>0</v>
      </c>
      <c r="H692" s="46">
        <f>IFERROR(VLOOKUP($E692,'BASE DE DATOS'!$A:$I,3,0),0)</f>
        <v>0</v>
      </c>
      <c r="I692" s="46">
        <f>IFERROR(VLOOKUP($E692,'BASE DE DATOS'!$A:$I,3,0),0)</f>
        <v>0</v>
      </c>
      <c r="J692" s="46">
        <f>IFERROR(VLOOKUP($E692,'BASE DE DATOS'!$A:$I,3,0),0)</f>
        <v>0</v>
      </c>
      <c r="K692" s="46">
        <f>IFERROR(VLOOKUP($E951,'BASE DE DATOS'!$A:$I,3,0),0)</f>
        <v>0</v>
      </c>
      <c r="L692" s="46">
        <f>IFERROR(VLOOKUP($E692,'BASE DE DATOS'!$A:$I,3,0),0)</f>
        <v>0</v>
      </c>
    </row>
    <row r="693" spans="4:12" x14ac:dyDescent="0.25">
      <c r="D693" s="46" t="str">
        <f>IFERROR(VLOOKUP($E693,'BASE DE DATOS'!$A:$I,2,0)," ")</f>
        <v xml:space="preserve"> </v>
      </c>
      <c r="F693" s="46">
        <f>IFERROR(VLOOKUP($E706,'BASE DE DATOS'!$A:$I,3,0),0)</f>
        <v>0</v>
      </c>
      <c r="G693" s="46">
        <f>IFERROR(VLOOKUP($E693,'BASE DE DATOS'!$A:$I,3,0),0)</f>
        <v>0</v>
      </c>
      <c r="H693" s="46">
        <f>IFERROR(VLOOKUP($E693,'BASE DE DATOS'!$A:$I,3,0),0)</f>
        <v>0</v>
      </c>
      <c r="I693" s="46">
        <f>IFERROR(VLOOKUP($E693,'BASE DE DATOS'!$A:$I,3,0),0)</f>
        <v>0</v>
      </c>
      <c r="J693" s="46">
        <f>IFERROR(VLOOKUP($E693,'BASE DE DATOS'!$A:$I,3,0),0)</f>
        <v>0</v>
      </c>
      <c r="K693" s="46">
        <f>IFERROR(VLOOKUP($E952,'BASE DE DATOS'!$A:$I,3,0),0)</f>
        <v>0</v>
      </c>
      <c r="L693" s="46">
        <f>IFERROR(VLOOKUP($E693,'BASE DE DATOS'!$A:$I,3,0),0)</f>
        <v>0</v>
      </c>
    </row>
    <row r="694" spans="4:12" x14ac:dyDescent="0.25">
      <c r="D694" s="46" t="str">
        <f>IFERROR(VLOOKUP($E694,'BASE DE DATOS'!$A:$I,2,0)," ")</f>
        <v xml:space="preserve"> </v>
      </c>
      <c r="F694" s="46">
        <f>IFERROR(VLOOKUP($E707,'BASE DE DATOS'!$A:$I,3,0),0)</f>
        <v>0</v>
      </c>
      <c r="G694" s="46">
        <f>IFERROR(VLOOKUP($E694,'BASE DE DATOS'!$A:$I,3,0),0)</f>
        <v>0</v>
      </c>
      <c r="H694" s="46">
        <f>IFERROR(VLOOKUP($E694,'BASE DE DATOS'!$A:$I,3,0),0)</f>
        <v>0</v>
      </c>
      <c r="I694" s="46">
        <f>IFERROR(VLOOKUP($E694,'BASE DE DATOS'!$A:$I,3,0),0)</f>
        <v>0</v>
      </c>
      <c r="J694" s="46">
        <f>IFERROR(VLOOKUP($E694,'BASE DE DATOS'!$A:$I,3,0),0)</f>
        <v>0</v>
      </c>
      <c r="K694" s="46">
        <f>IFERROR(VLOOKUP($E953,'BASE DE DATOS'!$A:$I,3,0),0)</f>
        <v>0</v>
      </c>
      <c r="L694" s="46">
        <f>IFERROR(VLOOKUP($E694,'BASE DE DATOS'!$A:$I,3,0),0)</f>
        <v>0</v>
      </c>
    </row>
    <row r="695" spans="4:12" x14ac:dyDescent="0.25">
      <c r="D695" s="46" t="str">
        <f>IFERROR(VLOOKUP($E695,'BASE DE DATOS'!$A:$I,2,0)," ")</f>
        <v xml:space="preserve"> </v>
      </c>
      <c r="F695" s="46">
        <f>IFERROR(VLOOKUP($E708,'BASE DE DATOS'!$A:$I,3,0),0)</f>
        <v>0</v>
      </c>
      <c r="G695" s="46">
        <f>IFERROR(VLOOKUP($E695,'BASE DE DATOS'!$A:$I,3,0),0)</f>
        <v>0</v>
      </c>
      <c r="H695" s="46">
        <f>IFERROR(VLOOKUP($E695,'BASE DE DATOS'!$A:$I,3,0),0)</f>
        <v>0</v>
      </c>
      <c r="I695" s="46">
        <f>IFERROR(VLOOKUP($E695,'BASE DE DATOS'!$A:$I,3,0),0)</f>
        <v>0</v>
      </c>
      <c r="J695" s="46">
        <f>IFERROR(VLOOKUP($E695,'BASE DE DATOS'!$A:$I,3,0),0)</f>
        <v>0</v>
      </c>
      <c r="K695" s="46">
        <f>IFERROR(VLOOKUP($E954,'BASE DE DATOS'!$A:$I,3,0),0)</f>
        <v>0</v>
      </c>
      <c r="L695" s="46">
        <f>IFERROR(VLOOKUP($E695,'BASE DE DATOS'!$A:$I,3,0),0)</f>
        <v>0</v>
      </c>
    </row>
    <row r="696" spans="4:12" x14ac:dyDescent="0.25">
      <c r="D696" s="46" t="str">
        <f>IFERROR(VLOOKUP($E696,'BASE DE DATOS'!$A:$I,2,0)," ")</f>
        <v xml:space="preserve"> </v>
      </c>
      <c r="F696" s="46">
        <f>IFERROR(VLOOKUP($E709,'BASE DE DATOS'!$A:$I,3,0),0)</f>
        <v>0</v>
      </c>
      <c r="G696" s="46">
        <f>IFERROR(VLOOKUP($E696,'BASE DE DATOS'!$A:$I,3,0),0)</f>
        <v>0</v>
      </c>
      <c r="H696" s="46">
        <f>IFERROR(VLOOKUP($E696,'BASE DE DATOS'!$A:$I,3,0),0)</f>
        <v>0</v>
      </c>
      <c r="I696" s="46">
        <f>IFERROR(VLOOKUP($E696,'BASE DE DATOS'!$A:$I,3,0),0)</f>
        <v>0</v>
      </c>
      <c r="J696" s="46">
        <f>IFERROR(VLOOKUP($E696,'BASE DE DATOS'!$A:$I,3,0),0)</f>
        <v>0</v>
      </c>
      <c r="K696" s="46">
        <f>IFERROR(VLOOKUP($E955,'BASE DE DATOS'!$A:$I,3,0),0)</f>
        <v>0</v>
      </c>
      <c r="L696" s="46">
        <f>IFERROR(VLOOKUP($E696,'BASE DE DATOS'!$A:$I,3,0),0)</f>
        <v>0</v>
      </c>
    </row>
    <row r="697" spans="4:12" x14ac:dyDescent="0.25">
      <c r="D697" s="46" t="str">
        <f>IFERROR(VLOOKUP($E697,'BASE DE DATOS'!$A:$I,2,0)," ")</f>
        <v xml:space="preserve"> </v>
      </c>
      <c r="F697" s="46">
        <f>IFERROR(VLOOKUP($E710,'BASE DE DATOS'!$A:$I,3,0),0)</f>
        <v>0</v>
      </c>
      <c r="G697" s="46">
        <f>IFERROR(VLOOKUP($E697,'BASE DE DATOS'!$A:$I,3,0),0)</f>
        <v>0</v>
      </c>
      <c r="H697" s="46">
        <f>IFERROR(VLOOKUP($E697,'BASE DE DATOS'!$A:$I,3,0),0)</f>
        <v>0</v>
      </c>
      <c r="I697" s="46">
        <f>IFERROR(VLOOKUP($E697,'BASE DE DATOS'!$A:$I,3,0),0)</f>
        <v>0</v>
      </c>
      <c r="J697" s="46">
        <f>IFERROR(VLOOKUP($E697,'BASE DE DATOS'!$A:$I,3,0),0)</f>
        <v>0</v>
      </c>
      <c r="K697" s="46">
        <f>IFERROR(VLOOKUP($E956,'BASE DE DATOS'!$A:$I,3,0),0)</f>
        <v>0</v>
      </c>
      <c r="L697" s="46">
        <f>IFERROR(VLOOKUP($E697,'BASE DE DATOS'!$A:$I,3,0),0)</f>
        <v>0</v>
      </c>
    </row>
    <row r="698" spans="4:12" x14ac:dyDescent="0.25">
      <c r="D698" s="46" t="str">
        <f>IFERROR(VLOOKUP($E698,'BASE DE DATOS'!$A:$I,2,0)," ")</f>
        <v xml:space="preserve"> </v>
      </c>
      <c r="F698" s="46">
        <f>IFERROR(VLOOKUP($E711,'BASE DE DATOS'!$A:$I,3,0),0)</f>
        <v>0</v>
      </c>
      <c r="G698" s="46">
        <f>IFERROR(VLOOKUP($E698,'BASE DE DATOS'!$A:$I,3,0),0)</f>
        <v>0</v>
      </c>
      <c r="H698" s="46">
        <f>IFERROR(VLOOKUP($E698,'BASE DE DATOS'!$A:$I,3,0),0)</f>
        <v>0</v>
      </c>
      <c r="I698" s="46">
        <f>IFERROR(VLOOKUP($E698,'BASE DE DATOS'!$A:$I,3,0),0)</f>
        <v>0</v>
      </c>
      <c r="J698" s="46">
        <f>IFERROR(VLOOKUP($E698,'BASE DE DATOS'!$A:$I,3,0),0)</f>
        <v>0</v>
      </c>
      <c r="K698" s="46">
        <f>IFERROR(VLOOKUP($E957,'BASE DE DATOS'!$A:$I,3,0),0)</f>
        <v>0</v>
      </c>
      <c r="L698" s="46">
        <f>IFERROR(VLOOKUP($E698,'BASE DE DATOS'!$A:$I,3,0),0)</f>
        <v>0</v>
      </c>
    </row>
    <row r="699" spans="4:12" x14ac:dyDescent="0.25">
      <c r="D699" s="46" t="str">
        <f>IFERROR(VLOOKUP($E699,'BASE DE DATOS'!$A:$I,2,0)," ")</f>
        <v xml:space="preserve"> </v>
      </c>
      <c r="F699" s="46">
        <f>IFERROR(VLOOKUP($E712,'BASE DE DATOS'!$A:$I,3,0),0)</f>
        <v>0</v>
      </c>
      <c r="G699" s="46">
        <f>IFERROR(VLOOKUP($E699,'BASE DE DATOS'!$A:$I,3,0),0)</f>
        <v>0</v>
      </c>
      <c r="H699" s="46">
        <f>IFERROR(VLOOKUP($E699,'BASE DE DATOS'!$A:$I,3,0),0)</f>
        <v>0</v>
      </c>
      <c r="I699" s="46">
        <f>IFERROR(VLOOKUP($E699,'BASE DE DATOS'!$A:$I,3,0),0)</f>
        <v>0</v>
      </c>
      <c r="J699" s="46">
        <f>IFERROR(VLOOKUP($E699,'BASE DE DATOS'!$A:$I,3,0),0)</f>
        <v>0</v>
      </c>
      <c r="K699" s="46">
        <f>IFERROR(VLOOKUP($E958,'BASE DE DATOS'!$A:$I,3,0),0)</f>
        <v>0</v>
      </c>
      <c r="L699" s="46">
        <f>IFERROR(VLOOKUP($E699,'BASE DE DATOS'!$A:$I,3,0),0)</f>
        <v>0</v>
      </c>
    </row>
    <row r="700" spans="4:12" x14ac:dyDescent="0.25">
      <c r="D700" s="46" t="str">
        <f>IFERROR(VLOOKUP($E700,'BASE DE DATOS'!$A:$I,2,0)," ")</f>
        <v xml:space="preserve"> </v>
      </c>
      <c r="F700" s="46">
        <f>IFERROR(VLOOKUP($E713,'BASE DE DATOS'!$A:$I,3,0),0)</f>
        <v>0</v>
      </c>
      <c r="G700" s="46">
        <f>IFERROR(VLOOKUP($E700,'BASE DE DATOS'!$A:$I,3,0),0)</f>
        <v>0</v>
      </c>
      <c r="H700" s="46">
        <f>IFERROR(VLOOKUP($E700,'BASE DE DATOS'!$A:$I,3,0),0)</f>
        <v>0</v>
      </c>
      <c r="I700" s="46">
        <f>IFERROR(VLOOKUP($E700,'BASE DE DATOS'!$A:$I,3,0),0)</f>
        <v>0</v>
      </c>
      <c r="J700" s="46">
        <f>IFERROR(VLOOKUP($E700,'BASE DE DATOS'!$A:$I,3,0),0)</f>
        <v>0</v>
      </c>
      <c r="K700" s="46">
        <f>IFERROR(VLOOKUP($E959,'BASE DE DATOS'!$A:$I,3,0),0)</f>
        <v>0</v>
      </c>
      <c r="L700" s="46">
        <f>IFERROR(VLOOKUP($E700,'BASE DE DATOS'!$A:$I,3,0),0)</f>
        <v>0</v>
      </c>
    </row>
    <row r="701" spans="4:12" x14ac:dyDescent="0.25">
      <c r="D701" s="46" t="str">
        <f>IFERROR(VLOOKUP($E701,'BASE DE DATOS'!$A:$I,2,0)," ")</f>
        <v xml:space="preserve"> </v>
      </c>
      <c r="F701" s="46">
        <f>IFERROR(VLOOKUP($E714,'BASE DE DATOS'!$A:$I,3,0),0)</f>
        <v>0</v>
      </c>
      <c r="G701" s="46">
        <f>IFERROR(VLOOKUP($E701,'BASE DE DATOS'!$A:$I,3,0),0)</f>
        <v>0</v>
      </c>
      <c r="H701" s="46">
        <f>IFERROR(VLOOKUP($E701,'BASE DE DATOS'!$A:$I,3,0),0)</f>
        <v>0</v>
      </c>
      <c r="I701" s="46">
        <f>IFERROR(VLOOKUP($E701,'BASE DE DATOS'!$A:$I,3,0),0)</f>
        <v>0</v>
      </c>
      <c r="J701" s="46">
        <f>IFERROR(VLOOKUP($E701,'BASE DE DATOS'!$A:$I,3,0),0)</f>
        <v>0</v>
      </c>
      <c r="K701" s="46">
        <f>IFERROR(VLOOKUP($E960,'BASE DE DATOS'!$A:$I,3,0),0)</f>
        <v>0</v>
      </c>
      <c r="L701" s="46">
        <f>IFERROR(VLOOKUP($E701,'BASE DE DATOS'!$A:$I,3,0),0)</f>
        <v>0</v>
      </c>
    </row>
    <row r="702" spans="4:12" x14ac:dyDescent="0.25">
      <c r="D702" s="46" t="str">
        <f>IFERROR(VLOOKUP($E702,'BASE DE DATOS'!$A:$I,2,0)," ")</f>
        <v xml:space="preserve"> </v>
      </c>
      <c r="F702" s="46">
        <f>IFERROR(VLOOKUP($E715,'BASE DE DATOS'!$A:$I,3,0),0)</f>
        <v>0</v>
      </c>
      <c r="G702" s="46">
        <f>IFERROR(VLOOKUP($E702,'BASE DE DATOS'!$A:$I,3,0),0)</f>
        <v>0</v>
      </c>
      <c r="H702" s="46">
        <f>IFERROR(VLOOKUP($E702,'BASE DE DATOS'!$A:$I,3,0),0)</f>
        <v>0</v>
      </c>
      <c r="I702" s="46">
        <f>IFERROR(VLOOKUP($E702,'BASE DE DATOS'!$A:$I,3,0),0)</f>
        <v>0</v>
      </c>
      <c r="J702" s="46">
        <f>IFERROR(VLOOKUP($E702,'BASE DE DATOS'!$A:$I,3,0),0)</f>
        <v>0</v>
      </c>
      <c r="K702" s="46">
        <f>IFERROR(VLOOKUP($E961,'BASE DE DATOS'!$A:$I,3,0),0)</f>
        <v>0</v>
      </c>
      <c r="L702" s="46">
        <f>IFERROR(VLOOKUP($E702,'BASE DE DATOS'!$A:$I,3,0),0)</f>
        <v>0</v>
      </c>
    </row>
    <row r="703" spans="4:12" x14ac:dyDescent="0.25">
      <c r="D703" s="46" t="str">
        <f>IFERROR(VLOOKUP($E703,'BASE DE DATOS'!$A:$I,2,0)," ")</f>
        <v xml:space="preserve"> </v>
      </c>
      <c r="F703" s="46">
        <f>IFERROR(VLOOKUP($E716,'BASE DE DATOS'!$A:$I,3,0),0)</f>
        <v>0</v>
      </c>
      <c r="G703" s="46">
        <f>IFERROR(VLOOKUP($E703,'BASE DE DATOS'!$A:$I,3,0),0)</f>
        <v>0</v>
      </c>
      <c r="H703" s="46">
        <f>IFERROR(VLOOKUP($E703,'BASE DE DATOS'!$A:$I,3,0),0)</f>
        <v>0</v>
      </c>
      <c r="I703" s="46">
        <f>IFERROR(VLOOKUP($E703,'BASE DE DATOS'!$A:$I,3,0),0)</f>
        <v>0</v>
      </c>
      <c r="J703" s="46">
        <f>IFERROR(VLOOKUP($E703,'BASE DE DATOS'!$A:$I,3,0),0)</f>
        <v>0</v>
      </c>
      <c r="K703" s="46">
        <f>IFERROR(VLOOKUP($E962,'BASE DE DATOS'!$A:$I,3,0),0)</f>
        <v>0</v>
      </c>
      <c r="L703" s="46">
        <f>IFERROR(VLOOKUP($E703,'BASE DE DATOS'!$A:$I,3,0),0)</f>
        <v>0</v>
      </c>
    </row>
    <row r="704" spans="4:12" x14ac:dyDescent="0.25">
      <c r="D704" s="46" t="str">
        <f>IFERROR(VLOOKUP($E704,'BASE DE DATOS'!$A:$I,2,0)," ")</f>
        <v xml:space="preserve"> </v>
      </c>
      <c r="F704" s="46">
        <f>IFERROR(VLOOKUP($E717,'BASE DE DATOS'!$A:$I,3,0),0)</f>
        <v>0</v>
      </c>
      <c r="G704" s="46">
        <f>IFERROR(VLOOKUP($E704,'BASE DE DATOS'!$A:$I,3,0),0)</f>
        <v>0</v>
      </c>
      <c r="H704" s="46">
        <f>IFERROR(VLOOKUP($E704,'BASE DE DATOS'!$A:$I,3,0),0)</f>
        <v>0</v>
      </c>
      <c r="I704" s="46">
        <f>IFERROR(VLOOKUP($E704,'BASE DE DATOS'!$A:$I,3,0),0)</f>
        <v>0</v>
      </c>
      <c r="J704" s="46">
        <f>IFERROR(VLOOKUP($E704,'BASE DE DATOS'!$A:$I,3,0),0)</f>
        <v>0</v>
      </c>
      <c r="K704" s="46">
        <f>IFERROR(VLOOKUP($E963,'BASE DE DATOS'!$A:$I,3,0),0)</f>
        <v>0</v>
      </c>
      <c r="L704" s="46">
        <f>IFERROR(VLOOKUP($E704,'BASE DE DATOS'!$A:$I,3,0),0)</f>
        <v>0</v>
      </c>
    </row>
    <row r="705" spans="4:12" x14ac:dyDescent="0.25">
      <c r="D705" s="46" t="str">
        <f>IFERROR(VLOOKUP($E705,'BASE DE DATOS'!$A:$I,2,0)," ")</f>
        <v xml:space="preserve"> </v>
      </c>
      <c r="F705" s="46">
        <f>IFERROR(VLOOKUP($E718,'BASE DE DATOS'!$A:$I,3,0),0)</f>
        <v>0</v>
      </c>
      <c r="G705" s="46">
        <f>IFERROR(VLOOKUP($E705,'BASE DE DATOS'!$A:$I,3,0),0)</f>
        <v>0</v>
      </c>
      <c r="H705" s="46">
        <f>IFERROR(VLOOKUP($E705,'BASE DE DATOS'!$A:$I,3,0),0)</f>
        <v>0</v>
      </c>
      <c r="I705" s="46">
        <f>IFERROR(VLOOKUP($E705,'BASE DE DATOS'!$A:$I,3,0),0)</f>
        <v>0</v>
      </c>
      <c r="J705" s="46">
        <f>IFERROR(VLOOKUP($E705,'BASE DE DATOS'!$A:$I,3,0),0)</f>
        <v>0</v>
      </c>
      <c r="K705" s="46">
        <f>IFERROR(VLOOKUP($E964,'BASE DE DATOS'!$A:$I,3,0),0)</f>
        <v>0</v>
      </c>
      <c r="L705" s="46">
        <f>IFERROR(VLOOKUP($E705,'BASE DE DATOS'!$A:$I,3,0),0)</f>
        <v>0</v>
      </c>
    </row>
    <row r="706" spans="4:12" x14ac:dyDescent="0.25">
      <c r="D706" s="46" t="str">
        <f>IFERROR(VLOOKUP($E706,'BASE DE DATOS'!$A:$I,2,0)," ")</f>
        <v xml:space="preserve"> </v>
      </c>
      <c r="F706" s="46">
        <f>IFERROR(VLOOKUP($E719,'BASE DE DATOS'!$A:$I,3,0),0)</f>
        <v>0</v>
      </c>
      <c r="G706" s="46">
        <f>IFERROR(VLOOKUP($E706,'BASE DE DATOS'!$A:$I,3,0),0)</f>
        <v>0</v>
      </c>
      <c r="H706" s="46">
        <f>IFERROR(VLOOKUP($E706,'BASE DE DATOS'!$A:$I,3,0),0)</f>
        <v>0</v>
      </c>
      <c r="I706" s="46">
        <f>IFERROR(VLOOKUP($E706,'BASE DE DATOS'!$A:$I,3,0),0)</f>
        <v>0</v>
      </c>
      <c r="J706" s="46">
        <f>IFERROR(VLOOKUP($E706,'BASE DE DATOS'!$A:$I,3,0),0)</f>
        <v>0</v>
      </c>
      <c r="K706" s="46">
        <f>IFERROR(VLOOKUP($E965,'BASE DE DATOS'!$A:$I,3,0),0)</f>
        <v>0</v>
      </c>
      <c r="L706" s="46">
        <f>IFERROR(VLOOKUP($E706,'BASE DE DATOS'!$A:$I,3,0),0)</f>
        <v>0</v>
      </c>
    </row>
    <row r="707" spans="4:12" x14ac:dyDescent="0.25">
      <c r="D707" s="46" t="str">
        <f>IFERROR(VLOOKUP($E707,'BASE DE DATOS'!$A:$I,2,0)," ")</f>
        <v xml:space="preserve"> </v>
      </c>
      <c r="F707" s="46">
        <f>IFERROR(VLOOKUP($E720,'BASE DE DATOS'!$A:$I,3,0),0)</f>
        <v>0</v>
      </c>
      <c r="G707" s="46">
        <f>IFERROR(VLOOKUP($E707,'BASE DE DATOS'!$A:$I,3,0),0)</f>
        <v>0</v>
      </c>
      <c r="H707" s="46">
        <f>IFERROR(VLOOKUP($E707,'BASE DE DATOS'!$A:$I,3,0),0)</f>
        <v>0</v>
      </c>
      <c r="I707" s="46">
        <f>IFERROR(VLOOKUP($E707,'BASE DE DATOS'!$A:$I,3,0),0)</f>
        <v>0</v>
      </c>
      <c r="J707" s="46">
        <f>IFERROR(VLOOKUP($E707,'BASE DE DATOS'!$A:$I,3,0),0)</f>
        <v>0</v>
      </c>
      <c r="K707" s="46">
        <f>IFERROR(VLOOKUP($E966,'BASE DE DATOS'!$A:$I,3,0),0)</f>
        <v>0</v>
      </c>
      <c r="L707" s="46">
        <f>IFERROR(VLOOKUP($E707,'BASE DE DATOS'!$A:$I,3,0),0)</f>
        <v>0</v>
      </c>
    </row>
    <row r="708" spans="4:12" x14ac:dyDescent="0.25">
      <c r="D708" s="46" t="str">
        <f>IFERROR(VLOOKUP($E708,'BASE DE DATOS'!$A:$I,2,0)," ")</f>
        <v xml:space="preserve"> </v>
      </c>
      <c r="F708" s="46">
        <f>IFERROR(VLOOKUP($E721,'BASE DE DATOS'!$A:$I,3,0),0)</f>
        <v>0</v>
      </c>
      <c r="G708" s="46">
        <f>IFERROR(VLOOKUP($E708,'BASE DE DATOS'!$A:$I,3,0),0)</f>
        <v>0</v>
      </c>
      <c r="H708" s="46">
        <f>IFERROR(VLOOKUP($E708,'BASE DE DATOS'!$A:$I,3,0),0)</f>
        <v>0</v>
      </c>
      <c r="I708" s="46">
        <f>IFERROR(VLOOKUP($E708,'BASE DE DATOS'!$A:$I,3,0),0)</f>
        <v>0</v>
      </c>
      <c r="J708" s="46">
        <f>IFERROR(VLOOKUP($E708,'BASE DE DATOS'!$A:$I,3,0),0)</f>
        <v>0</v>
      </c>
      <c r="K708" s="46">
        <f>IFERROR(VLOOKUP($E967,'BASE DE DATOS'!$A:$I,3,0),0)</f>
        <v>0</v>
      </c>
      <c r="L708" s="46">
        <f>IFERROR(VLOOKUP($E708,'BASE DE DATOS'!$A:$I,3,0),0)</f>
        <v>0</v>
      </c>
    </row>
    <row r="709" spans="4:12" x14ac:dyDescent="0.25">
      <c r="D709" s="46" t="str">
        <f>IFERROR(VLOOKUP($E709,'BASE DE DATOS'!$A:$I,2,0)," ")</f>
        <v xml:space="preserve"> </v>
      </c>
      <c r="F709" s="46">
        <f>IFERROR(VLOOKUP($E722,'BASE DE DATOS'!$A:$I,3,0),0)</f>
        <v>0</v>
      </c>
      <c r="G709" s="46">
        <f>IFERROR(VLOOKUP($E709,'BASE DE DATOS'!$A:$I,3,0),0)</f>
        <v>0</v>
      </c>
      <c r="H709" s="46">
        <f>IFERROR(VLOOKUP($E709,'BASE DE DATOS'!$A:$I,3,0),0)</f>
        <v>0</v>
      </c>
      <c r="I709" s="46">
        <f>IFERROR(VLOOKUP($E709,'BASE DE DATOS'!$A:$I,3,0),0)</f>
        <v>0</v>
      </c>
      <c r="J709" s="46">
        <f>IFERROR(VLOOKUP($E709,'BASE DE DATOS'!$A:$I,3,0),0)</f>
        <v>0</v>
      </c>
      <c r="K709" s="46">
        <f>IFERROR(VLOOKUP($E968,'BASE DE DATOS'!$A:$I,3,0),0)</f>
        <v>0</v>
      </c>
      <c r="L709" s="46">
        <f>IFERROR(VLOOKUP($E709,'BASE DE DATOS'!$A:$I,3,0),0)</f>
        <v>0</v>
      </c>
    </row>
    <row r="710" spans="4:12" x14ac:dyDescent="0.25">
      <c r="D710" s="46" t="str">
        <f>IFERROR(VLOOKUP($E710,'BASE DE DATOS'!$A:$I,2,0)," ")</f>
        <v xml:space="preserve"> </v>
      </c>
      <c r="F710" s="46">
        <f>IFERROR(VLOOKUP($E723,'BASE DE DATOS'!$A:$I,3,0),0)</f>
        <v>0</v>
      </c>
      <c r="G710" s="46">
        <f>IFERROR(VLOOKUP($E710,'BASE DE DATOS'!$A:$I,3,0),0)</f>
        <v>0</v>
      </c>
      <c r="H710" s="46">
        <f>IFERROR(VLOOKUP($E710,'BASE DE DATOS'!$A:$I,3,0),0)</f>
        <v>0</v>
      </c>
      <c r="I710" s="46">
        <f>IFERROR(VLOOKUP($E710,'BASE DE DATOS'!$A:$I,3,0),0)</f>
        <v>0</v>
      </c>
      <c r="J710" s="46">
        <f>IFERROR(VLOOKUP($E710,'BASE DE DATOS'!$A:$I,3,0),0)</f>
        <v>0</v>
      </c>
      <c r="K710" s="46">
        <f>IFERROR(VLOOKUP($E969,'BASE DE DATOS'!$A:$I,3,0),0)</f>
        <v>0</v>
      </c>
      <c r="L710" s="46">
        <f>IFERROR(VLOOKUP($E710,'BASE DE DATOS'!$A:$I,3,0),0)</f>
        <v>0</v>
      </c>
    </row>
    <row r="711" spans="4:12" x14ac:dyDescent="0.25">
      <c r="D711" s="46" t="str">
        <f>IFERROR(VLOOKUP($E711,'BASE DE DATOS'!$A:$I,2,0)," ")</f>
        <v xml:space="preserve"> </v>
      </c>
      <c r="F711" s="46">
        <f>IFERROR(VLOOKUP($E724,'BASE DE DATOS'!$A:$I,3,0),0)</f>
        <v>0</v>
      </c>
      <c r="G711" s="46">
        <f>IFERROR(VLOOKUP($E711,'BASE DE DATOS'!$A:$I,3,0),0)</f>
        <v>0</v>
      </c>
      <c r="H711" s="46">
        <f>IFERROR(VLOOKUP($E711,'BASE DE DATOS'!$A:$I,3,0),0)</f>
        <v>0</v>
      </c>
      <c r="I711" s="46">
        <f>IFERROR(VLOOKUP($E711,'BASE DE DATOS'!$A:$I,3,0),0)</f>
        <v>0</v>
      </c>
      <c r="J711" s="46">
        <f>IFERROR(VLOOKUP($E711,'BASE DE DATOS'!$A:$I,3,0),0)</f>
        <v>0</v>
      </c>
      <c r="K711" s="46">
        <f>IFERROR(VLOOKUP($E970,'BASE DE DATOS'!$A:$I,3,0),0)</f>
        <v>0</v>
      </c>
      <c r="L711" s="46">
        <f>IFERROR(VLOOKUP($E711,'BASE DE DATOS'!$A:$I,3,0),0)</f>
        <v>0</v>
      </c>
    </row>
    <row r="712" spans="4:12" x14ac:dyDescent="0.25">
      <c r="D712" s="46" t="str">
        <f>IFERROR(VLOOKUP($E712,'BASE DE DATOS'!$A:$I,2,0)," ")</f>
        <v xml:space="preserve"> </v>
      </c>
      <c r="F712" s="46">
        <f>IFERROR(VLOOKUP($E725,'BASE DE DATOS'!$A:$I,3,0),0)</f>
        <v>0</v>
      </c>
      <c r="G712" s="46">
        <f>IFERROR(VLOOKUP($E712,'BASE DE DATOS'!$A:$I,3,0),0)</f>
        <v>0</v>
      </c>
      <c r="H712" s="46">
        <f>IFERROR(VLOOKUP($E712,'BASE DE DATOS'!$A:$I,3,0),0)</f>
        <v>0</v>
      </c>
      <c r="I712" s="46">
        <f>IFERROR(VLOOKUP($E712,'BASE DE DATOS'!$A:$I,3,0),0)</f>
        <v>0</v>
      </c>
      <c r="J712" s="46">
        <f>IFERROR(VLOOKUP($E712,'BASE DE DATOS'!$A:$I,3,0),0)</f>
        <v>0</v>
      </c>
      <c r="K712" s="46">
        <f>IFERROR(VLOOKUP($E971,'BASE DE DATOS'!$A:$I,3,0),0)</f>
        <v>0</v>
      </c>
      <c r="L712" s="46">
        <f>IFERROR(VLOOKUP($E712,'BASE DE DATOS'!$A:$I,3,0),0)</f>
        <v>0</v>
      </c>
    </row>
    <row r="713" spans="4:12" x14ac:dyDescent="0.25">
      <c r="D713" s="46" t="str">
        <f>IFERROR(VLOOKUP($E713,'BASE DE DATOS'!$A:$I,2,0)," ")</f>
        <v xml:space="preserve"> </v>
      </c>
      <c r="F713" s="46">
        <f>IFERROR(VLOOKUP($E726,'BASE DE DATOS'!$A:$I,3,0),0)</f>
        <v>0</v>
      </c>
      <c r="G713" s="46">
        <f>IFERROR(VLOOKUP($E713,'BASE DE DATOS'!$A:$I,3,0),0)</f>
        <v>0</v>
      </c>
      <c r="H713" s="46">
        <f>IFERROR(VLOOKUP($E713,'BASE DE DATOS'!$A:$I,3,0),0)</f>
        <v>0</v>
      </c>
      <c r="I713" s="46">
        <f>IFERROR(VLOOKUP($E713,'BASE DE DATOS'!$A:$I,3,0),0)</f>
        <v>0</v>
      </c>
      <c r="J713" s="46">
        <f>IFERROR(VLOOKUP($E713,'BASE DE DATOS'!$A:$I,3,0),0)</f>
        <v>0</v>
      </c>
      <c r="K713" s="46">
        <f>IFERROR(VLOOKUP($E972,'BASE DE DATOS'!$A:$I,3,0),0)</f>
        <v>0</v>
      </c>
      <c r="L713" s="46">
        <f>IFERROR(VLOOKUP($E713,'BASE DE DATOS'!$A:$I,3,0),0)</f>
        <v>0</v>
      </c>
    </row>
    <row r="714" spans="4:12" x14ac:dyDescent="0.25">
      <c r="D714" s="46" t="str">
        <f>IFERROR(VLOOKUP($E714,'BASE DE DATOS'!$A:$I,2,0)," ")</f>
        <v xml:space="preserve"> </v>
      </c>
      <c r="F714" s="46">
        <f>IFERROR(VLOOKUP($E727,'BASE DE DATOS'!$A:$I,3,0),0)</f>
        <v>0</v>
      </c>
      <c r="G714" s="46">
        <f>IFERROR(VLOOKUP($E714,'BASE DE DATOS'!$A:$I,3,0),0)</f>
        <v>0</v>
      </c>
      <c r="H714" s="46">
        <f>IFERROR(VLOOKUP($E714,'BASE DE DATOS'!$A:$I,3,0),0)</f>
        <v>0</v>
      </c>
      <c r="I714" s="46">
        <f>IFERROR(VLOOKUP($E714,'BASE DE DATOS'!$A:$I,3,0),0)</f>
        <v>0</v>
      </c>
      <c r="J714" s="46">
        <f>IFERROR(VLOOKUP($E714,'BASE DE DATOS'!$A:$I,3,0),0)</f>
        <v>0</v>
      </c>
      <c r="K714" s="46">
        <f>IFERROR(VLOOKUP($E973,'BASE DE DATOS'!$A:$I,3,0),0)</f>
        <v>0</v>
      </c>
      <c r="L714" s="46">
        <f>IFERROR(VLOOKUP($E714,'BASE DE DATOS'!$A:$I,3,0),0)</f>
        <v>0</v>
      </c>
    </row>
    <row r="715" spans="4:12" x14ac:dyDescent="0.25">
      <c r="D715" s="46" t="str">
        <f>IFERROR(VLOOKUP($E715,'BASE DE DATOS'!$A:$I,2,0)," ")</f>
        <v xml:space="preserve"> </v>
      </c>
      <c r="F715" s="46">
        <f>IFERROR(VLOOKUP($E728,'BASE DE DATOS'!$A:$I,3,0),0)</f>
        <v>0</v>
      </c>
      <c r="G715" s="46">
        <f>IFERROR(VLOOKUP($E715,'BASE DE DATOS'!$A:$I,3,0),0)</f>
        <v>0</v>
      </c>
      <c r="H715" s="46">
        <f>IFERROR(VLOOKUP($E715,'BASE DE DATOS'!$A:$I,3,0),0)</f>
        <v>0</v>
      </c>
      <c r="I715" s="46">
        <f>IFERROR(VLOOKUP($E715,'BASE DE DATOS'!$A:$I,3,0),0)</f>
        <v>0</v>
      </c>
      <c r="J715" s="46">
        <f>IFERROR(VLOOKUP($E715,'BASE DE DATOS'!$A:$I,3,0),0)</f>
        <v>0</v>
      </c>
      <c r="K715" s="46">
        <f>IFERROR(VLOOKUP($E974,'BASE DE DATOS'!$A:$I,3,0),0)</f>
        <v>0</v>
      </c>
      <c r="L715" s="46">
        <f>IFERROR(VLOOKUP($E715,'BASE DE DATOS'!$A:$I,3,0),0)</f>
        <v>0</v>
      </c>
    </row>
    <row r="716" spans="4:12" x14ac:dyDescent="0.25">
      <c r="D716" s="46" t="str">
        <f>IFERROR(VLOOKUP($E716,'BASE DE DATOS'!$A:$I,2,0)," ")</f>
        <v xml:space="preserve"> </v>
      </c>
      <c r="F716" s="46">
        <f>IFERROR(VLOOKUP($E729,'BASE DE DATOS'!$A:$I,3,0),0)</f>
        <v>0</v>
      </c>
      <c r="G716" s="46">
        <f>IFERROR(VLOOKUP($E716,'BASE DE DATOS'!$A:$I,3,0),0)</f>
        <v>0</v>
      </c>
      <c r="H716" s="46">
        <f>IFERROR(VLOOKUP($E716,'BASE DE DATOS'!$A:$I,3,0),0)</f>
        <v>0</v>
      </c>
      <c r="I716" s="46">
        <f>IFERROR(VLOOKUP($E716,'BASE DE DATOS'!$A:$I,3,0),0)</f>
        <v>0</v>
      </c>
      <c r="J716" s="46">
        <f>IFERROR(VLOOKUP($E716,'BASE DE DATOS'!$A:$I,3,0),0)</f>
        <v>0</v>
      </c>
      <c r="K716" s="46">
        <f>IFERROR(VLOOKUP($E975,'BASE DE DATOS'!$A:$I,3,0),0)</f>
        <v>0</v>
      </c>
      <c r="L716" s="46">
        <f>IFERROR(VLOOKUP($E716,'BASE DE DATOS'!$A:$I,3,0),0)</f>
        <v>0</v>
      </c>
    </row>
    <row r="717" spans="4:12" x14ac:dyDescent="0.25">
      <c r="D717" s="46" t="str">
        <f>IFERROR(VLOOKUP($E717,'BASE DE DATOS'!$A:$I,2,0)," ")</f>
        <v xml:space="preserve"> </v>
      </c>
      <c r="F717" s="46">
        <f>IFERROR(VLOOKUP($E730,'BASE DE DATOS'!$A:$I,3,0),0)</f>
        <v>0</v>
      </c>
      <c r="G717" s="46">
        <f>IFERROR(VLOOKUP($E717,'BASE DE DATOS'!$A:$I,3,0),0)</f>
        <v>0</v>
      </c>
      <c r="H717" s="46">
        <f>IFERROR(VLOOKUP($E717,'BASE DE DATOS'!$A:$I,3,0),0)</f>
        <v>0</v>
      </c>
      <c r="I717" s="46">
        <f>IFERROR(VLOOKUP($E717,'BASE DE DATOS'!$A:$I,3,0),0)</f>
        <v>0</v>
      </c>
      <c r="J717" s="46">
        <f>IFERROR(VLOOKUP($E717,'BASE DE DATOS'!$A:$I,3,0),0)</f>
        <v>0</v>
      </c>
      <c r="K717" s="46">
        <f>IFERROR(VLOOKUP($E976,'BASE DE DATOS'!$A:$I,3,0),0)</f>
        <v>0</v>
      </c>
      <c r="L717" s="46">
        <f>IFERROR(VLOOKUP($E717,'BASE DE DATOS'!$A:$I,3,0),0)</f>
        <v>0</v>
      </c>
    </row>
    <row r="718" spans="4:12" x14ac:dyDescent="0.25">
      <c r="D718" s="46" t="str">
        <f>IFERROR(VLOOKUP($E718,'BASE DE DATOS'!$A:$I,2,0)," ")</f>
        <v xml:space="preserve"> </v>
      </c>
      <c r="F718" s="46">
        <f>IFERROR(VLOOKUP($E731,'BASE DE DATOS'!$A:$I,3,0),0)</f>
        <v>0</v>
      </c>
      <c r="G718" s="46">
        <f>IFERROR(VLOOKUP($E718,'BASE DE DATOS'!$A:$I,3,0),0)</f>
        <v>0</v>
      </c>
      <c r="H718" s="46">
        <f>IFERROR(VLOOKUP($E718,'BASE DE DATOS'!$A:$I,3,0),0)</f>
        <v>0</v>
      </c>
      <c r="I718" s="46">
        <f>IFERROR(VLOOKUP($E718,'BASE DE DATOS'!$A:$I,3,0),0)</f>
        <v>0</v>
      </c>
      <c r="J718" s="46">
        <f>IFERROR(VLOOKUP($E718,'BASE DE DATOS'!$A:$I,3,0),0)</f>
        <v>0</v>
      </c>
      <c r="K718" s="46">
        <f>IFERROR(VLOOKUP($E977,'BASE DE DATOS'!$A:$I,3,0),0)</f>
        <v>0</v>
      </c>
      <c r="L718" s="46">
        <f>IFERROR(VLOOKUP($E718,'BASE DE DATOS'!$A:$I,3,0),0)</f>
        <v>0</v>
      </c>
    </row>
    <row r="719" spans="4:12" x14ac:dyDescent="0.25">
      <c r="D719" s="46" t="str">
        <f>IFERROR(VLOOKUP($E719,'BASE DE DATOS'!$A:$I,2,0)," ")</f>
        <v xml:space="preserve"> </v>
      </c>
      <c r="F719" s="46">
        <f>IFERROR(VLOOKUP($E732,'BASE DE DATOS'!$A:$I,3,0),0)</f>
        <v>0</v>
      </c>
      <c r="G719" s="46">
        <f>IFERROR(VLOOKUP($E719,'BASE DE DATOS'!$A:$I,3,0),0)</f>
        <v>0</v>
      </c>
      <c r="H719" s="46">
        <f>IFERROR(VLOOKUP($E719,'BASE DE DATOS'!$A:$I,3,0),0)</f>
        <v>0</v>
      </c>
      <c r="I719" s="46">
        <f>IFERROR(VLOOKUP($E719,'BASE DE DATOS'!$A:$I,3,0),0)</f>
        <v>0</v>
      </c>
      <c r="J719" s="46">
        <f>IFERROR(VLOOKUP($E719,'BASE DE DATOS'!$A:$I,3,0),0)</f>
        <v>0</v>
      </c>
      <c r="K719" s="46">
        <f>IFERROR(VLOOKUP($E978,'BASE DE DATOS'!$A:$I,3,0),0)</f>
        <v>0</v>
      </c>
      <c r="L719" s="46">
        <f>IFERROR(VLOOKUP($E719,'BASE DE DATOS'!$A:$I,3,0),0)</f>
        <v>0</v>
      </c>
    </row>
    <row r="720" spans="4:12" x14ac:dyDescent="0.25">
      <c r="D720" s="46" t="str">
        <f>IFERROR(VLOOKUP($E720,'BASE DE DATOS'!$A:$I,2,0)," ")</f>
        <v xml:space="preserve"> </v>
      </c>
      <c r="F720" s="46">
        <f>IFERROR(VLOOKUP($E733,'BASE DE DATOS'!$A:$I,3,0),0)</f>
        <v>0</v>
      </c>
      <c r="G720" s="46">
        <f>IFERROR(VLOOKUP($E720,'BASE DE DATOS'!$A:$I,3,0),0)</f>
        <v>0</v>
      </c>
      <c r="H720" s="46">
        <f>IFERROR(VLOOKUP($E720,'BASE DE DATOS'!$A:$I,3,0),0)</f>
        <v>0</v>
      </c>
      <c r="I720" s="46">
        <f>IFERROR(VLOOKUP($E720,'BASE DE DATOS'!$A:$I,3,0),0)</f>
        <v>0</v>
      </c>
      <c r="J720" s="46">
        <f>IFERROR(VLOOKUP($E720,'BASE DE DATOS'!$A:$I,3,0),0)</f>
        <v>0</v>
      </c>
      <c r="K720" s="46">
        <f>IFERROR(VLOOKUP($E979,'BASE DE DATOS'!$A:$I,3,0),0)</f>
        <v>0</v>
      </c>
      <c r="L720" s="46">
        <f>IFERROR(VLOOKUP($E720,'BASE DE DATOS'!$A:$I,3,0),0)</f>
        <v>0</v>
      </c>
    </row>
    <row r="721" spans="4:12" x14ac:dyDescent="0.25">
      <c r="D721" s="46" t="str">
        <f>IFERROR(VLOOKUP($E721,'BASE DE DATOS'!$A:$I,2,0)," ")</f>
        <v xml:space="preserve"> </v>
      </c>
      <c r="F721" s="46">
        <f>IFERROR(VLOOKUP($E734,'BASE DE DATOS'!$A:$I,3,0),0)</f>
        <v>0</v>
      </c>
      <c r="G721" s="46">
        <f>IFERROR(VLOOKUP($E721,'BASE DE DATOS'!$A:$I,3,0),0)</f>
        <v>0</v>
      </c>
      <c r="H721" s="46">
        <f>IFERROR(VLOOKUP($E721,'BASE DE DATOS'!$A:$I,3,0),0)</f>
        <v>0</v>
      </c>
      <c r="I721" s="46">
        <f>IFERROR(VLOOKUP($E721,'BASE DE DATOS'!$A:$I,3,0),0)</f>
        <v>0</v>
      </c>
      <c r="J721" s="46">
        <f>IFERROR(VLOOKUP($E721,'BASE DE DATOS'!$A:$I,3,0),0)</f>
        <v>0</v>
      </c>
      <c r="K721" s="46">
        <f>IFERROR(VLOOKUP($E980,'BASE DE DATOS'!$A:$I,3,0),0)</f>
        <v>0</v>
      </c>
      <c r="L721" s="46">
        <f>IFERROR(VLOOKUP($E721,'BASE DE DATOS'!$A:$I,3,0),0)</f>
        <v>0</v>
      </c>
    </row>
    <row r="722" spans="4:12" x14ac:dyDescent="0.25">
      <c r="D722" s="46" t="str">
        <f>IFERROR(VLOOKUP($E722,'BASE DE DATOS'!$A:$I,2,0)," ")</f>
        <v xml:space="preserve"> </v>
      </c>
      <c r="F722" s="46">
        <f>IFERROR(VLOOKUP($E735,'BASE DE DATOS'!$A:$I,3,0),0)</f>
        <v>0</v>
      </c>
      <c r="G722" s="46">
        <f>IFERROR(VLOOKUP($E722,'BASE DE DATOS'!$A:$I,3,0),0)</f>
        <v>0</v>
      </c>
      <c r="H722" s="46">
        <f>IFERROR(VLOOKUP($E722,'BASE DE DATOS'!$A:$I,3,0),0)</f>
        <v>0</v>
      </c>
      <c r="I722" s="46">
        <f>IFERROR(VLOOKUP($E722,'BASE DE DATOS'!$A:$I,3,0),0)</f>
        <v>0</v>
      </c>
      <c r="J722" s="46">
        <f>IFERROR(VLOOKUP($E722,'BASE DE DATOS'!$A:$I,3,0),0)</f>
        <v>0</v>
      </c>
      <c r="K722" s="46">
        <f>IFERROR(VLOOKUP($E981,'BASE DE DATOS'!$A:$I,3,0),0)</f>
        <v>0</v>
      </c>
      <c r="L722" s="46">
        <f>IFERROR(VLOOKUP($E722,'BASE DE DATOS'!$A:$I,3,0),0)</f>
        <v>0</v>
      </c>
    </row>
    <row r="723" spans="4:12" x14ac:dyDescent="0.25">
      <c r="D723" s="46" t="str">
        <f>IFERROR(VLOOKUP($E723,'BASE DE DATOS'!$A:$I,2,0)," ")</f>
        <v xml:space="preserve"> </v>
      </c>
      <c r="F723" s="46">
        <f>IFERROR(VLOOKUP($E736,'BASE DE DATOS'!$A:$I,3,0),0)</f>
        <v>0</v>
      </c>
      <c r="G723" s="46">
        <f>IFERROR(VLOOKUP($E723,'BASE DE DATOS'!$A:$I,3,0),0)</f>
        <v>0</v>
      </c>
      <c r="H723" s="46">
        <f>IFERROR(VLOOKUP($E723,'BASE DE DATOS'!$A:$I,3,0),0)</f>
        <v>0</v>
      </c>
      <c r="I723" s="46">
        <f>IFERROR(VLOOKUP($E723,'BASE DE DATOS'!$A:$I,3,0),0)</f>
        <v>0</v>
      </c>
      <c r="J723" s="46">
        <f>IFERROR(VLOOKUP($E723,'BASE DE DATOS'!$A:$I,3,0),0)</f>
        <v>0</v>
      </c>
      <c r="K723" s="46">
        <f>IFERROR(VLOOKUP($E982,'BASE DE DATOS'!$A:$I,3,0),0)</f>
        <v>0</v>
      </c>
      <c r="L723" s="46">
        <f>IFERROR(VLOOKUP($E723,'BASE DE DATOS'!$A:$I,3,0),0)</f>
        <v>0</v>
      </c>
    </row>
    <row r="724" spans="4:12" x14ac:dyDescent="0.25">
      <c r="D724" s="46" t="str">
        <f>IFERROR(VLOOKUP($E724,'BASE DE DATOS'!$A:$I,2,0)," ")</f>
        <v xml:space="preserve"> </v>
      </c>
      <c r="F724" s="46">
        <f>IFERROR(VLOOKUP($E737,'BASE DE DATOS'!$A:$I,3,0),0)</f>
        <v>0</v>
      </c>
      <c r="G724" s="46">
        <f>IFERROR(VLOOKUP($E724,'BASE DE DATOS'!$A:$I,3,0),0)</f>
        <v>0</v>
      </c>
      <c r="H724" s="46">
        <f>IFERROR(VLOOKUP($E724,'BASE DE DATOS'!$A:$I,3,0),0)</f>
        <v>0</v>
      </c>
      <c r="I724" s="46">
        <f>IFERROR(VLOOKUP($E724,'BASE DE DATOS'!$A:$I,3,0),0)</f>
        <v>0</v>
      </c>
      <c r="J724" s="46">
        <f>IFERROR(VLOOKUP($E724,'BASE DE DATOS'!$A:$I,3,0),0)</f>
        <v>0</v>
      </c>
      <c r="K724" s="46">
        <f>IFERROR(VLOOKUP($E983,'BASE DE DATOS'!$A:$I,3,0),0)</f>
        <v>0</v>
      </c>
      <c r="L724" s="46">
        <f>IFERROR(VLOOKUP($E724,'BASE DE DATOS'!$A:$I,3,0),0)</f>
        <v>0</v>
      </c>
    </row>
    <row r="725" spans="4:12" x14ac:dyDescent="0.25">
      <c r="D725" s="46" t="str">
        <f>IFERROR(VLOOKUP($E725,'BASE DE DATOS'!$A:$I,2,0)," ")</f>
        <v xml:space="preserve"> </v>
      </c>
      <c r="F725" s="46">
        <f>IFERROR(VLOOKUP($E738,'BASE DE DATOS'!$A:$I,3,0),0)</f>
        <v>0</v>
      </c>
      <c r="G725" s="46">
        <f>IFERROR(VLOOKUP($E725,'BASE DE DATOS'!$A:$I,3,0),0)</f>
        <v>0</v>
      </c>
      <c r="H725" s="46">
        <f>IFERROR(VLOOKUP($E725,'BASE DE DATOS'!$A:$I,3,0),0)</f>
        <v>0</v>
      </c>
      <c r="I725" s="46">
        <f>IFERROR(VLOOKUP($E725,'BASE DE DATOS'!$A:$I,3,0),0)</f>
        <v>0</v>
      </c>
      <c r="J725" s="46">
        <f>IFERROR(VLOOKUP($E725,'BASE DE DATOS'!$A:$I,3,0),0)</f>
        <v>0</v>
      </c>
      <c r="K725" s="46">
        <f>IFERROR(VLOOKUP($E984,'BASE DE DATOS'!$A:$I,3,0),0)</f>
        <v>0</v>
      </c>
      <c r="L725" s="46">
        <f>IFERROR(VLOOKUP($E725,'BASE DE DATOS'!$A:$I,3,0),0)</f>
        <v>0</v>
      </c>
    </row>
    <row r="726" spans="4:12" x14ac:dyDescent="0.25">
      <c r="D726" s="46" t="str">
        <f>IFERROR(VLOOKUP($E726,'BASE DE DATOS'!$A:$I,2,0)," ")</f>
        <v xml:space="preserve"> </v>
      </c>
      <c r="F726" s="46">
        <f>IFERROR(VLOOKUP($E739,'BASE DE DATOS'!$A:$I,3,0),0)</f>
        <v>0</v>
      </c>
      <c r="G726" s="46">
        <f>IFERROR(VLOOKUP($E726,'BASE DE DATOS'!$A:$I,3,0),0)</f>
        <v>0</v>
      </c>
      <c r="H726" s="46">
        <f>IFERROR(VLOOKUP($E726,'BASE DE DATOS'!$A:$I,3,0),0)</f>
        <v>0</v>
      </c>
      <c r="I726" s="46">
        <f>IFERROR(VLOOKUP($E726,'BASE DE DATOS'!$A:$I,3,0),0)</f>
        <v>0</v>
      </c>
      <c r="J726" s="46">
        <f>IFERROR(VLOOKUP($E726,'BASE DE DATOS'!$A:$I,3,0),0)</f>
        <v>0</v>
      </c>
      <c r="K726" s="46">
        <f>IFERROR(VLOOKUP($E985,'BASE DE DATOS'!$A:$I,3,0),0)</f>
        <v>0</v>
      </c>
      <c r="L726" s="46">
        <f>IFERROR(VLOOKUP($E726,'BASE DE DATOS'!$A:$I,3,0),0)</f>
        <v>0</v>
      </c>
    </row>
    <row r="727" spans="4:12" x14ac:dyDescent="0.25">
      <c r="D727" s="46" t="str">
        <f>IFERROR(VLOOKUP($E727,'BASE DE DATOS'!$A:$I,2,0)," ")</f>
        <v xml:space="preserve"> </v>
      </c>
      <c r="F727" s="46">
        <f>IFERROR(VLOOKUP($E740,'BASE DE DATOS'!$A:$I,3,0),0)</f>
        <v>0</v>
      </c>
      <c r="G727" s="46">
        <f>IFERROR(VLOOKUP($E727,'BASE DE DATOS'!$A:$I,3,0),0)</f>
        <v>0</v>
      </c>
      <c r="H727" s="46">
        <f>IFERROR(VLOOKUP($E727,'BASE DE DATOS'!$A:$I,3,0),0)</f>
        <v>0</v>
      </c>
      <c r="I727" s="46">
        <f>IFERROR(VLOOKUP($E727,'BASE DE DATOS'!$A:$I,3,0),0)</f>
        <v>0</v>
      </c>
      <c r="J727" s="46">
        <f>IFERROR(VLOOKUP($E727,'BASE DE DATOS'!$A:$I,3,0),0)</f>
        <v>0</v>
      </c>
      <c r="K727" s="46">
        <f>IFERROR(VLOOKUP($E986,'BASE DE DATOS'!$A:$I,3,0),0)</f>
        <v>0</v>
      </c>
      <c r="L727" s="46">
        <f>IFERROR(VLOOKUP($E727,'BASE DE DATOS'!$A:$I,3,0),0)</f>
        <v>0</v>
      </c>
    </row>
    <row r="728" spans="4:12" x14ac:dyDescent="0.25">
      <c r="D728" s="46" t="str">
        <f>IFERROR(VLOOKUP($E728,'BASE DE DATOS'!$A:$I,2,0)," ")</f>
        <v xml:space="preserve"> </v>
      </c>
      <c r="F728" s="46">
        <f>IFERROR(VLOOKUP($E741,'BASE DE DATOS'!$A:$I,3,0),0)</f>
        <v>0</v>
      </c>
      <c r="G728" s="46">
        <f>IFERROR(VLOOKUP($E728,'BASE DE DATOS'!$A:$I,3,0),0)</f>
        <v>0</v>
      </c>
      <c r="H728" s="46">
        <f>IFERROR(VLOOKUP($E728,'BASE DE DATOS'!$A:$I,3,0),0)</f>
        <v>0</v>
      </c>
      <c r="I728" s="46">
        <f>IFERROR(VLOOKUP($E728,'BASE DE DATOS'!$A:$I,3,0),0)</f>
        <v>0</v>
      </c>
      <c r="J728" s="46">
        <f>IFERROR(VLOOKUP($E728,'BASE DE DATOS'!$A:$I,3,0),0)</f>
        <v>0</v>
      </c>
      <c r="K728" s="46">
        <f>IFERROR(VLOOKUP($E987,'BASE DE DATOS'!$A:$I,3,0),0)</f>
        <v>0</v>
      </c>
      <c r="L728" s="46">
        <f>IFERROR(VLOOKUP($E728,'BASE DE DATOS'!$A:$I,3,0),0)</f>
        <v>0</v>
      </c>
    </row>
    <row r="729" spans="4:12" x14ac:dyDescent="0.25">
      <c r="D729" s="46" t="str">
        <f>IFERROR(VLOOKUP($E729,'BASE DE DATOS'!$A:$I,2,0)," ")</f>
        <v xml:space="preserve"> </v>
      </c>
      <c r="F729" s="46">
        <f>IFERROR(VLOOKUP($E742,'BASE DE DATOS'!$A:$I,3,0),0)</f>
        <v>0</v>
      </c>
      <c r="G729" s="46">
        <f>IFERROR(VLOOKUP($E729,'BASE DE DATOS'!$A:$I,3,0),0)</f>
        <v>0</v>
      </c>
      <c r="H729" s="46">
        <f>IFERROR(VLOOKUP($E729,'BASE DE DATOS'!$A:$I,3,0),0)</f>
        <v>0</v>
      </c>
      <c r="I729" s="46">
        <f>IFERROR(VLOOKUP($E729,'BASE DE DATOS'!$A:$I,3,0),0)</f>
        <v>0</v>
      </c>
      <c r="J729" s="46">
        <f>IFERROR(VLOOKUP($E729,'BASE DE DATOS'!$A:$I,3,0),0)</f>
        <v>0</v>
      </c>
      <c r="K729" s="46">
        <f>IFERROR(VLOOKUP($E988,'BASE DE DATOS'!$A:$I,3,0),0)</f>
        <v>0</v>
      </c>
      <c r="L729" s="46">
        <f>IFERROR(VLOOKUP($E729,'BASE DE DATOS'!$A:$I,3,0),0)</f>
        <v>0</v>
      </c>
    </row>
    <row r="730" spans="4:12" x14ac:dyDescent="0.25">
      <c r="D730" s="46" t="str">
        <f>IFERROR(VLOOKUP($E730,'BASE DE DATOS'!$A:$I,2,0)," ")</f>
        <v xml:space="preserve"> </v>
      </c>
      <c r="F730" s="46">
        <f>IFERROR(VLOOKUP($E743,'BASE DE DATOS'!$A:$I,3,0),0)</f>
        <v>0</v>
      </c>
      <c r="G730" s="46">
        <f>IFERROR(VLOOKUP($E730,'BASE DE DATOS'!$A:$I,3,0),0)</f>
        <v>0</v>
      </c>
      <c r="H730" s="46">
        <f>IFERROR(VLOOKUP($E730,'BASE DE DATOS'!$A:$I,3,0),0)</f>
        <v>0</v>
      </c>
      <c r="I730" s="46">
        <f>IFERROR(VLOOKUP($E730,'BASE DE DATOS'!$A:$I,3,0),0)</f>
        <v>0</v>
      </c>
      <c r="J730" s="46">
        <f>IFERROR(VLOOKUP($E730,'BASE DE DATOS'!$A:$I,3,0),0)</f>
        <v>0</v>
      </c>
      <c r="K730" s="46">
        <f>IFERROR(VLOOKUP($E989,'BASE DE DATOS'!$A:$I,3,0),0)</f>
        <v>0</v>
      </c>
      <c r="L730" s="46">
        <f>IFERROR(VLOOKUP($E730,'BASE DE DATOS'!$A:$I,3,0),0)</f>
        <v>0</v>
      </c>
    </row>
    <row r="731" spans="4:12" x14ac:dyDescent="0.25">
      <c r="D731" s="46" t="str">
        <f>IFERROR(VLOOKUP($E731,'BASE DE DATOS'!$A:$I,2,0)," ")</f>
        <v xml:space="preserve"> </v>
      </c>
      <c r="F731" s="46">
        <f>IFERROR(VLOOKUP($E744,'BASE DE DATOS'!$A:$I,3,0),0)</f>
        <v>0</v>
      </c>
      <c r="G731" s="46">
        <f>IFERROR(VLOOKUP($E731,'BASE DE DATOS'!$A:$I,3,0),0)</f>
        <v>0</v>
      </c>
      <c r="H731" s="46">
        <f>IFERROR(VLOOKUP($E731,'BASE DE DATOS'!$A:$I,3,0),0)</f>
        <v>0</v>
      </c>
      <c r="I731" s="46">
        <f>IFERROR(VLOOKUP($E731,'BASE DE DATOS'!$A:$I,3,0),0)</f>
        <v>0</v>
      </c>
      <c r="J731" s="46">
        <f>IFERROR(VLOOKUP($E731,'BASE DE DATOS'!$A:$I,3,0),0)</f>
        <v>0</v>
      </c>
      <c r="K731" s="46">
        <f>IFERROR(VLOOKUP($E990,'BASE DE DATOS'!$A:$I,3,0),0)</f>
        <v>0</v>
      </c>
      <c r="L731" s="46">
        <f>IFERROR(VLOOKUP($E731,'BASE DE DATOS'!$A:$I,3,0),0)</f>
        <v>0</v>
      </c>
    </row>
    <row r="732" spans="4:12" x14ac:dyDescent="0.25">
      <c r="D732" s="46" t="str">
        <f>IFERROR(VLOOKUP($E732,'BASE DE DATOS'!$A:$I,2,0)," ")</f>
        <v xml:space="preserve"> </v>
      </c>
      <c r="F732" s="46">
        <f>IFERROR(VLOOKUP($E745,'BASE DE DATOS'!$A:$I,3,0),0)</f>
        <v>0</v>
      </c>
      <c r="G732" s="46">
        <f>IFERROR(VLOOKUP($E732,'BASE DE DATOS'!$A:$I,3,0),0)</f>
        <v>0</v>
      </c>
      <c r="H732" s="46">
        <f>IFERROR(VLOOKUP($E732,'BASE DE DATOS'!$A:$I,3,0),0)</f>
        <v>0</v>
      </c>
      <c r="I732" s="46">
        <f>IFERROR(VLOOKUP($E732,'BASE DE DATOS'!$A:$I,3,0),0)</f>
        <v>0</v>
      </c>
      <c r="J732" s="46">
        <f>IFERROR(VLOOKUP($E732,'BASE DE DATOS'!$A:$I,3,0),0)</f>
        <v>0</v>
      </c>
      <c r="K732" s="46">
        <f>IFERROR(VLOOKUP($E991,'BASE DE DATOS'!$A:$I,3,0),0)</f>
        <v>0</v>
      </c>
      <c r="L732" s="46">
        <f>IFERROR(VLOOKUP($E732,'BASE DE DATOS'!$A:$I,3,0),0)</f>
        <v>0</v>
      </c>
    </row>
    <row r="733" spans="4:12" x14ac:dyDescent="0.25">
      <c r="D733" s="46" t="str">
        <f>IFERROR(VLOOKUP($E733,'BASE DE DATOS'!$A:$I,2,0)," ")</f>
        <v xml:space="preserve"> </v>
      </c>
      <c r="F733" s="46">
        <f>IFERROR(VLOOKUP($E746,'BASE DE DATOS'!$A:$I,3,0),0)</f>
        <v>0</v>
      </c>
      <c r="G733" s="46">
        <f>IFERROR(VLOOKUP($E733,'BASE DE DATOS'!$A:$I,3,0),0)</f>
        <v>0</v>
      </c>
      <c r="H733" s="46">
        <f>IFERROR(VLOOKUP($E733,'BASE DE DATOS'!$A:$I,3,0),0)</f>
        <v>0</v>
      </c>
      <c r="I733" s="46">
        <f>IFERROR(VLOOKUP($E733,'BASE DE DATOS'!$A:$I,3,0),0)</f>
        <v>0</v>
      </c>
      <c r="J733" s="46">
        <f>IFERROR(VLOOKUP($E733,'BASE DE DATOS'!$A:$I,3,0),0)</f>
        <v>0</v>
      </c>
      <c r="K733" s="46">
        <f>IFERROR(VLOOKUP($E992,'BASE DE DATOS'!$A:$I,3,0),0)</f>
        <v>0</v>
      </c>
      <c r="L733" s="46">
        <f>IFERROR(VLOOKUP($E733,'BASE DE DATOS'!$A:$I,3,0),0)</f>
        <v>0</v>
      </c>
    </row>
    <row r="734" spans="4:12" x14ac:dyDescent="0.25">
      <c r="D734" s="46" t="str">
        <f>IFERROR(VLOOKUP($E734,'BASE DE DATOS'!$A:$I,2,0)," ")</f>
        <v xml:space="preserve"> </v>
      </c>
      <c r="F734" s="46">
        <f>IFERROR(VLOOKUP($E747,'BASE DE DATOS'!$A:$I,3,0),0)</f>
        <v>0</v>
      </c>
      <c r="G734" s="46">
        <f>IFERROR(VLOOKUP($E734,'BASE DE DATOS'!$A:$I,3,0),0)</f>
        <v>0</v>
      </c>
      <c r="H734" s="46">
        <f>IFERROR(VLOOKUP($E734,'BASE DE DATOS'!$A:$I,3,0),0)</f>
        <v>0</v>
      </c>
      <c r="I734" s="46">
        <f>IFERROR(VLOOKUP($E734,'BASE DE DATOS'!$A:$I,3,0),0)</f>
        <v>0</v>
      </c>
      <c r="J734" s="46">
        <f>IFERROR(VLOOKUP($E734,'BASE DE DATOS'!$A:$I,3,0),0)</f>
        <v>0</v>
      </c>
      <c r="K734" s="46">
        <f>IFERROR(VLOOKUP($E993,'BASE DE DATOS'!$A:$I,3,0),0)</f>
        <v>0</v>
      </c>
      <c r="L734" s="46">
        <f>IFERROR(VLOOKUP($E734,'BASE DE DATOS'!$A:$I,3,0),0)</f>
        <v>0</v>
      </c>
    </row>
    <row r="735" spans="4:12" x14ac:dyDescent="0.25">
      <c r="D735" s="46" t="str">
        <f>IFERROR(VLOOKUP($E735,'BASE DE DATOS'!$A:$I,2,0)," ")</f>
        <v xml:space="preserve"> </v>
      </c>
      <c r="F735" s="46">
        <f>IFERROR(VLOOKUP($E748,'BASE DE DATOS'!$A:$I,3,0),0)</f>
        <v>0</v>
      </c>
      <c r="G735" s="46">
        <f>IFERROR(VLOOKUP($E735,'BASE DE DATOS'!$A:$I,3,0),0)</f>
        <v>0</v>
      </c>
      <c r="H735" s="46">
        <f>IFERROR(VLOOKUP($E735,'BASE DE DATOS'!$A:$I,3,0),0)</f>
        <v>0</v>
      </c>
      <c r="I735" s="46">
        <f>IFERROR(VLOOKUP($E735,'BASE DE DATOS'!$A:$I,3,0),0)</f>
        <v>0</v>
      </c>
      <c r="J735" s="46">
        <f>IFERROR(VLOOKUP($E735,'BASE DE DATOS'!$A:$I,3,0),0)</f>
        <v>0</v>
      </c>
      <c r="K735" s="46">
        <f>IFERROR(VLOOKUP($E994,'BASE DE DATOS'!$A:$I,3,0),0)</f>
        <v>0</v>
      </c>
      <c r="L735" s="46">
        <f>IFERROR(VLOOKUP($E735,'BASE DE DATOS'!$A:$I,3,0),0)</f>
        <v>0</v>
      </c>
    </row>
    <row r="736" spans="4:12" x14ac:dyDescent="0.25">
      <c r="D736" s="46" t="str">
        <f>IFERROR(VLOOKUP($E736,'BASE DE DATOS'!$A:$I,2,0)," ")</f>
        <v xml:space="preserve"> </v>
      </c>
      <c r="F736" s="46">
        <f>IFERROR(VLOOKUP($E749,'BASE DE DATOS'!$A:$I,3,0),0)</f>
        <v>0</v>
      </c>
      <c r="G736" s="46">
        <f>IFERROR(VLOOKUP($E736,'BASE DE DATOS'!$A:$I,3,0),0)</f>
        <v>0</v>
      </c>
      <c r="H736" s="46">
        <f>IFERROR(VLOOKUP($E736,'BASE DE DATOS'!$A:$I,3,0),0)</f>
        <v>0</v>
      </c>
      <c r="I736" s="46">
        <f>IFERROR(VLOOKUP($E736,'BASE DE DATOS'!$A:$I,3,0),0)</f>
        <v>0</v>
      </c>
      <c r="J736" s="46">
        <f>IFERROR(VLOOKUP($E736,'BASE DE DATOS'!$A:$I,3,0),0)</f>
        <v>0</v>
      </c>
      <c r="K736" s="46">
        <f>IFERROR(VLOOKUP($E995,'BASE DE DATOS'!$A:$I,3,0),0)</f>
        <v>0</v>
      </c>
      <c r="L736" s="46">
        <f>IFERROR(VLOOKUP($E736,'BASE DE DATOS'!$A:$I,3,0),0)</f>
        <v>0</v>
      </c>
    </row>
    <row r="737" spans="4:12" x14ac:dyDescent="0.25">
      <c r="D737" s="46" t="str">
        <f>IFERROR(VLOOKUP($E737,'BASE DE DATOS'!$A:$I,2,0)," ")</f>
        <v xml:space="preserve"> </v>
      </c>
      <c r="F737" s="46">
        <f>IFERROR(VLOOKUP($E750,'BASE DE DATOS'!$A:$I,3,0),0)</f>
        <v>0</v>
      </c>
      <c r="G737" s="46">
        <f>IFERROR(VLOOKUP($E737,'BASE DE DATOS'!$A:$I,3,0),0)</f>
        <v>0</v>
      </c>
      <c r="H737" s="46">
        <f>IFERROR(VLOOKUP($E737,'BASE DE DATOS'!$A:$I,3,0),0)</f>
        <v>0</v>
      </c>
      <c r="I737" s="46">
        <f>IFERROR(VLOOKUP($E737,'BASE DE DATOS'!$A:$I,3,0),0)</f>
        <v>0</v>
      </c>
      <c r="J737" s="46">
        <f>IFERROR(VLOOKUP($E737,'BASE DE DATOS'!$A:$I,3,0),0)</f>
        <v>0</v>
      </c>
      <c r="K737" s="46">
        <f>IFERROR(VLOOKUP($E996,'BASE DE DATOS'!$A:$I,3,0),0)</f>
        <v>0</v>
      </c>
      <c r="L737" s="46">
        <f>IFERROR(VLOOKUP($E737,'BASE DE DATOS'!$A:$I,3,0),0)</f>
        <v>0</v>
      </c>
    </row>
    <row r="738" spans="4:12" x14ac:dyDescent="0.25">
      <c r="D738" s="46" t="str">
        <f>IFERROR(VLOOKUP($E738,'BASE DE DATOS'!$A:$I,2,0)," ")</f>
        <v xml:space="preserve"> </v>
      </c>
      <c r="F738" s="46">
        <f>IFERROR(VLOOKUP($E751,'BASE DE DATOS'!$A:$I,3,0),0)</f>
        <v>0</v>
      </c>
      <c r="G738" s="46">
        <f>IFERROR(VLOOKUP($E738,'BASE DE DATOS'!$A:$I,3,0),0)</f>
        <v>0</v>
      </c>
      <c r="H738" s="46">
        <f>IFERROR(VLOOKUP($E738,'BASE DE DATOS'!$A:$I,3,0),0)</f>
        <v>0</v>
      </c>
      <c r="I738" s="46">
        <f>IFERROR(VLOOKUP($E738,'BASE DE DATOS'!$A:$I,3,0),0)</f>
        <v>0</v>
      </c>
      <c r="J738" s="46">
        <f>IFERROR(VLOOKUP($E738,'BASE DE DATOS'!$A:$I,3,0),0)</f>
        <v>0</v>
      </c>
      <c r="K738" s="46">
        <f>IFERROR(VLOOKUP($E997,'BASE DE DATOS'!$A:$I,3,0),0)</f>
        <v>0</v>
      </c>
      <c r="L738" s="46">
        <f>IFERROR(VLOOKUP($E738,'BASE DE DATOS'!$A:$I,3,0),0)</f>
        <v>0</v>
      </c>
    </row>
    <row r="739" spans="4:12" x14ac:dyDescent="0.25">
      <c r="D739" s="46" t="str">
        <f>IFERROR(VLOOKUP($E739,'BASE DE DATOS'!$A:$I,2,0)," ")</f>
        <v xml:space="preserve"> </v>
      </c>
      <c r="F739" s="46">
        <f>IFERROR(VLOOKUP($E752,'BASE DE DATOS'!$A:$I,3,0),0)</f>
        <v>0</v>
      </c>
      <c r="G739" s="46">
        <f>IFERROR(VLOOKUP($E739,'BASE DE DATOS'!$A:$I,3,0),0)</f>
        <v>0</v>
      </c>
      <c r="H739" s="46">
        <f>IFERROR(VLOOKUP($E739,'BASE DE DATOS'!$A:$I,3,0),0)</f>
        <v>0</v>
      </c>
      <c r="I739" s="46">
        <f>IFERROR(VLOOKUP($E739,'BASE DE DATOS'!$A:$I,3,0),0)</f>
        <v>0</v>
      </c>
      <c r="J739" s="46">
        <f>IFERROR(VLOOKUP($E739,'BASE DE DATOS'!$A:$I,3,0),0)</f>
        <v>0</v>
      </c>
      <c r="K739" s="46">
        <f>IFERROR(VLOOKUP($E998,'BASE DE DATOS'!$A:$I,3,0),0)</f>
        <v>0</v>
      </c>
      <c r="L739" s="46">
        <f>IFERROR(VLOOKUP($E739,'BASE DE DATOS'!$A:$I,3,0),0)</f>
        <v>0</v>
      </c>
    </row>
    <row r="740" spans="4:12" x14ac:dyDescent="0.25">
      <c r="D740" s="46" t="str">
        <f>IFERROR(VLOOKUP($E740,'BASE DE DATOS'!$A:$I,2,0)," ")</f>
        <v xml:space="preserve"> </v>
      </c>
      <c r="F740" s="46">
        <f>IFERROR(VLOOKUP($E753,'BASE DE DATOS'!$A:$I,3,0),0)</f>
        <v>0</v>
      </c>
      <c r="G740" s="46">
        <f>IFERROR(VLOOKUP($E740,'BASE DE DATOS'!$A:$I,3,0),0)</f>
        <v>0</v>
      </c>
      <c r="H740" s="46">
        <f>IFERROR(VLOOKUP($E740,'BASE DE DATOS'!$A:$I,3,0),0)</f>
        <v>0</v>
      </c>
      <c r="I740" s="46">
        <f>IFERROR(VLOOKUP($E740,'BASE DE DATOS'!$A:$I,3,0),0)</f>
        <v>0</v>
      </c>
      <c r="J740" s="46">
        <f>IFERROR(VLOOKUP($E740,'BASE DE DATOS'!$A:$I,3,0),0)</f>
        <v>0</v>
      </c>
      <c r="K740" s="46">
        <f>IFERROR(VLOOKUP($E999,'BASE DE DATOS'!$A:$I,3,0),0)</f>
        <v>0</v>
      </c>
      <c r="L740" s="46">
        <f>IFERROR(VLOOKUP($E740,'BASE DE DATOS'!$A:$I,3,0),0)</f>
        <v>0</v>
      </c>
    </row>
    <row r="741" spans="4:12" x14ac:dyDescent="0.25">
      <c r="D741" s="46" t="str">
        <f>IFERROR(VLOOKUP($E741,'BASE DE DATOS'!$A:$I,2,0)," ")</f>
        <v xml:space="preserve"> </v>
      </c>
      <c r="F741" s="46">
        <f>IFERROR(VLOOKUP($E754,'BASE DE DATOS'!$A:$I,3,0),0)</f>
        <v>0</v>
      </c>
      <c r="G741" s="46">
        <f>IFERROR(VLOOKUP($E741,'BASE DE DATOS'!$A:$I,3,0),0)</f>
        <v>0</v>
      </c>
      <c r="H741" s="46">
        <f>IFERROR(VLOOKUP($E741,'BASE DE DATOS'!$A:$I,3,0),0)</f>
        <v>0</v>
      </c>
      <c r="I741" s="46">
        <f>IFERROR(VLOOKUP($E741,'BASE DE DATOS'!$A:$I,3,0),0)</f>
        <v>0</v>
      </c>
      <c r="J741" s="46">
        <f>IFERROR(VLOOKUP($E741,'BASE DE DATOS'!$A:$I,3,0),0)</f>
        <v>0</v>
      </c>
      <c r="K741" s="46">
        <f>IFERROR(VLOOKUP($E1000,'BASE DE DATOS'!$A:$I,3,0),0)</f>
        <v>0</v>
      </c>
      <c r="L741" s="46">
        <f>IFERROR(VLOOKUP($E741,'BASE DE DATOS'!$A:$I,3,0),0)</f>
        <v>0</v>
      </c>
    </row>
    <row r="742" spans="4:12" x14ac:dyDescent="0.25">
      <c r="D742" s="46" t="str">
        <f>IFERROR(VLOOKUP($E742,'BASE DE DATOS'!$A:$I,2,0)," ")</f>
        <v xml:space="preserve"> </v>
      </c>
      <c r="F742" s="46">
        <f>IFERROR(VLOOKUP($E755,'BASE DE DATOS'!$A:$I,3,0),0)</f>
        <v>0</v>
      </c>
      <c r="G742" s="46">
        <f>IFERROR(VLOOKUP($E742,'BASE DE DATOS'!$A:$I,3,0),0)</f>
        <v>0</v>
      </c>
      <c r="H742" s="46">
        <f>IFERROR(VLOOKUP($E742,'BASE DE DATOS'!$A:$I,3,0),0)</f>
        <v>0</v>
      </c>
      <c r="I742" s="46">
        <f>IFERROR(VLOOKUP($E742,'BASE DE DATOS'!$A:$I,3,0),0)</f>
        <v>0</v>
      </c>
      <c r="J742" s="46">
        <f>IFERROR(VLOOKUP($E742,'BASE DE DATOS'!$A:$I,3,0),0)</f>
        <v>0</v>
      </c>
      <c r="K742" s="46">
        <f>IFERROR(VLOOKUP($E1001,'BASE DE DATOS'!$A:$I,3,0),0)</f>
        <v>0</v>
      </c>
      <c r="L742" s="46">
        <f>IFERROR(VLOOKUP($E742,'BASE DE DATOS'!$A:$I,3,0),0)</f>
        <v>0</v>
      </c>
    </row>
    <row r="743" spans="4:12" x14ac:dyDescent="0.25">
      <c r="D743" s="46" t="str">
        <f>IFERROR(VLOOKUP($E743,'BASE DE DATOS'!$A:$I,2,0)," ")</f>
        <v xml:space="preserve"> </v>
      </c>
      <c r="F743" s="46">
        <f>IFERROR(VLOOKUP($E756,'BASE DE DATOS'!$A:$I,3,0),0)</f>
        <v>0</v>
      </c>
      <c r="G743" s="46">
        <f>IFERROR(VLOOKUP($E743,'BASE DE DATOS'!$A:$I,3,0),0)</f>
        <v>0</v>
      </c>
      <c r="H743" s="46">
        <f>IFERROR(VLOOKUP($E743,'BASE DE DATOS'!$A:$I,3,0),0)</f>
        <v>0</v>
      </c>
      <c r="I743" s="46">
        <f>IFERROR(VLOOKUP($E743,'BASE DE DATOS'!$A:$I,3,0),0)</f>
        <v>0</v>
      </c>
      <c r="J743" s="46">
        <f>IFERROR(VLOOKUP($E743,'BASE DE DATOS'!$A:$I,3,0),0)</f>
        <v>0</v>
      </c>
      <c r="K743" s="46">
        <f>IFERROR(VLOOKUP($E1002,'BASE DE DATOS'!$A:$I,3,0),0)</f>
        <v>0</v>
      </c>
      <c r="L743" s="46">
        <f>IFERROR(VLOOKUP($E743,'BASE DE DATOS'!$A:$I,3,0),0)</f>
        <v>0</v>
      </c>
    </row>
    <row r="744" spans="4:12" x14ac:dyDescent="0.25">
      <c r="D744" s="46" t="str">
        <f>IFERROR(VLOOKUP($E744,'BASE DE DATOS'!$A:$I,2,0)," ")</f>
        <v xml:space="preserve"> </v>
      </c>
      <c r="F744" s="46">
        <f>IFERROR(VLOOKUP($E757,'BASE DE DATOS'!$A:$I,3,0),0)</f>
        <v>0</v>
      </c>
      <c r="G744" s="46">
        <f>IFERROR(VLOOKUP($E744,'BASE DE DATOS'!$A:$I,3,0),0)</f>
        <v>0</v>
      </c>
      <c r="H744" s="46">
        <f>IFERROR(VLOOKUP($E744,'BASE DE DATOS'!$A:$I,3,0),0)</f>
        <v>0</v>
      </c>
      <c r="I744" s="46">
        <f>IFERROR(VLOOKUP($E744,'BASE DE DATOS'!$A:$I,3,0),0)</f>
        <v>0</v>
      </c>
      <c r="J744" s="46">
        <f>IFERROR(VLOOKUP($E744,'BASE DE DATOS'!$A:$I,3,0),0)</f>
        <v>0</v>
      </c>
      <c r="K744" s="46">
        <f>IFERROR(VLOOKUP($E1003,'BASE DE DATOS'!$A:$I,3,0),0)</f>
        <v>0</v>
      </c>
      <c r="L744" s="46">
        <f>IFERROR(VLOOKUP($E744,'BASE DE DATOS'!$A:$I,3,0),0)</f>
        <v>0</v>
      </c>
    </row>
    <row r="745" spans="4:12" x14ac:dyDescent="0.25">
      <c r="D745" s="46" t="str">
        <f>IFERROR(VLOOKUP($E745,'BASE DE DATOS'!$A:$I,2,0)," ")</f>
        <v xml:space="preserve"> </v>
      </c>
      <c r="F745" s="46">
        <f>IFERROR(VLOOKUP($E758,'BASE DE DATOS'!$A:$I,3,0),0)</f>
        <v>0</v>
      </c>
      <c r="G745" s="46">
        <f>IFERROR(VLOOKUP($E745,'BASE DE DATOS'!$A:$I,3,0),0)</f>
        <v>0</v>
      </c>
      <c r="H745" s="46">
        <f>IFERROR(VLOOKUP($E745,'BASE DE DATOS'!$A:$I,3,0),0)</f>
        <v>0</v>
      </c>
      <c r="I745" s="46">
        <f>IFERROR(VLOOKUP($E745,'BASE DE DATOS'!$A:$I,3,0),0)</f>
        <v>0</v>
      </c>
      <c r="J745" s="46">
        <f>IFERROR(VLOOKUP($E745,'BASE DE DATOS'!$A:$I,3,0),0)</f>
        <v>0</v>
      </c>
      <c r="K745" s="46">
        <f>IFERROR(VLOOKUP($E1004,'BASE DE DATOS'!$A:$I,3,0),0)</f>
        <v>0</v>
      </c>
      <c r="L745" s="46">
        <f>IFERROR(VLOOKUP($E745,'BASE DE DATOS'!$A:$I,3,0),0)</f>
        <v>0</v>
      </c>
    </row>
    <row r="746" spans="4:12" x14ac:dyDescent="0.25">
      <c r="D746" s="46" t="str">
        <f>IFERROR(VLOOKUP($E746,'BASE DE DATOS'!$A:$I,2,0)," ")</f>
        <v xml:space="preserve"> </v>
      </c>
      <c r="F746" s="46">
        <f>IFERROR(VLOOKUP($E759,'BASE DE DATOS'!$A:$I,3,0),0)</f>
        <v>0</v>
      </c>
      <c r="G746" s="46">
        <f>IFERROR(VLOOKUP($E746,'BASE DE DATOS'!$A:$I,3,0),0)</f>
        <v>0</v>
      </c>
      <c r="H746" s="46">
        <f>IFERROR(VLOOKUP($E746,'BASE DE DATOS'!$A:$I,3,0),0)</f>
        <v>0</v>
      </c>
      <c r="I746" s="46">
        <f>IFERROR(VLOOKUP($E746,'BASE DE DATOS'!$A:$I,3,0),0)</f>
        <v>0</v>
      </c>
      <c r="J746" s="46">
        <f>IFERROR(VLOOKUP($E746,'BASE DE DATOS'!$A:$I,3,0),0)</f>
        <v>0</v>
      </c>
      <c r="K746" s="46">
        <f>IFERROR(VLOOKUP($E1005,'BASE DE DATOS'!$A:$I,3,0),0)</f>
        <v>0</v>
      </c>
      <c r="L746" s="46">
        <f>IFERROR(VLOOKUP($E746,'BASE DE DATOS'!$A:$I,3,0),0)</f>
        <v>0</v>
      </c>
    </row>
    <row r="747" spans="4:12" x14ac:dyDescent="0.25">
      <c r="D747" s="46" t="str">
        <f>IFERROR(VLOOKUP($E747,'BASE DE DATOS'!$A:$I,2,0)," ")</f>
        <v xml:space="preserve"> </v>
      </c>
      <c r="F747" s="46">
        <f>IFERROR(VLOOKUP($E760,'BASE DE DATOS'!$A:$I,3,0),0)</f>
        <v>0</v>
      </c>
      <c r="G747" s="46">
        <f>IFERROR(VLOOKUP($E747,'BASE DE DATOS'!$A:$I,3,0),0)</f>
        <v>0</v>
      </c>
      <c r="H747" s="46">
        <f>IFERROR(VLOOKUP($E747,'BASE DE DATOS'!$A:$I,3,0),0)</f>
        <v>0</v>
      </c>
      <c r="I747" s="46">
        <f>IFERROR(VLOOKUP($E747,'BASE DE DATOS'!$A:$I,3,0),0)</f>
        <v>0</v>
      </c>
      <c r="J747" s="46">
        <f>IFERROR(VLOOKUP($E747,'BASE DE DATOS'!$A:$I,3,0),0)</f>
        <v>0</v>
      </c>
      <c r="K747" s="46">
        <f>IFERROR(VLOOKUP($E1006,'BASE DE DATOS'!$A:$I,3,0),0)</f>
        <v>0</v>
      </c>
      <c r="L747" s="46">
        <f>IFERROR(VLOOKUP($E747,'BASE DE DATOS'!$A:$I,3,0),0)</f>
        <v>0</v>
      </c>
    </row>
    <row r="748" spans="4:12" x14ac:dyDescent="0.25">
      <c r="D748" s="46" t="str">
        <f>IFERROR(VLOOKUP($E748,'BASE DE DATOS'!$A:$I,2,0)," ")</f>
        <v xml:space="preserve"> </v>
      </c>
      <c r="F748" s="46">
        <f>IFERROR(VLOOKUP($E761,'BASE DE DATOS'!$A:$I,3,0),0)</f>
        <v>0</v>
      </c>
      <c r="G748" s="46">
        <f>IFERROR(VLOOKUP($E748,'BASE DE DATOS'!$A:$I,3,0),0)</f>
        <v>0</v>
      </c>
      <c r="H748" s="46">
        <f>IFERROR(VLOOKUP($E748,'BASE DE DATOS'!$A:$I,3,0),0)</f>
        <v>0</v>
      </c>
      <c r="I748" s="46">
        <f>IFERROR(VLOOKUP($E748,'BASE DE DATOS'!$A:$I,3,0),0)</f>
        <v>0</v>
      </c>
      <c r="J748" s="46">
        <f>IFERROR(VLOOKUP($E748,'BASE DE DATOS'!$A:$I,3,0),0)</f>
        <v>0</v>
      </c>
      <c r="K748" s="46">
        <f>IFERROR(VLOOKUP($E1007,'BASE DE DATOS'!$A:$I,3,0),0)</f>
        <v>0</v>
      </c>
      <c r="L748" s="46">
        <f>IFERROR(VLOOKUP($E748,'BASE DE DATOS'!$A:$I,3,0),0)</f>
        <v>0</v>
      </c>
    </row>
    <row r="749" spans="4:12" x14ac:dyDescent="0.25">
      <c r="D749" s="46" t="str">
        <f>IFERROR(VLOOKUP($E749,'BASE DE DATOS'!$A:$I,2,0)," ")</f>
        <v xml:space="preserve"> </v>
      </c>
      <c r="F749" s="46">
        <f>IFERROR(VLOOKUP($E762,'BASE DE DATOS'!$A:$I,3,0),0)</f>
        <v>0</v>
      </c>
      <c r="G749" s="46">
        <f>IFERROR(VLOOKUP($E749,'BASE DE DATOS'!$A:$I,3,0),0)</f>
        <v>0</v>
      </c>
      <c r="H749" s="46">
        <f>IFERROR(VLOOKUP($E749,'BASE DE DATOS'!$A:$I,3,0),0)</f>
        <v>0</v>
      </c>
      <c r="I749" s="46">
        <f>IFERROR(VLOOKUP($E749,'BASE DE DATOS'!$A:$I,3,0),0)</f>
        <v>0</v>
      </c>
      <c r="J749" s="46">
        <f>IFERROR(VLOOKUP($E749,'BASE DE DATOS'!$A:$I,3,0),0)</f>
        <v>0</v>
      </c>
      <c r="K749" s="46">
        <f>IFERROR(VLOOKUP($E1008,'BASE DE DATOS'!$A:$I,3,0),0)</f>
        <v>0</v>
      </c>
      <c r="L749" s="46">
        <f>IFERROR(VLOOKUP($E749,'BASE DE DATOS'!$A:$I,3,0),0)</f>
        <v>0</v>
      </c>
    </row>
    <row r="750" spans="4:12" x14ac:dyDescent="0.25">
      <c r="D750" s="46" t="str">
        <f>IFERROR(VLOOKUP($E750,'BASE DE DATOS'!$A:$I,2,0)," ")</f>
        <v xml:space="preserve"> </v>
      </c>
      <c r="F750" s="46">
        <f>IFERROR(VLOOKUP($E763,'BASE DE DATOS'!$A:$I,3,0),0)</f>
        <v>0</v>
      </c>
      <c r="G750" s="46">
        <f>IFERROR(VLOOKUP($E750,'BASE DE DATOS'!$A:$I,3,0),0)</f>
        <v>0</v>
      </c>
      <c r="H750" s="46">
        <f>IFERROR(VLOOKUP($E750,'BASE DE DATOS'!$A:$I,3,0),0)</f>
        <v>0</v>
      </c>
      <c r="I750" s="46">
        <f>IFERROR(VLOOKUP($E750,'BASE DE DATOS'!$A:$I,3,0),0)</f>
        <v>0</v>
      </c>
      <c r="J750" s="46">
        <f>IFERROR(VLOOKUP($E750,'BASE DE DATOS'!$A:$I,3,0),0)</f>
        <v>0</v>
      </c>
      <c r="K750" s="46">
        <f>IFERROR(VLOOKUP($E1009,'BASE DE DATOS'!$A:$I,3,0),0)</f>
        <v>0</v>
      </c>
      <c r="L750" s="46">
        <f>IFERROR(VLOOKUP($E750,'BASE DE DATOS'!$A:$I,3,0),0)</f>
        <v>0</v>
      </c>
    </row>
    <row r="751" spans="4:12" x14ac:dyDescent="0.25">
      <c r="D751" s="46" t="str">
        <f>IFERROR(VLOOKUP($E751,'BASE DE DATOS'!$A:$I,2,0)," ")</f>
        <v xml:space="preserve"> </v>
      </c>
      <c r="F751" s="46">
        <f>IFERROR(VLOOKUP($E764,'BASE DE DATOS'!$A:$I,3,0),0)</f>
        <v>0</v>
      </c>
      <c r="G751" s="46">
        <f>IFERROR(VLOOKUP($E751,'BASE DE DATOS'!$A:$I,3,0),0)</f>
        <v>0</v>
      </c>
      <c r="H751" s="46">
        <f>IFERROR(VLOOKUP($E751,'BASE DE DATOS'!$A:$I,3,0),0)</f>
        <v>0</v>
      </c>
      <c r="I751" s="46">
        <f>IFERROR(VLOOKUP($E751,'BASE DE DATOS'!$A:$I,3,0),0)</f>
        <v>0</v>
      </c>
      <c r="J751" s="46">
        <f>IFERROR(VLOOKUP($E751,'BASE DE DATOS'!$A:$I,3,0),0)</f>
        <v>0</v>
      </c>
      <c r="K751" s="46">
        <f>IFERROR(VLOOKUP($E1010,'BASE DE DATOS'!$A:$I,3,0),0)</f>
        <v>0</v>
      </c>
      <c r="L751" s="46">
        <f>IFERROR(VLOOKUP($E751,'BASE DE DATOS'!$A:$I,3,0),0)</f>
        <v>0</v>
      </c>
    </row>
    <row r="752" spans="4:12" x14ac:dyDescent="0.25">
      <c r="D752" s="46" t="str">
        <f>IFERROR(VLOOKUP($E752,'BASE DE DATOS'!$A:$I,2,0)," ")</f>
        <v xml:space="preserve"> </v>
      </c>
      <c r="F752" s="46">
        <f>IFERROR(VLOOKUP($E765,'BASE DE DATOS'!$A:$I,3,0),0)</f>
        <v>0</v>
      </c>
      <c r="G752" s="46">
        <f>IFERROR(VLOOKUP($E752,'BASE DE DATOS'!$A:$I,3,0),0)</f>
        <v>0</v>
      </c>
      <c r="H752" s="46">
        <f>IFERROR(VLOOKUP($E752,'BASE DE DATOS'!$A:$I,3,0),0)</f>
        <v>0</v>
      </c>
      <c r="I752" s="46">
        <f>IFERROR(VLOOKUP($E752,'BASE DE DATOS'!$A:$I,3,0),0)</f>
        <v>0</v>
      </c>
      <c r="J752" s="46">
        <f>IFERROR(VLOOKUP($E752,'BASE DE DATOS'!$A:$I,3,0),0)</f>
        <v>0</v>
      </c>
      <c r="K752" s="46">
        <f>IFERROR(VLOOKUP($E1011,'BASE DE DATOS'!$A:$I,3,0),0)</f>
        <v>0</v>
      </c>
      <c r="L752" s="46">
        <f>IFERROR(VLOOKUP($E752,'BASE DE DATOS'!$A:$I,3,0),0)</f>
        <v>0</v>
      </c>
    </row>
    <row r="753" spans="4:12" x14ac:dyDescent="0.25">
      <c r="D753" s="46" t="str">
        <f>IFERROR(VLOOKUP($E753,'BASE DE DATOS'!$A:$I,2,0)," ")</f>
        <v xml:space="preserve"> </v>
      </c>
      <c r="F753" s="46">
        <f>IFERROR(VLOOKUP($E766,'BASE DE DATOS'!$A:$I,3,0),0)</f>
        <v>0</v>
      </c>
      <c r="G753" s="46">
        <f>IFERROR(VLOOKUP($E753,'BASE DE DATOS'!$A:$I,3,0),0)</f>
        <v>0</v>
      </c>
      <c r="H753" s="46">
        <f>IFERROR(VLOOKUP($E753,'BASE DE DATOS'!$A:$I,3,0),0)</f>
        <v>0</v>
      </c>
      <c r="I753" s="46">
        <f>IFERROR(VLOOKUP($E753,'BASE DE DATOS'!$A:$I,3,0),0)</f>
        <v>0</v>
      </c>
      <c r="J753" s="46">
        <f>IFERROR(VLOOKUP($E753,'BASE DE DATOS'!$A:$I,3,0),0)</f>
        <v>0</v>
      </c>
      <c r="K753" s="46">
        <f>IFERROR(VLOOKUP($E1012,'BASE DE DATOS'!$A:$I,3,0),0)</f>
        <v>0</v>
      </c>
      <c r="L753" s="46">
        <f>IFERROR(VLOOKUP($E753,'BASE DE DATOS'!$A:$I,3,0),0)</f>
        <v>0</v>
      </c>
    </row>
    <row r="754" spans="4:12" x14ac:dyDescent="0.25">
      <c r="D754" s="46" t="str">
        <f>IFERROR(VLOOKUP($E754,'BASE DE DATOS'!$A:$I,2,0)," ")</f>
        <v xml:space="preserve"> </v>
      </c>
      <c r="F754" s="46">
        <f>IFERROR(VLOOKUP($E767,'BASE DE DATOS'!$A:$I,3,0),0)</f>
        <v>0</v>
      </c>
      <c r="G754" s="46">
        <f>IFERROR(VLOOKUP($E754,'BASE DE DATOS'!$A:$I,3,0),0)</f>
        <v>0</v>
      </c>
      <c r="H754" s="46">
        <f>IFERROR(VLOOKUP($E754,'BASE DE DATOS'!$A:$I,3,0),0)</f>
        <v>0</v>
      </c>
      <c r="I754" s="46">
        <f>IFERROR(VLOOKUP($E754,'BASE DE DATOS'!$A:$I,3,0),0)</f>
        <v>0</v>
      </c>
      <c r="J754" s="46">
        <f>IFERROR(VLOOKUP($E754,'BASE DE DATOS'!$A:$I,3,0),0)</f>
        <v>0</v>
      </c>
      <c r="K754" s="46">
        <f>IFERROR(VLOOKUP($E1013,'BASE DE DATOS'!$A:$I,3,0),0)</f>
        <v>0</v>
      </c>
      <c r="L754" s="46">
        <f>IFERROR(VLOOKUP($E754,'BASE DE DATOS'!$A:$I,3,0),0)</f>
        <v>0</v>
      </c>
    </row>
    <row r="755" spans="4:12" x14ac:dyDescent="0.25">
      <c r="D755" s="46" t="str">
        <f>IFERROR(VLOOKUP($E755,'BASE DE DATOS'!$A:$I,2,0)," ")</f>
        <v xml:space="preserve"> </v>
      </c>
      <c r="F755" s="46">
        <f>IFERROR(VLOOKUP($E768,'BASE DE DATOS'!$A:$I,3,0),0)</f>
        <v>0</v>
      </c>
      <c r="G755" s="46">
        <f>IFERROR(VLOOKUP($E755,'BASE DE DATOS'!$A:$I,3,0),0)</f>
        <v>0</v>
      </c>
      <c r="H755" s="46">
        <f>IFERROR(VLOOKUP($E755,'BASE DE DATOS'!$A:$I,3,0),0)</f>
        <v>0</v>
      </c>
      <c r="I755" s="46">
        <f>IFERROR(VLOOKUP($E755,'BASE DE DATOS'!$A:$I,3,0),0)</f>
        <v>0</v>
      </c>
      <c r="J755" s="46">
        <f>IFERROR(VLOOKUP($E755,'BASE DE DATOS'!$A:$I,3,0),0)</f>
        <v>0</v>
      </c>
      <c r="K755" s="46">
        <f>IFERROR(VLOOKUP($E1014,'BASE DE DATOS'!$A:$I,3,0),0)</f>
        <v>0</v>
      </c>
      <c r="L755" s="46">
        <f>IFERROR(VLOOKUP($E755,'BASE DE DATOS'!$A:$I,3,0),0)</f>
        <v>0</v>
      </c>
    </row>
    <row r="756" spans="4:12" x14ac:dyDescent="0.25">
      <c r="D756" s="46" t="str">
        <f>IFERROR(VLOOKUP($E756,'BASE DE DATOS'!$A:$I,2,0)," ")</f>
        <v xml:space="preserve"> </v>
      </c>
      <c r="F756" s="46">
        <f>IFERROR(VLOOKUP($E769,'BASE DE DATOS'!$A:$I,3,0),0)</f>
        <v>0</v>
      </c>
      <c r="G756" s="46">
        <f>IFERROR(VLOOKUP($E756,'BASE DE DATOS'!$A:$I,3,0),0)</f>
        <v>0</v>
      </c>
      <c r="H756" s="46">
        <f>IFERROR(VLOOKUP($E756,'BASE DE DATOS'!$A:$I,3,0),0)</f>
        <v>0</v>
      </c>
      <c r="I756" s="46">
        <f>IFERROR(VLOOKUP($E756,'BASE DE DATOS'!$A:$I,3,0),0)</f>
        <v>0</v>
      </c>
      <c r="J756" s="46">
        <f>IFERROR(VLOOKUP($E756,'BASE DE DATOS'!$A:$I,3,0),0)</f>
        <v>0</v>
      </c>
      <c r="K756" s="46">
        <f>IFERROR(VLOOKUP($E1015,'BASE DE DATOS'!$A:$I,3,0),0)</f>
        <v>0</v>
      </c>
      <c r="L756" s="46">
        <f>IFERROR(VLOOKUP($E756,'BASE DE DATOS'!$A:$I,3,0),0)</f>
        <v>0</v>
      </c>
    </row>
    <row r="757" spans="4:12" x14ac:dyDescent="0.25">
      <c r="D757" s="46" t="str">
        <f>IFERROR(VLOOKUP($E757,'BASE DE DATOS'!$A:$I,2,0)," ")</f>
        <v xml:space="preserve"> </v>
      </c>
      <c r="F757" s="46">
        <f>IFERROR(VLOOKUP($E770,'BASE DE DATOS'!$A:$I,3,0),0)</f>
        <v>0</v>
      </c>
      <c r="G757" s="46">
        <f>IFERROR(VLOOKUP($E757,'BASE DE DATOS'!$A:$I,3,0),0)</f>
        <v>0</v>
      </c>
      <c r="H757" s="46">
        <f>IFERROR(VLOOKUP($E757,'BASE DE DATOS'!$A:$I,3,0),0)</f>
        <v>0</v>
      </c>
      <c r="I757" s="46">
        <f>IFERROR(VLOOKUP($E757,'BASE DE DATOS'!$A:$I,3,0),0)</f>
        <v>0</v>
      </c>
      <c r="J757" s="46">
        <f>IFERROR(VLOOKUP($E757,'BASE DE DATOS'!$A:$I,3,0),0)</f>
        <v>0</v>
      </c>
      <c r="K757" s="46">
        <f>IFERROR(VLOOKUP($E1016,'BASE DE DATOS'!$A:$I,3,0),0)</f>
        <v>0</v>
      </c>
      <c r="L757" s="46">
        <f>IFERROR(VLOOKUP($E757,'BASE DE DATOS'!$A:$I,3,0),0)</f>
        <v>0</v>
      </c>
    </row>
    <row r="758" spans="4:12" x14ac:dyDescent="0.25">
      <c r="D758" s="46" t="str">
        <f>IFERROR(VLOOKUP($E758,'BASE DE DATOS'!$A:$I,2,0)," ")</f>
        <v xml:space="preserve"> </v>
      </c>
      <c r="F758" s="46">
        <f>IFERROR(VLOOKUP($E771,'BASE DE DATOS'!$A:$I,3,0),0)</f>
        <v>0</v>
      </c>
      <c r="G758" s="46">
        <f>IFERROR(VLOOKUP($E758,'BASE DE DATOS'!$A:$I,3,0),0)</f>
        <v>0</v>
      </c>
      <c r="H758" s="46">
        <f>IFERROR(VLOOKUP($E758,'BASE DE DATOS'!$A:$I,3,0),0)</f>
        <v>0</v>
      </c>
      <c r="I758" s="46">
        <f>IFERROR(VLOOKUP($E758,'BASE DE DATOS'!$A:$I,3,0),0)</f>
        <v>0</v>
      </c>
      <c r="J758" s="46">
        <f>IFERROR(VLOOKUP($E758,'BASE DE DATOS'!$A:$I,3,0),0)</f>
        <v>0</v>
      </c>
      <c r="K758" s="46">
        <f>IFERROR(VLOOKUP($E1017,'BASE DE DATOS'!$A:$I,3,0),0)</f>
        <v>0</v>
      </c>
      <c r="L758" s="46">
        <f>IFERROR(VLOOKUP($E758,'BASE DE DATOS'!$A:$I,3,0),0)</f>
        <v>0</v>
      </c>
    </row>
    <row r="759" spans="4:12" x14ac:dyDescent="0.25">
      <c r="D759" s="46" t="str">
        <f>IFERROR(VLOOKUP($E759,'BASE DE DATOS'!$A:$I,2,0)," ")</f>
        <v xml:space="preserve"> </v>
      </c>
      <c r="F759" s="46">
        <f>IFERROR(VLOOKUP($E772,'BASE DE DATOS'!$A:$I,3,0),0)</f>
        <v>0</v>
      </c>
      <c r="G759" s="46">
        <f>IFERROR(VLOOKUP($E759,'BASE DE DATOS'!$A:$I,3,0),0)</f>
        <v>0</v>
      </c>
      <c r="H759" s="46">
        <f>IFERROR(VLOOKUP($E759,'BASE DE DATOS'!$A:$I,3,0),0)</f>
        <v>0</v>
      </c>
      <c r="I759" s="46">
        <f>IFERROR(VLOOKUP($E759,'BASE DE DATOS'!$A:$I,3,0),0)</f>
        <v>0</v>
      </c>
      <c r="J759" s="46">
        <f>IFERROR(VLOOKUP($E759,'BASE DE DATOS'!$A:$I,3,0),0)</f>
        <v>0</v>
      </c>
      <c r="K759" s="46">
        <f>IFERROR(VLOOKUP($E1018,'BASE DE DATOS'!$A:$I,3,0),0)</f>
        <v>0</v>
      </c>
      <c r="L759" s="46">
        <f>IFERROR(VLOOKUP($E759,'BASE DE DATOS'!$A:$I,3,0),0)</f>
        <v>0</v>
      </c>
    </row>
    <row r="760" spans="4:12" x14ac:dyDescent="0.25">
      <c r="D760" s="46" t="str">
        <f>IFERROR(VLOOKUP($E760,'BASE DE DATOS'!$A:$I,2,0)," ")</f>
        <v xml:space="preserve"> </v>
      </c>
      <c r="F760" s="46">
        <f>IFERROR(VLOOKUP($E773,'BASE DE DATOS'!$A:$I,3,0),0)</f>
        <v>0</v>
      </c>
      <c r="G760" s="46">
        <f>IFERROR(VLOOKUP($E760,'BASE DE DATOS'!$A:$I,3,0),0)</f>
        <v>0</v>
      </c>
      <c r="H760" s="46">
        <f>IFERROR(VLOOKUP($E760,'BASE DE DATOS'!$A:$I,3,0),0)</f>
        <v>0</v>
      </c>
      <c r="I760" s="46">
        <f>IFERROR(VLOOKUP($E760,'BASE DE DATOS'!$A:$I,3,0),0)</f>
        <v>0</v>
      </c>
      <c r="J760" s="46">
        <f>IFERROR(VLOOKUP($E760,'BASE DE DATOS'!$A:$I,3,0),0)</f>
        <v>0</v>
      </c>
      <c r="K760" s="46">
        <f>IFERROR(VLOOKUP($E1019,'BASE DE DATOS'!$A:$I,3,0),0)</f>
        <v>0</v>
      </c>
      <c r="L760" s="46">
        <f>IFERROR(VLOOKUP($E760,'BASE DE DATOS'!$A:$I,3,0),0)</f>
        <v>0</v>
      </c>
    </row>
    <row r="761" spans="4:12" x14ac:dyDescent="0.25">
      <c r="D761" s="46" t="str">
        <f>IFERROR(VLOOKUP($E761,'BASE DE DATOS'!$A:$I,2,0)," ")</f>
        <v xml:space="preserve"> </v>
      </c>
      <c r="F761" s="46">
        <f>IFERROR(VLOOKUP($E774,'BASE DE DATOS'!$A:$I,3,0),0)</f>
        <v>0</v>
      </c>
      <c r="G761" s="46">
        <f>IFERROR(VLOOKUP($E761,'BASE DE DATOS'!$A:$I,3,0),0)</f>
        <v>0</v>
      </c>
      <c r="H761" s="46">
        <f>IFERROR(VLOOKUP($E761,'BASE DE DATOS'!$A:$I,3,0),0)</f>
        <v>0</v>
      </c>
      <c r="I761" s="46">
        <f>IFERROR(VLOOKUP($E761,'BASE DE DATOS'!$A:$I,3,0),0)</f>
        <v>0</v>
      </c>
      <c r="J761" s="46">
        <f>IFERROR(VLOOKUP($E761,'BASE DE DATOS'!$A:$I,3,0),0)</f>
        <v>0</v>
      </c>
      <c r="K761" s="46">
        <f>IFERROR(VLOOKUP($E1020,'BASE DE DATOS'!$A:$I,3,0),0)</f>
        <v>0</v>
      </c>
      <c r="L761" s="46">
        <f>IFERROR(VLOOKUP($E761,'BASE DE DATOS'!$A:$I,3,0),0)</f>
        <v>0</v>
      </c>
    </row>
    <row r="762" spans="4:12" x14ac:dyDescent="0.25">
      <c r="D762" s="46" t="str">
        <f>IFERROR(VLOOKUP($E762,'BASE DE DATOS'!$A:$I,2,0)," ")</f>
        <v xml:space="preserve"> </v>
      </c>
      <c r="F762" s="46">
        <f>IFERROR(VLOOKUP($E775,'BASE DE DATOS'!$A:$I,3,0),0)</f>
        <v>0</v>
      </c>
      <c r="G762" s="46">
        <f>IFERROR(VLOOKUP($E762,'BASE DE DATOS'!$A:$I,3,0),0)</f>
        <v>0</v>
      </c>
      <c r="H762" s="46">
        <f>IFERROR(VLOOKUP($E762,'BASE DE DATOS'!$A:$I,3,0),0)</f>
        <v>0</v>
      </c>
      <c r="I762" s="46">
        <f>IFERROR(VLOOKUP($E762,'BASE DE DATOS'!$A:$I,3,0),0)</f>
        <v>0</v>
      </c>
      <c r="J762" s="46">
        <f>IFERROR(VLOOKUP($E762,'BASE DE DATOS'!$A:$I,3,0),0)</f>
        <v>0</v>
      </c>
      <c r="K762" s="46">
        <f>IFERROR(VLOOKUP($E1021,'BASE DE DATOS'!$A:$I,3,0),0)</f>
        <v>0</v>
      </c>
      <c r="L762" s="46">
        <f>IFERROR(VLOOKUP($E762,'BASE DE DATOS'!$A:$I,3,0),0)</f>
        <v>0</v>
      </c>
    </row>
    <row r="763" spans="4:12" x14ac:dyDescent="0.25">
      <c r="D763" s="46" t="str">
        <f>IFERROR(VLOOKUP($E763,'BASE DE DATOS'!$A:$I,2,0)," ")</f>
        <v xml:space="preserve"> </v>
      </c>
      <c r="F763" s="46">
        <f>IFERROR(VLOOKUP($E776,'BASE DE DATOS'!$A:$I,3,0),0)</f>
        <v>0</v>
      </c>
      <c r="G763" s="46">
        <f>IFERROR(VLOOKUP($E763,'BASE DE DATOS'!$A:$I,3,0),0)</f>
        <v>0</v>
      </c>
      <c r="H763" s="46">
        <f>IFERROR(VLOOKUP($E763,'BASE DE DATOS'!$A:$I,3,0),0)</f>
        <v>0</v>
      </c>
      <c r="I763" s="46">
        <f>IFERROR(VLOOKUP($E763,'BASE DE DATOS'!$A:$I,3,0),0)</f>
        <v>0</v>
      </c>
      <c r="J763" s="46">
        <f>IFERROR(VLOOKUP($E763,'BASE DE DATOS'!$A:$I,3,0),0)</f>
        <v>0</v>
      </c>
      <c r="K763" s="46">
        <f>IFERROR(VLOOKUP($E1022,'BASE DE DATOS'!$A:$I,3,0),0)</f>
        <v>0</v>
      </c>
      <c r="L763" s="46">
        <f>IFERROR(VLOOKUP($E763,'BASE DE DATOS'!$A:$I,3,0),0)</f>
        <v>0</v>
      </c>
    </row>
    <row r="764" spans="4:12" x14ac:dyDescent="0.25">
      <c r="D764" s="46" t="str">
        <f>IFERROR(VLOOKUP($E764,'BASE DE DATOS'!$A:$I,2,0)," ")</f>
        <v xml:space="preserve"> </v>
      </c>
      <c r="F764" s="46">
        <f>IFERROR(VLOOKUP($E777,'BASE DE DATOS'!$A:$I,3,0),0)</f>
        <v>0</v>
      </c>
      <c r="G764" s="46">
        <f>IFERROR(VLOOKUP($E764,'BASE DE DATOS'!$A:$I,3,0),0)</f>
        <v>0</v>
      </c>
      <c r="H764" s="46">
        <f>IFERROR(VLOOKUP($E764,'BASE DE DATOS'!$A:$I,3,0),0)</f>
        <v>0</v>
      </c>
      <c r="I764" s="46">
        <f>IFERROR(VLOOKUP($E764,'BASE DE DATOS'!$A:$I,3,0),0)</f>
        <v>0</v>
      </c>
      <c r="J764" s="46">
        <f>IFERROR(VLOOKUP($E764,'BASE DE DATOS'!$A:$I,3,0),0)</f>
        <v>0</v>
      </c>
      <c r="K764" s="46">
        <f>IFERROR(VLOOKUP($E1023,'BASE DE DATOS'!$A:$I,3,0),0)</f>
        <v>0</v>
      </c>
      <c r="L764" s="46">
        <f>IFERROR(VLOOKUP($E764,'BASE DE DATOS'!$A:$I,3,0),0)</f>
        <v>0</v>
      </c>
    </row>
    <row r="765" spans="4:12" x14ac:dyDescent="0.25">
      <c r="D765" s="46" t="str">
        <f>IFERROR(VLOOKUP($E765,'BASE DE DATOS'!$A:$I,2,0)," ")</f>
        <v xml:space="preserve"> </v>
      </c>
      <c r="F765" s="46">
        <f>IFERROR(VLOOKUP($E778,'BASE DE DATOS'!$A:$I,3,0),0)</f>
        <v>0</v>
      </c>
      <c r="G765" s="46">
        <f>IFERROR(VLOOKUP($E765,'BASE DE DATOS'!$A:$I,3,0),0)</f>
        <v>0</v>
      </c>
      <c r="H765" s="46">
        <f>IFERROR(VLOOKUP($E765,'BASE DE DATOS'!$A:$I,3,0),0)</f>
        <v>0</v>
      </c>
      <c r="I765" s="46">
        <f>IFERROR(VLOOKUP($E765,'BASE DE DATOS'!$A:$I,3,0),0)</f>
        <v>0</v>
      </c>
      <c r="J765" s="46">
        <f>IFERROR(VLOOKUP($E765,'BASE DE DATOS'!$A:$I,3,0),0)</f>
        <v>0</v>
      </c>
      <c r="K765" s="46">
        <f>IFERROR(VLOOKUP($E1024,'BASE DE DATOS'!$A:$I,3,0),0)</f>
        <v>0</v>
      </c>
      <c r="L765" s="46">
        <f>IFERROR(VLOOKUP($E765,'BASE DE DATOS'!$A:$I,3,0),0)</f>
        <v>0</v>
      </c>
    </row>
    <row r="766" spans="4:12" x14ac:dyDescent="0.25">
      <c r="D766" s="46" t="str">
        <f>IFERROR(VLOOKUP($E766,'BASE DE DATOS'!$A:$I,2,0)," ")</f>
        <v xml:space="preserve"> </v>
      </c>
      <c r="F766" s="46">
        <f>IFERROR(VLOOKUP($E779,'BASE DE DATOS'!$A:$I,3,0),0)</f>
        <v>0</v>
      </c>
      <c r="G766" s="46">
        <f>IFERROR(VLOOKUP($E766,'BASE DE DATOS'!$A:$I,3,0),0)</f>
        <v>0</v>
      </c>
      <c r="H766" s="46">
        <f>IFERROR(VLOOKUP($E766,'BASE DE DATOS'!$A:$I,3,0),0)</f>
        <v>0</v>
      </c>
      <c r="I766" s="46">
        <f>IFERROR(VLOOKUP($E766,'BASE DE DATOS'!$A:$I,3,0),0)</f>
        <v>0</v>
      </c>
      <c r="J766" s="46">
        <f>IFERROR(VLOOKUP($E766,'BASE DE DATOS'!$A:$I,3,0),0)</f>
        <v>0</v>
      </c>
      <c r="K766" s="46">
        <f>IFERROR(VLOOKUP($E1025,'BASE DE DATOS'!$A:$I,3,0),0)</f>
        <v>0</v>
      </c>
      <c r="L766" s="46">
        <f>IFERROR(VLOOKUP($E766,'BASE DE DATOS'!$A:$I,3,0),0)</f>
        <v>0</v>
      </c>
    </row>
    <row r="767" spans="4:12" x14ac:dyDescent="0.25">
      <c r="D767" s="46" t="str">
        <f>IFERROR(VLOOKUP($E767,'BASE DE DATOS'!$A:$I,2,0)," ")</f>
        <v xml:space="preserve"> </v>
      </c>
      <c r="F767" s="46">
        <f>IFERROR(VLOOKUP($E780,'BASE DE DATOS'!$A:$I,3,0),0)</f>
        <v>0</v>
      </c>
      <c r="G767" s="46">
        <f>IFERROR(VLOOKUP($E767,'BASE DE DATOS'!$A:$I,3,0),0)</f>
        <v>0</v>
      </c>
      <c r="H767" s="46">
        <f>IFERROR(VLOOKUP($E767,'BASE DE DATOS'!$A:$I,3,0),0)</f>
        <v>0</v>
      </c>
      <c r="I767" s="46">
        <f>IFERROR(VLOOKUP($E767,'BASE DE DATOS'!$A:$I,3,0),0)</f>
        <v>0</v>
      </c>
      <c r="J767" s="46">
        <f>IFERROR(VLOOKUP($E767,'BASE DE DATOS'!$A:$I,3,0),0)</f>
        <v>0</v>
      </c>
      <c r="K767" s="46">
        <f>IFERROR(VLOOKUP($E1026,'BASE DE DATOS'!$A:$I,3,0),0)</f>
        <v>0</v>
      </c>
      <c r="L767" s="46">
        <f>IFERROR(VLOOKUP($E767,'BASE DE DATOS'!$A:$I,3,0),0)</f>
        <v>0</v>
      </c>
    </row>
    <row r="768" spans="4:12" x14ac:dyDescent="0.25">
      <c r="D768" s="46" t="str">
        <f>IFERROR(VLOOKUP($E768,'BASE DE DATOS'!$A:$I,2,0)," ")</f>
        <v xml:space="preserve"> </v>
      </c>
      <c r="F768" s="46">
        <f>IFERROR(VLOOKUP($E781,'BASE DE DATOS'!$A:$I,3,0),0)</f>
        <v>0</v>
      </c>
      <c r="G768" s="46">
        <f>IFERROR(VLOOKUP($E768,'BASE DE DATOS'!$A:$I,3,0),0)</f>
        <v>0</v>
      </c>
      <c r="H768" s="46">
        <f>IFERROR(VLOOKUP($E768,'BASE DE DATOS'!$A:$I,3,0),0)</f>
        <v>0</v>
      </c>
      <c r="I768" s="46">
        <f>IFERROR(VLOOKUP($E768,'BASE DE DATOS'!$A:$I,3,0),0)</f>
        <v>0</v>
      </c>
      <c r="J768" s="46">
        <f>IFERROR(VLOOKUP($E768,'BASE DE DATOS'!$A:$I,3,0),0)</f>
        <v>0</v>
      </c>
      <c r="K768" s="46">
        <f>IFERROR(VLOOKUP($E1027,'BASE DE DATOS'!$A:$I,3,0),0)</f>
        <v>0</v>
      </c>
      <c r="L768" s="46">
        <f>IFERROR(VLOOKUP($E768,'BASE DE DATOS'!$A:$I,3,0),0)</f>
        <v>0</v>
      </c>
    </row>
    <row r="769" spans="4:12" x14ac:dyDescent="0.25">
      <c r="D769" s="46" t="str">
        <f>IFERROR(VLOOKUP($E769,'BASE DE DATOS'!$A:$I,2,0)," ")</f>
        <v xml:space="preserve"> </v>
      </c>
      <c r="F769" s="46">
        <f>IFERROR(VLOOKUP($E782,'BASE DE DATOS'!$A:$I,3,0),0)</f>
        <v>0</v>
      </c>
      <c r="G769" s="46">
        <f>IFERROR(VLOOKUP($E769,'BASE DE DATOS'!$A:$I,3,0),0)</f>
        <v>0</v>
      </c>
      <c r="H769" s="46">
        <f>IFERROR(VLOOKUP($E769,'BASE DE DATOS'!$A:$I,3,0),0)</f>
        <v>0</v>
      </c>
      <c r="I769" s="46">
        <f>IFERROR(VLOOKUP($E769,'BASE DE DATOS'!$A:$I,3,0),0)</f>
        <v>0</v>
      </c>
      <c r="J769" s="46">
        <f>IFERROR(VLOOKUP($E769,'BASE DE DATOS'!$A:$I,3,0),0)</f>
        <v>0</v>
      </c>
      <c r="K769" s="46">
        <f>IFERROR(VLOOKUP($E1028,'BASE DE DATOS'!$A:$I,3,0),0)</f>
        <v>0</v>
      </c>
      <c r="L769" s="46">
        <f>IFERROR(VLOOKUP($E769,'BASE DE DATOS'!$A:$I,3,0),0)</f>
        <v>0</v>
      </c>
    </row>
    <row r="770" spans="4:12" x14ac:dyDescent="0.25">
      <c r="D770" s="46" t="str">
        <f>IFERROR(VLOOKUP($E770,'BASE DE DATOS'!$A:$I,2,0)," ")</f>
        <v xml:space="preserve"> </v>
      </c>
      <c r="F770" s="46">
        <f>IFERROR(VLOOKUP($E783,'BASE DE DATOS'!$A:$I,3,0),0)</f>
        <v>0</v>
      </c>
      <c r="G770" s="46">
        <f>IFERROR(VLOOKUP($E770,'BASE DE DATOS'!$A:$I,3,0),0)</f>
        <v>0</v>
      </c>
      <c r="H770" s="46">
        <f>IFERROR(VLOOKUP($E770,'BASE DE DATOS'!$A:$I,3,0),0)</f>
        <v>0</v>
      </c>
      <c r="I770" s="46">
        <f>IFERROR(VLOOKUP($E770,'BASE DE DATOS'!$A:$I,3,0),0)</f>
        <v>0</v>
      </c>
      <c r="J770" s="46">
        <f>IFERROR(VLOOKUP($E770,'BASE DE DATOS'!$A:$I,3,0),0)</f>
        <v>0</v>
      </c>
      <c r="K770" s="46">
        <f>IFERROR(VLOOKUP($E1029,'BASE DE DATOS'!$A:$I,3,0),0)</f>
        <v>0</v>
      </c>
      <c r="L770" s="46">
        <f>IFERROR(VLOOKUP($E770,'BASE DE DATOS'!$A:$I,3,0),0)</f>
        <v>0</v>
      </c>
    </row>
    <row r="771" spans="4:12" x14ac:dyDescent="0.25">
      <c r="D771" s="46" t="str">
        <f>IFERROR(VLOOKUP($E771,'BASE DE DATOS'!$A:$I,2,0)," ")</f>
        <v xml:space="preserve"> </v>
      </c>
      <c r="F771" s="46">
        <f>IFERROR(VLOOKUP($E784,'BASE DE DATOS'!$A:$I,3,0),0)</f>
        <v>0</v>
      </c>
      <c r="G771" s="46">
        <f>IFERROR(VLOOKUP($E771,'BASE DE DATOS'!$A:$I,3,0),0)</f>
        <v>0</v>
      </c>
      <c r="H771" s="46">
        <f>IFERROR(VLOOKUP($E771,'BASE DE DATOS'!$A:$I,3,0),0)</f>
        <v>0</v>
      </c>
      <c r="I771" s="46">
        <f>IFERROR(VLOOKUP($E771,'BASE DE DATOS'!$A:$I,3,0),0)</f>
        <v>0</v>
      </c>
      <c r="J771" s="46">
        <f>IFERROR(VLOOKUP($E771,'BASE DE DATOS'!$A:$I,3,0),0)</f>
        <v>0</v>
      </c>
      <c r="K771" s="46">
        <f>IFERROR(VLOOKUP($E1030,'BASE DE DATOS'!$A:$I,3,0),0)</f>
        <v>0</v>
      </c>
      <c r="L771" s="46">
        <f>IFERROR(VLOOKUP($E771,'BASE DE DATOS'!$A:$I,3,0),0)</f>
        <v>0</v>
      </c>
    </row>
    <row r="772" spans="4:12" x14ac:dyDescent="0.25">
      <c r="D772" s="46" t="str">
        <f>IFERROR(VLOOKUP($E772,'BASE DE DATOS'!$A:$I,2,0)," ")</f>
        <v xml:space="preserve"> </v>
      </c>
      <c r="F772" s="46">
        <f>IFERROR(VLOOKUP($E785,'BASE DE DATOS'!$A:$I,3,0),0)</f>
        <v>0</v>
      </c>
      <c r="G772" s="46">
        <f>IFERROR(VLOOKUP($E772,'BASE DE DATOS'!$A:$I,3,0),0)</f>
        <v>0</v>
      </c>
      <c r="H772" s="46">
        <f>IFERROR(VLOOKUP($E772,'BASE DE DATOS'!$A:$I,3,0),0)</f>
        <v>0</v>
      </c>
      <c r="I772" s="46">
        <f>IFERROR(VLOOKUP($E772,'BASE DE DATOS'!$A:$I,3,0),0)</f>
        <v>0</v>
      </c>
      <c r="J772" s="46">
        <f>IFERROR(VLOOKUP($E772,'BASE DE DATOS'!$A:$I,3,0),0)</f>
        <v>0</v>
      </c>
      <c r="K772" s="46">
        <f>IFERROR(VLOOKUP($E1031,'BASE DE DATOS'!$A:$I,3,0),0)</f>
        <v>0</v>
      </c>
      <c r="L772" s="46">
        <f>IFERROR(VLOOKUP($E772,'BASE DE DATOS'!$A:$I,3,0),0)</f>
        <v>0</v>
      </c>
    </row>
    <row r="773" spans="4:12" x14ac:dyDescent="0.25">
      <c r="D773" s="46" t="str">
        <f>IFERROR(VLOOKUP($E773,'BASE DE DATOS'!$A:$I,2,0)," ")</f>
        <v xml:space="preserve"> </v>
      </c>
      <c r="F773" s="46">
        <f>IFERROR(VLOOKUP($E786,'BASE DE DATOS'!$A:$I,3,0),0)</f>
        <v>0</v>
      </c>
      <c r="G773" s="46">
        <f>IFERROR(VLOOKUP($E773,'BASE DE DATOS'!$A:$I,3,0),0)</f>
        <v>0</v>
      </c>
      <c r="H773" s="46">
        <f>IFERROR(VLOOKUP($E773,'BASE DE DATOS'!$A:$I,3,0),0)</f>
        <v>0</v>
      </c>
      <c r="I773" s="46">
        <f>IFERROR(VLOOKUP($E773,'BASE DE DATOS'!$A:$I,3,0),0)</f>
        <v>0</v>
      </c>
      <c r="J773" s="46">
        <f>IFERROR(VLOOKUP($E773,'BASE DE DATOS'!$A:$I,3,0),0)</f>
        <v>0</v>
      </c>
      <c r="K773" s="46">
        <f>IFERROR(VLOOKUP($E1032,'BASE DE DATOS'!$A:$I,3,0),0)</f>
        <v>0</v>
      </c>
      <c r="L773" s="46">
        <f>IFERROR(VLOOKUP($E773,'BASE DE DATOS'!$A:$I,3,0),0)</f>
        <v>0</v>
      </c>
    </row>
    <row r="774" spans="4:12" x14ac:dyDescent="0.25">
      <c r="D774" s="46" t="str">
        <f>IFERROR(VLOOKUP($E774,'BASE DE DATOS'!$A:$I,2,0)," ")</f>
        <v xml:space="preserve"> </v>
      </c>
      <c r="F774" s="46">
        <f>IFERROR(VLOOKUP($E787,'BASE DE DATOS'!$A:$I,3,0),0)</f>
        <v>0</v>
      </c>
      <c r="G774" s="46">
        <f>IFERROR(VLOOKUP($E774,'BASE DE DATOS'!$A:$I,3,0),0)</f>
        <v>0</v>
      </c>
      <c r="H774" s="46">
        <f>IFERROR(VLOOKUP($E774,'BASE DE DATOS'!$A:$I,3,0),0)</f>
        <v>0</v>
      </c>
      <c r="I774" s="46">
        <f>IFERROR(VLOOKUP($E774,'BASE DE DATOS'!$A:$I,3,0),0)</f>
        <v>0</v>
      </c>
      <c r="J774" s="46">
        <f>IFERROR(VLOOKUP($E774,'BASE DE DATOS'!$A:$I,3,0),0)</f>
        <v>0</v>
      </c>
      <c r="K774" s="46">
        <f>IFERROR(VLOOKUP($E1033,'BASE DE DATOS'!$A:$I,3,0),0)</f>
        <v>0</v>
      </c>
      <c r="L774" s="46">
        <f>IFERROR(VLOOKUP($E774,'BASE DE DATOS'!$A:$I,3,0),0)</f>
        <v>0</v>
      </c>
    </row>
    <row r="775" spans="4:12" x14ac:dyDescent="0.25">
      <c r="D775" s="46" t="str">
        <f>IFERROR(VLOOKUP($E775,'BASE DE DATOS'!$A:$I,2,0)," ")</f>
        <v xml:space="preserve"> </v>
      </c>
      <c r="F775" s="46">
        <f>IFERROR(VLOOKUP($E788,'BASE DE DATOS'!$A:$I,3,0),0)</f>
        <v>0</v>
      </c>
      <c r="G775" s="46">
        <f>IFERROR(VLOOKUP($E775,'BASE DE DATOS'!$A:$I,3,0),0)</f>
        <v>0</v>
      </c>
      <c r="H775" s="46">
        <f>IFERROR(VLOOKUP($E775,'BASE DE DATOS'!$A:$I,3,0),0)</f>
        <v>0</v>
      </c>
      <c r="I775" s="46">
        <f>IFERROR(VLOOKUP($E775,'BASE DE DATOS'!$A:$I,3,0),0)</f>
        <v>0</v>
      </c>
      <c r="J775" s="46">
        <f>IFERROR(VLOOKUP($E775,'BASE DE DATOS'!$A:$I,3,0),0)</f>
        <v>0</v>
      </c>
      <c r="K775" s="46">
        <f>IFERROR(VLOOKUP($E1034,'BASE DE DATOS'!$A:$I,3,0),0)</f>
        <v>0</v>
      </c>
      <c r="L775" s="46">
        <f>IFERROR(VLOOKUP($E775,'BASE DE DATOS'!$A:$I,3,0),0)</f>
        <v>0</v>
      </c>
    </row>
    <row r="776" spans="4:12" x14ac:dyDescent="0.25">
      <c r="D776" s="46" t="str">
        <f>IFERROR(VLOOKUP($E776,'BASE DE DATOS'!$A:$I,2,0)," ")</f>
        <v xml:space="preserve"> </v>
      </c>
      <c r="F776" s="46">
        <f>IFERROR(VLOOKUP($E789,'BASE DE DATOS'!$A:$I,3,0),0)</f>
        <v>0</v>
      </c>
      <c r="G776" s="46">
        <f>IFERROR(VLOOKUP($E776,'BASE DE DATOS'!$A:$I,3,0),0)</f>
        <v>0</v>
      </c>
      <c r="H776" s="46">
        <f>IFERROR(VLOOKUP($E776,'BASE DE DATOS'!$A:$I,3,0),0)</f>
        <v>0</v>
      </c>
      <c r="I776" s="46">
        <f>IFERROR(VLOOKUP($E776,'BASE DE DATOS'!$A:$I,3,0),0)</f>
        <v>0</v>
      </c>
      <c r="J776" s="46">
        <f>IFERROR(VLOOKUP($E776,'BASE DE DATOS'!$A:$I,3,0),0)</f>
        <v>0</v>
      </c>
      <c r="K776" s="46">
        <f>IFERROR(VLOOKUP($E1035,'BASE DE DATOS'!$A:$I,3,0),0)</f>
        <v>0</v>
      </c>
      <c r="L776" s="46">
        <f>IFERROR(VLOOKUP($E776,'BASE DE DATOS'!$A:$I,3,0),0)</f>
        <v>0</v>
      </c>
    </row>
    <row r="777" spans="4:12" x14ac:dyDescent="0.25">
      <c r="D777" s="46" t="str">
        <f>IFERROR(VLOOKUP($E777,'BASE DE DATOS'!$A:$I,2,0)," ")</f>
        <v xml:space="preserve"> </v>
      </c>
      <c r="F777" s="46">
        <f>IFERROR(VLOOKUP($E790,'BASE DE DATOS'!$A:$I,3,0),0)</f>
        <v>0</v>
      </c>
      <c r="G777" s="46">
        <f>IFERROR(VLOOKUP($E777,'BASE DE DATOS'!$A:$I,3,0),0)</f>
        <v>0</v>
      </c>
      <c r="H777" s="46">
        <f>IFERROR(VLOOKUP($E777,'BASE DE DATOS'!$A:$I,3,0),0)</f>
        <v>0</v>
      </c>
      <c r="I777" s="46">
        <f>IFERROR(VLOOKUP($E777,'BASE DE DATOS'!$A:$I,3,0),0)</f>
        <v>0</v>
      </c>
      <c r="J777" s="46">
        <f>IFERROR(VLOOKUP($E777,'BASE DE DATOS'!$A:$I,3,0),0)</f>
        <v>0</v>
      </c>
      <c r="K777" s="46">
        <f>IFERROR(VLOOKUP($E1036,'BASE DE DATOS'!$A:$I,3,0),0)</f>
        <v>0</v>
      </c>
      <c r="L777" s="46">
        <f>IFERROR(VLOOKUP($E777,'BASE DE DATOS'!$A:$I,3,0),0)</f>
        <v>0</v>
      </c>
    </row>
    <row r="778" spans="4:12" x14ac:dyDescent="0.25">
      <c r="D778" s="46" t="str">
        <f>IFERROR(VLOOKUP($E778,'BASE DE DATOS'!$A:$I,2,0)," ")</f>
        <v xml:space="preserve"> </v>
      </c>
      <c r="F778" s="46">
        <f>IFERROR(VLOOKUP($E791,'BASE DE DATOS'!$A:$I,3,0),0)</f>
        <v>0</v>
      </c>
      <c r="G778" s="46">
        <f>IFERROR(VLOOKUP($E778,'BASE DE DATOS'!$A:$I,3,0),0)</f>
        <v>0</v>
      </c>
      <c r="H778" s="46">
        <f>IFERROR(VLOOKUP($E778,'BASE DE DATOS'!$A:$I,3,0),0)</f>
        <v>0</v>
      </c>
      <c r="I778" s="46">
        <f>IFERROR(VLOOKUP($E778,'BASE DE DATOS'!$A:$I,3,0),0)</f>
        <v>0</v>
      </c>
      <c r="J778" s="46">
        <f>IFERROR(VLOOKUP($E778,'BASE DE DATOS'!$A:$I,3,0),0)</f>
        <v>0</v>
      </c>
      <c r="K778" s="46">
        <f>IFERROR(VLOOKUP($E1037,'BASE DE DATOS'!$A:$I,3,0),0)</f>
        <v>0</v>
      </c>
      <c r="L778" s="46">
        <f>IFERROR(VLOOKUP($E778,'BASE DE DATOS'!$A:$I,3,0),0)</f>
        <v>0</v>
      </c>
    </row>
    <row r="779" spans="4:12" x14ac:dyDescent="0.25">
      <c r="D779" s="46" t="str">
        <f>IFERROR(VLOOKUP($E779,'BASE DE DATOS'!$A:$I,2,0)," ")</f>
        <v xml:space="preserve"> </v>
      </c>
      <c r="F779" s="46">
        <f>IFERROR(VLOOKUP($E792,'BASE DE DATOS'!$A:$I,3,0),0)</f>
        <v>0</v>
      </c>
      <c r="G779" s="46">
        <f>IFERROR(VLOOKUP($E779,'BASE DE DATOS'!$A:$I,3,0),0)</f>
        <v>0</v>
      </c>
      <c r="H779" s="46">
        <f>IFERROR(VLOOKUP($E779,'BASE DE DATOS'!$A:$I,3,0),0)</f>
        <v>0</v>
      </c>
      <c r="I779" s="46">
        <f>IFERROR(VLOOKUP($E779,'BASE DE DATOS'!$A:$I,3,0),0)</f>
        <v>0</v>
      </c>
      <c r="J779" s="46">
        <f>IFERROR(VLOOKUP($E779,'BASE DE DATOS'!$A:$I,3,0),0)</f>
        <v>0</v>
      </c>
      <c r="K779" s="46">
        <f>IFERROR(VLOOKUP($E1038,'BASE DE DATOS'!$A:$I,3,0),0)</f>
        <v>0</v>
      </c>
      <c r="L779" s="46">
        <f>IFERROR(VLOOKUP($E779,'BASE DE DATOS'!$A:$I,3,0),0)</f>
        <v>0</v>
      </c>
    </row>
    <row r="780" spans="4:12" x14ac:dyDescent="0.25">
      <c r="D780" s="46" t="str">
        <f>IFERROR(VLOOKUP($E780,'BASE DE DATOS'!$A:$I,2,0)," ")</f>
        <v xml:space="preserve"> </v>
      </c>
      <c r="F780" s="46">
        <f>IFERROR(VLOOKUP($E793,'BASE DE DATOS'!$A:$I,3,0),0)</f>
        <v>0</v>
      </c>
      <c r="G780" s="46">
        <f>IFERROR(VLOOKUP($E780,'BASE DE DATOS'!$A:$I,3,0),0)</f>
        <v>0</v>
      </c>
      <c r="H780" s="46">
        <f>IFERROR(VLOOKUP($E780,'BASE DE DATOS'!$A:$I,3,0),0)</f>
        <v>0</v>
      </c>
      <c r="I780" s="46">
        <f>IFERROR(VLOOKUP($E780,'BASE DE DATOS'!$A:$I,3,0),0)</f>
        <v>0</v>
      </c>
      <c r="J780" s="46">
        <f>IFERROR(VLOOKUP($E780,'BASE DE DATOS'!$A:$I,3,0),0)</f>
        <v>0</v>
      </c>
      <c r="K780" s="46">
        <f>IFERROR(VLOOKUP($E1039,'BASE DE DATOS'!$A:$I,3,0),0)</f>
        <v>0</v>
      </c>
      <c r="L780" s="46">
        <f>IFERROR(VLOOKUP($E780,'BASE DE DATOS'!$A:$I,3,0),0)</f>
        <v>0</v>
      </c>
    </row>
    <row r="781" spans="4:12" x14ac:dyDescent="0.25">
      <c r="D781" s="46" t="str">
        <f>IFERROR(VLOOKUP($E781,'BASE DE DATOS'!$A:$I,2,0)," ")</f>
        <v xml:space="preserve"> </v>
      </c>
      <c r="F781" s="46">
        <f>IFERROR(VLOOKUP($E794,'BASE DE DATOS'!$A:$I,3,0),0)</f>
        <v>0</v>
      </c>
      <c r="G781" s="46">
        <f>IFERROR(VLOOKUP($E781,'BASE DE DATOS'!$A:$I,3,0),0)</f>
        <v>0</v>
      </c>
      <c r="H781" s="46">
        <f>IFERROR(VLOOKUP($E781,'BASE DE DATOS'!$A:$I,3,0),0)</f>
        <v>0</v>
      </c>
      <c r="I781" s="46">
        <f>IFERROR(VLOOKUP($E781,'BASE DE DATOS'!$A:$I,3,0),0)</f>
        <v>0</v>
      </c>
      <c r="J781" s="46">
        <f>IFERROR(VLOOKUP($E781,'BASE DE DATOS'!$A:$I,3,0),0)</f>
        <v>0</v>
      </c>
      <c r="K781" s="46">
        <f>IFERROR(VLOOKUP($E1040,'BASE DE DATOS'!$A:$I,3,0),0)</f>
        <v>0</v>
      </c>
      <c r="L781" s="46">
        <f>IFERROR(VLOOKUP($E781,'BASE DE DATOS'!$A:$I,3,0),0)</f>
        <v>0</v>
      </c>
    </row>
    <row r="782" spans="4:12" x14ac:dyDescent="0.25">
      <c r="D782" s="46" t="str">
        <f>IFERROR(VLOOKUP($E782,'BASE DE DATOS'!$A:$I,2,0)," ")</f>
        <v xml:space="preserve"> </v>
      </c>
      <c r="F782" s="46">
        <f>IFERROR(VLOOKUP($E795,'BASE DE DATOS'!$A:$I,3,0),0)</f>
        <v>0</v>
      </c>
      <c r="G782" s="46">
        <f>IFERROR(VLOOKUP($E782,'BASE DE DATOS'!$A:$I,3,0),0)</f>
        <v>0</v>
      </c>
      <c r="H782" s="46">
        <f>IFERROR(VLOOKUP($E782,'BASE DE DATOS'!$A:$I,3,0),0)</f>
        <v>0</v>
      </c>
      <c r="I782" s="46">
        <f>IFERROR(VLOOKUP($E782,'BASE DE DATOS'!$A:$I,3,0),0)</f>
        <v>0</v>
      </c>
      <c r="J782" s="46">
        <f>IFERROR(VLOOKUP($E782,'BASE DE DATOS'!$A:$I,3,0),0)</f>
        <v>0</v>
      </c>
      <c r="K782" s="46">
        <f>IFERROR(VLOOKUP($E1041,'BASE DE DATOS'!$A:$I,3,0),0)</f>
        <v>0</v>
      </c>
      <c r="L782" s="46">
        <f>IFERROR(VLOOKUP($E782,'BASE DE DATOS'!$A:$I,3,0),0)</f>
        <v>0</v>
      </c>
    </row>
    <row r="783" spans="4:12" x14ac:dyDescent="0.25">
      <c r="D783" s="46" t="str">
        <f>IFERROR(VLOOKUP($E783,'BASE DE DATOS'!$A:$I,2,0)," ")</f>
        <v xml:space="preserve"> </v>
      </c>
      <c r="F783" s="46">
        <f>IFERROR(VLOOKUP($E796,'BASE DE DATOS'!$A:$I,3,0),0)</f>
        <v>0</v>
      </c>
      <c r="G783" s="46">
        <f>IFERROR(VLOOKUP($E783,'BASE DE DATOS'!$A:$I,3,0),0)</f>
        <v>0</v>
      </c>
      <c r="H783" s="46">
        <f>IFERROR(VLOOKUP($E783,'BASE DE DATOS'!$A:$I,3,0),0)</f>
        <v>0</v>
      </c>
      <c r="I783" s="46">
        <f>IFERROR(VLOOKUP($E783,'BASE DE DATOS'!$A:$I,3,0),0)</f>
        <v>0</v>
      </c>
      <c r="J783" s="46">
        <f>IFERROR(VLOOKUP($E783,'BASE DE DATOS'!$A:$I,3,0),0)</f>
        <v>0</v>
      </c>
      <c r="K783" s="46">
        <f>IFERROR(VLOOKUP($E1042,'BASE DE DATOS'!$A:$I,3,0),0)</f>
        <v>0</v>
      </c>
      <c r="L783" s="46">
        <f>IFERROR(VLOOKUP($E783,'BASE DE DATOS'!$A:$I,3,0),0)</f>
        <v>0</v>
      </c>
    </row>
    <row r="784" spans="4:12" x14ac:dyDescent="0.25">
      <c r="D784" s="46" t="str">
        <f>IFERROR(VLOOKUP($E784,'BASE DE DATOS'!$A:$I,2,0)," ")</f>
        <v xml:space="preserve"> </v>
      </c>
      <c r="F784" s="46">
        <f>IFERROR(VLOOKUP($E797,'BASE DE DATOS'!$A:$I,3,0),0)</f>
        <v>0</v>
      </c>
      <c r="G784" s="46">
        <f>IFERROR(VLOOKUP($E784,'BASE DE DATOS'!$A:$I,3,0),0)</f>
        <v>0</v>
      </c>
      <c r="H784" s="46">
        <f>IFERROR(VLOOKUP($E784,'BASE DE DATOS'!$A:$I,3,0),0)</f>
        <v>0</v>
      </c>
      <c r="I784" s="46">
        <f>IFERROR(VLOOKUP($E784,'BASE DE DATOS'!$A:$I,3,0),0)</f>
        <v>0</v>
      </c>
      <c r="J784" s="46">
        <f>IFERROR(VLOOKUP($E784,'BASE DE DATOS'!$A:$I,3,0),0)</f>
        <v>0</v>
      </c>
      <c r="K784" s="46">
        <f>IFERROR(VLOOKUP($E1043,'BASE DE DATOS'!$A:$I,3,0),0)</f>
        <v>0</v>
      </c>
      <c r="L784" s="46">
        <f>IFERROR(VLOOKUP($E784,'BASE DE DATOS'!$A:$I,3,0),0)</f>
        <v>0</v>
      </c>
    </row>
    <row r="785" spans="4:12" x14ac:dyDescent="0.25">
      <c r="D785" s="46" t="str">
        <f>IFERROR(VLOOKUP($E785,'BASE DE DATOS'!$A:$I,2,0)," ")</f>
        <v xml:space="preserve"> </v>
      </c>
      <c r="F785" s="46">
        <f>IFERROR(VLOOKUP($E798,'BASE DE DATOS'!$A:$I,3,0),0)</f>
        <v>0</v>
      </c>
      <c r="G785" s="46">
        <f>IFERROR(VLOOKUP($E785,'BASE DE DATOS'!$A:$I,3,0),0)</f>
        <v>0</v>
      </c>
      <c r="H785" s="46">
        <f>IFERROR(VLOOKUP($E785,'BASE DE DATOS'!$A:$I,3,0),0)</f>
        <v>0</v>
      </c>
      <c r="I785" s="46">
        <f>IFERROR(VLOOKUP($E785,'BASE DE DATOS'!$A:$I,3,0),0)</f>
        <v>0</v>
      </c>
      <c r="J785" s="46">
        <f>IFERROR(VLOOKUP($E785,'BASE DE DATOS'!$A:$I,3,0),0)</f>
        <v>0</v>
      </c>
      <c r="K785" s="46">
        <f>IFERROR(VLOOKUP($E1044,'BASE DE DATOS'!$A:$I,3,0),0)</f>
        <v>0</v>
      </c>
      <c r="L785" s="46">
        <f>IFERROR(VLOOKUP($E785,'BASE DE DATOS'!$A:$I,3,0),0)</f>
        <v>0</v>
      </c>
    </row>
    <row r="786" spans="4:12" x14ac:dyDescent="0.25">
      <c r="D786" s="46" t="str">
        <f>IFERROR(VLOOKUP($E786,'BASE DE DATOS'!$A:$I,2,0)," ")</f>
        <v xml:space="preserve"> </v>
      </c>
      <c r="F786" s="46">
        <f>IFERROR(VLOOKUP($E799,'BASE DE DATOS'!$A:$I,3,0),0)</f>
        <v>0</v>
      </c>
      <c r="G786" s="46">
        <f>IFERROR(VLOOKUP($E786,'BASE DE DATOS'!$A:$I,3,0),0)</f>
        <v>0</v>
      </c>
      <c r="H786" s="46">
        <f>IFERROR(VLOOKUP($E786,'BASE DE DATOS'!$A:$I,3,0),0)</f>
        <v>0</v>
      </c>
      <c r="I786" s="46">
        <f>IFERROR(VLOOKUP($E786,'BASE DE DATOS'!$A:$I,3,0),0)</f>
        <v>0</v>
      </c>
      <c r="J786" s="46">
        <f>IFERROR(VLOOKUP($E786,'BASE DE DATOS'!$A:$I,3,0),0)</f>
        <v>0</v>
      </c>
      <c r="K786" s="46">
        <f>IFERROR(VLOOKUP($E1045,'BASE DE DATOS'!$A:$I,3,0),0)</f>
        <v>0</v>
      </c>
      <c r="L786" s="46">
        <f>IFERROR(VLOOKUP($E786,'BASE DE DATOS'!$A:$I,3,0),0)</f>
        <v>0</v>
      </c>
    </row>
    <row r="787" spans="4:12" x14ac:dyDescent="0.25">
      <c r="D787" s="46" t="str">
        <f>IFERROR(VLOOKUP($E787,'BASE DE DATOS'!$A:$I,2,0)," ")</f>
        <v xml:space="preserve"> </v>
      </c>
      <c r="F787" s="46">
        <f>IFERROR(VLOOKUP($E800,'BASE DE DATOS'!$A:$I,3,0),0)</f>
        <v>0</v>
      </c>
      <c r="G787" s="46">
        <f>IFERROR(VLOOKUP($E787,'BASE DE DATOS'!$A:$I,3,0),0)</f>
        <v>0</v>
      </c>
      <c r="H787" s="46">
        <f>IFERROR(VLOOKUP($E787,'BASE DE DATOS'!$A:$I,3,0),0)</f>
        <v>0</v>
      </c>
      <c r="I787" s="46">
        <f>IFERROR(VLOOKUP($E787,'BASE DE DATOS'!$A:$I,3,0),0)</f>
        <v>0</v>
      </c>
      <c r="J787" s="46">
        <f>IFERROR(VLOOKUP($E787,'BASE DE DATOS'!$A:$I,3,0),0)</f>
        <v>0</v>
      </c>
      <c r="K787" s="46">
        <f>IFERROR(VLOOKUP($E1046,'BASE DE DATOS'!$A:$I,3,0),0)</f>
        <v>0</v>
      </c>
      <c r="L787" s="46">
        <f>IFERROR(VLOOKUP($E787,'BASE DE DATOS'!$A:$I,3,0),0)</f>
        <v>0</v>
      </c>
    </row>
    <row r="788" spans="4:12" x14ac:dyDescent="0.25">
      <c r="D788" s="46" t="str">
        <f>IFERROR(VLOOKUP($E788,'BASE DE DATOS'!$A:$I,2,0)," ")</f>
        <v xml:space="preserve"> </v>
      </c>
      <c r="F788" s="46">
        <f>IFERROR(VLOOKUP($E801,'BASE DE DATOS'!$A:$I,3,0),0)</f>
        <v>0</v>
      </c>
      <c r="G788" s="46">
        <f>IFERROR(VLOOKUP($E788,'BASE DE DATOS'!$A:$I,3,0),0)</f>
        <v>0</v>
      </c>
      <c r="H788" s="46">
        <f>IFERROR(VLOOKUP($E788,'BASE DE DATOS'!$A:$I,3,0),0)</f>
        <v>0</v>
      </c>
      <c r="I788" s="46">
        <f>IFERROR(VLOOKUP($E788,'BASE DE DATOS'!$A:$I,3,0),0)</f>
        <v>0</v>
      </c>
      <c r="J788" s="46">
        <f>IFERROR(VLOOKUP($E788,'BASE DE DATOS'!$A:$I,3,0),0)</f>
        <v>0</v>
      </c>
      <c r="K788" s="46">
        <f>IFERROR(VLOOKUP($E1047,'BASE DE DATOS'!$A:$I,3,0),0)</f>
        <v>0</v>
      </c>
      <c r="L788" s="46">
        <f>IFERROR(VLOOKUP($E788,'BASE DE DATOS'!$A:$I,3,0),0)</f>
        <v>0</v>
      </c>
    </row>
    <row r="789" spans="4:12" x14ac:dyDescent="0.25">
      <c r="D789" s="46" t="str">
        <f>IFERROR(VLOOKUP($E789,'BASE DE DATOS'!$A:$I,2,0)," ")</f>
        <v xml:space="preserve"> </v>
      </c>
      <c r="F789" s="46">
        <f>IFERROR(VLOOKUP($E802,'BASE DE DATOS'!$A:$I,3,0),0)</f>
        <v>0</v>
      </c>
      <c r="G789" s="46">
        <f>IFERROR(VLOOKUP($E789,'BASE DE DATOS'!$A:$I,3,0),0)</f>
        <v>0</v>
      </c>
      <c r="H789" s="46">
        <f>IFERROR(VLOOKUP($E789,'BASE DE DATOS'!$A:$I,3,0),0)</f>
        <v>0</v>
      </c>
      <c r="I789" s="46">
        <f>IFERROR(VLOOKUP($E789,'BASE DE DATOS'!$A:$I,3,0),0)</f>
        <v>0</v>
      </c>
      <c r="J789" s="46">
        <f>IFERROR(VLOOKUP($E789,'BASE DE DATOS'!$A:$I,3,0),0)</f>
        <v>0</v>
      </c>
      <c r="K789" s="46">
        <f>IFERROR(VLOOKUP($E1048,'BASE DE DATOS'!$A:$I,3,0),0)</f>
        <v>0</v>
      </c>
      <c r="L789" s="46">
        <f>IFERROR(VLOOKUP($E789,'BASE DE DATOS'!$A:$I,3,0),0)</f>
        <v>0</v>
      </c>
    </row>
    <row r="790" spans="4:12" x14ac:dyDescent="0.25">
      <c r="D790" s="46" t="str">
        <f>IFERROR(VLOOKUP($E790,'BASE DE DATOS'!$A:$I,2,0)," ")</f>
        <v xml:space="preserve"> </v>
      </c>
      <c r="F790" s="46">
        <f>IFERROR(VLOOKUP($E803,'BASE DE DATOS'!$A:$I,3,0),0)</f>
        <v>0</v>
      </c>
      <c r="G790" s="46">
        <f>IFERROR(VLOOKUP($E790,'BASE DE DATOS'!$A:$I,3,0),0)</f>
        <v>0</v>
      </c>
      <c r="H790" s="46">
        <f>IFERROR(VLOOKUP($E790,'BASE DE DATOS'!$A:$I,3,0),0)</f>
        <v>0</v>
      </c>
      <c r="I790" s="46">
        <f>IFERROR(VLOOKUP($E790,'BASE DE DATOS'!$A:$I,3,0),0)</f>
        <v>0</v>
      </c>
      <c r="J790" s="46">
        <f>IFERROR(VLOOKUP($E790,'BASE DE DATOS'!$A:$I,3,0),0)</f>
        <v>0</v>
      </c>
      <c r="K790" s="46">
        <f>IFERROR(VLOOKUP($E1049,'BASE DE DATOS'!$A:$I,3,0),0)</f>
        <v>0</v>
      </c>
      <c r="L790" s="46">
        <f>IFERROR(VLOOKUP($E790,'BASE DE DATOS'!$A:$I,3,0),0)</f>
        <v>0</v>
      </c>
    </row>
    <row r="791" spans="4:12" x14ac:dyDescent="0.25">
      <c r="D791" s="46" t="str">
        <f>IFERROR(VLOOKUP($E791,'BASE DE DATOS'!$A:$I,2,0)," ")</f>
        <v xml:space="preserve"> </v>
      </c>
      <c r="F791" s="46">
        <f>IFERROR(VLOOKUP($E804,'BASE DE DATOS'!$A:$I,3,0),0)</f>
        <v>0</v>
      </c>
      <c r="G791" s="46">
        <f>IFERROR(VLOOKUP($E791,'BASE DE DATOS'!$A:$I,3,0),0)</f>
        <v>0</v>
      </c>
      <c r="H791" s="46">
        <f>IFERROR(VLOOKUP($E791,'BASE DE DATOS'!$A:$I,3,0),0)</f>
        <v>0</v>
      </c>
      <c r="I791" s="46">
        <f>IFERROR(VLOOKUP($E791,'BASE DE DATOS'!$A:$I,3,0),0)</f>
        <v>0</v>
      </c>
      <c r="J791" s="46">
        <f>IFERROR(VLOOKUP($E791,'BASE DE DATOS'!$A:$I,3,0),0)</f>
        <v>0</v>
      </c>
      <c r="K791" s="46">
        <f>IFERROR(VLOOKUP($E1050,'BASE DE DATOS'!$A:$I,3,0),0)</f>
        <v>0</v>
      </c>
      <c r="L791" s="46">
        <f>IFERROR(VLOOKUP($E791,'BASE DE DATOS'!$A:$I,3,0),0)</f>
        <v>0</v>
      </c>
    </row>
    <row r="792" spans="4:12" x14ac:dyDescent="0.25">
      <c r="D792" s="46" t="str">
        <f>IFERROR(VLOOKUP($E792,'BASE DE DATOS'!$A:$I,2,0)," ")</f>
        <v xml:space="preserve"> </v>
      </c>
      <c r="F792" s="46">
        <f>IFERROR(VLOOKUP($E805,'BASE DE DATOS'!$A:$I,3,0),0)</f>
        <v>0</v>
      </c>
      <c r="G792" s="46">
        <f>IFERROR(VLOOKUP($E792,'BASE DE DATOS'!$A:$I,3,0),0)</f>
        <v>0</v>
      </c>
      <c r="H792" s="46">
        <f>IFERROR(VLOOKUP($E792,'BASE DE DATOS'!$A:$I,3,0),0)</f>
        <v>0</v>
      </c>
      <c r="I792" s="46">
        <f>IFERROR(VLOOKUP($E792,'BASE DE DATOS'!$A:$I,3,0),0)</f>
        <v>0</v>
      </c>
      <c r="J792" s="46">
        <f>IFERROR(VLOOKUP($E792,'BASE DE DATOS'!$A:$I,3,0),0)</f>
        <v>0</v>
      </c>
      <c r="K792" s="46">
        <f>IFERROR(VLOOKUP($E1051,'BASE DE DATOS'!$A:$I,3,0),0)</f>
        <v>0</v>
      </c>
      <c r="L792" s="46">
        <f>IFERROR(VLOOKUP($E792,'BASE DE DATOS'!$A:$I,3,0),0)</f>
        <v>0</v>
      </c>
    </row>
    <row r="793" spans="4:12" x14ac:dyDescent="0.25">
      <c r="D793" s="46" t="str">
        <f>IFERROR(VLOOKUP($E793,'BASE DE DATOS'!$A:$I,2,0)," ")</f>
        <v xml:space="preserve"> </v>
      </c>
      <c r="F793" s="46">
        <f>IFERROR(VLOOKUP($E806,'BASE DE DATOS'!$A:$I,3,0),0)</f>
        <v>0</v>
      </c>
      <c r="G793" s="46">
        <f>IFERROR(VLOOKUP($E793,'BASE DE DATOS'!$A:$I,3,0),0)</f>
        <v>0</v>
      </c>
      <c r="H793" s="46">
        <f>IFERROR(VLOOKUP($E793,'BASE DE DATOS'!$A:$I,3,0),0)</f>
        <v>0</v>
      </c>
      <c r="I793" s="46">
        <f>IFERROR(VLOOKUP($E793,'BASE DE DATOS'!$A:$I,3,0),0)</f>
        <v>0</v>
      </c>
      <c r="J793" s="46">
        <f>IFERROR(VLOOKUP($E793,'BASE DE DATOS'!$A:$I,3,0),0)</f>
        <v>0</v>
      </c>
      <c r="K793" s="46">
        <f>IFERROR(VLOOKUP($E1052,'BASE DE DATOS'!$A:$I,3,0),0)</f>
        <v>0</v>
      </c>
      <c r="L793" s="46">
        <f>IFERROR(VLOOKUP($E793,'BASE DE DATOS'!$A:$I,3,0),0)</f>
        <v>0</v>
      </c>
    </row>
    <row r="794" spans="4:12" x14ac:dyDescent="0.25">
      <c r="D794" s="46" t="str">
        <f>IFERROR(VLOOKUP($E794,'BASE DE DATOS'!$A:$I,2,0)," ")</f>
        <v xml:space="preserve"> </v>
      </c>
      <c r="F794" s="46">
        <f>IFERROR(VLOOKUP($E807,'BASE DE DATOS'!$A:$I,3,0),0)</f>
        <v>0</v>
      </c>
      <c r="G794" s="46">
        <f>IFERROR(VLOOKUP($E794,'BASE DE DATOS'!$A:$I,3,0),0)</f>
        <v>0</v>
      </c>
      <c r="H794" s="46">
        <f>IFERROR(VLOOKUP($E794,'BASE DE DATOS'!$A:$I,3,0),0)</f>
        <v>0</v>
      </c>
      <c r="I794" s="46">
        <f>IFERROR(VLOOKUP($E794,'BASE DE DATOS'!$A:$I,3,0),0)</f>
        <v>0</v>
      </c>
      <c r="J794" s="46">
        <f>IFERROR(VLOOKUP($E794,'BASE DE DATOS'!$A:$I,3,0),0)</f>
        <v>0</v>
      </c>
      <c r="K794" s="46">
        <f>IFERROR(VLOOKUP($E1053,'BASE DE DATOS'!$A:$I,3,0),0)</f>
        <v>0</v>
      </c>
      <c r="L794" s="46">
        <f>IFERROR(VLOOKUP($E794,'BASE DE DATOS'!$A:$I,3,0),0)</f>
        <v>0</v>
      </c>
    </row>
    <row r="795" spans="4:12" x14ac:dyDescent="0.25">
      <c r="D795" s="46" t="str">
        <f>IFERROR(VLOOKUP($E795,'BASE DE DATOS'!$A:$I,2,0)," ")</f>
        <v xml:space="preserve"> </v>
      </c>
      <c r="F795" s="46">
        <f>IFERROR(VLOOKUP($E808,'BASE DE DATOS'!$A:$I,3,0),0)</f>
        <v>0</v>
      </c>
      <c r="G795" s="46">
        <f>IFERROR(VLOOKUP($E795,'BASE DE DATOS'!$A:$I,3,0),0)</f>
        <v>0</v>
      </c>
      <c r="H795" s="46">
        <f>IFERROR(VLOOKUP($E795,'BASE DE DATOS'!$A:$I,3,0),0)</f>
        <v>0</v>
      </c>
      <c r="I795" s="46">
        <f>IFERROR(VLOOKUP($E795,'BASE DE DATOS'!$A:$I,3,0),0)</f>
        <v>0</v>
      </c>
      <c r="J795" s="46">
        <f>IFERROR(VLOOKUP($E795,'BASE DE DATOS'!$A:$I,3,0),0)</f>
        <v>0</v>
      </c>
      <c r="K795" s="46">
        <f>IFERROR(VLOOKUP($E1054,'BASE DE DATOS'!$A:$I,3,0),0)</f>
        <v>0</v>
      </c>
      <c r="L795" s="46">
        <f>IFERROR(VLOOKUP($E795,'BASE DE DATOS'!$A:$I,3,0),0)</f>
        <v>0</v>
      </c>
    </row>
    <row r="796" spans="4:12" x14ac:dyDescent="0.25">
      <c r="D796" s="46" t="str">
        <f>IFERROR(VLOOKUP($E796,'BASE DE DATOS'!$A:$I,2,0)," ")</f>
        <v xml:space="preserve"> </v>
      </c>
      <c r="F796" s="46">
        <f>IFERROR(VLOOKUP($E809,'BASE DE DATOS'!$A:$I,3,0),0)</f>
        <v>0</v>
      </c>
      <c r="G796" s="46">
        <f>IFERROR(VLOOKUP($E796,'BASE DE DATOS'!$A:$I,3,0),0)</f>
        <v>0</v>
      </c>
      <c r="H796" s="46">
        <f>IFERROR(VLOOKUP($E796,'BASE DE DATOS'!$A:$I,3,0),0)</f>
        <v>0</v>
      </c>
      <c r="I796" s="46">
        <f>IFERROR(VLOOKUP($E796,'BASE DE DATOS'!$A:$I,3,0),0)</f>
        <v>0</v>
      </c>
      <c r="J796" s="46">
        <f>IFERROR(VLOOKUP($E796,'BASE DE DATOS'!$A:$I,3,0),0)</f>
        <v>0</v>
      </c>
      <c r="K796" s="46">
        <f>IFERROR(VLOOKUP($E1055,'BASE DE DATOS'!$A:$I,3,0),0)</f>
        <v>0</v>
      </c>
      <c r="L796" s="46">
        <f>IFERROR(VLOOKUP($E796,'BASE DE DATOS'!$A:$I,3,0),0)</f>
        <v>0</v>
      </c>
    </row>
    <row r="797" spans="4:12" x14ac:dyDescent="0.25">
      <c r="D797" s="46" t="str">
        <f>IFERROR(VLOOKUP($E797,'BASE DE DATOS'!$A:$I,2,0)," ")</f>
        <v xml:space="preserve"> </v>
      </c>
      <c r="F797" s="46">
        <f>IFERROR(VLOOKUP($E810,'BASE DE DATOS'!$A:$I,3,0),0)</f>
        <v>0</v>
      </c>
      <c r="G797" s="46">
        <f>IFERROR(VLOOKUP($E797,'BASE DE DATOS'!$A:$I,3,0),0)</f>
        <v>0</v>
      </c>
      <c r="H797" s="46">
        <f>IFERROR(VLOOKUP($E797,'BASE DE DATOS'!$A:$I,3,0),0)</f>
        <v>0</v>
      </c>
      <c r="I797" s="46">
        <f>IFERROR(VLOOKUP($E797,'BASE DE DATOS'!$A:$I,3,0),0)</f>
        <v>0</v>
      </c>
      <c r="J797" s="46">
        <f>IFERROR(VLOOKUP($E797,'BASE DE DATOS'!$A:$I,3,0),0)</f>
        <v>0</v>
      </c>
      <c r="K797" s="46">
        <f>IFERROR(VLOOKUP($E1056,'BASE DE DATOS'!$A:$I,3,0),0)</f>
        <v>0</v>
      </c>
      <c r="L797" s="46">
        <f>IFERROR(VLOOKUP($E797,'BASE DE DATOS'!$A:$I,3,0),0)</f>
        <v>0</v>
      </c>
    </row>
    <row r="798" spans="4:12" x14ac:dyDescent="0.25">
      <c r="D798" s="46" t="str">
        <f>IFERROR(VLOOKUP($E798,'BASE DE DATOS'!$A:$I,2,0)," ")</f>
        <v xml:space="preserve"> </v>
      </c>
      <c r="F798" s="46">
        <f>IFERROR(VLOOKUP($E811,'BASE DE DATOS'!$A:$I,3,0),0)</f>
        <v>0</v>
      </c>
      <c r="G798" s="46">
        <f>IFERROR(VLOOKUP($E798,'BASE DE DATOS'!$A:$I,3,0),0)</f>
        <v>0</v>
      </c>
      <c r="H798" s="46">
        <f>IFERROR(VLOOKUP($E798,'BASE DE DATOS'!$A:$I,3,0),0)</f>
        <v>0</v>
      </c>
      <c r="I798" s="46">
        <f>IFERROR(VLOOKUP($E798,'BASE DE DATOS'!$A:$I,3,0),0)</f>
        <v>0</v>
      </c>
      <c r="J798" s="46">
        <f>IFERROR(VLOOKUP($E798,'BASE DE DATOS'!$A:$I,3,0),0)</f>
        <v>0</v>
      </c>
      <c r="K798" s="46">
        <f>IFERROR(VLOOKUP($E1057,'BASE DE DATOS'!$A:$I,3,0),0)</f>
        <v>0</v>
      </c>
      <c r="L798" s="46">
        <f>IFERROR(VLOOKUP($E798,'BASE DE DATOS'!$A:$I,3,0),0)</f>
        <v>0</v>
      </c>
    </row>
    <row r="799" spans="4:12" x14ac:dyDescent="0.25">
      <c r="D799" s="46" t="str">
        <f>IFERROR(VLOOKUP($E799,'BASE DE DATOS'!$A:$I,2,0)," ")</f>
        <v xml:space="preserve"> </v>
      </c>
      <c r="F799" s="46">
        <f>IFERROR(VLOOKUP($E812,'BASE DE DATOS'!$A:$I,3,0),0)</f>
        <v>0</v>
      </c>
      <c r="G799" s="46">
        <f>IFERROR(VLOOKUP($E799,'BASE DE DATOS'!$A:$I,3,0),0)</f>
        <v>0</v>
      </c>
      <c r="H799" s="46">
        <f>IFERROR(VLOOKUP($E799,'BASE DE DATOS'!$A:$I,3,0),0)</f>
        <v>0</v>
      </c>
      <c r="I799" s="46">
        <f>IFERROR(VLOOKUP($E799,'BASE DE DATOS'!$A:$I,3,0),0)</f>
        <v>0</v>
      </c>
      <c r="J799" s="46">
        <f>IFERROR(VLOOKUP($E799,'BASE DE DATOS'!$A:$I,3,0),0)</f>
        <v>0</v>
      </c>
      <c r="K799" s="46">
        <f>IFERROR(VLOOKUP($E1058,'BASE DE DATOS'!$A:$I,3,0),0)</f>
        <v>0</v>
      </c>
      <c r="L799" s="46">
        <f>IFERROR(VLOOKUP($E799,'BASE DE DATOS'!$A:$I,3,0),0)</f>
        <v>0</v>
      </c>
    </row>
    <row r="800" spans="4:12" x14ac:dyDescent="0.25">
      <c r="D800" s="46" t="str">
        <f>IFERROR(VLOOKUP($E800,'BASE DE DATOS'!$A:$I,2,0)," ")</f>
        <v xml:space="preserve"> </v>
      </c>
      <c r="F800" s="46">
        <f>IFERROR(VLOOKUP($E813,'BASE DE DATOS'!$A:$I,3,0),0)</f>
        <v>0</v>
      </c>
      <c r="G800" s="46">
        <f>IFERROR(VLOOKUP($E800,'BASE DE DATOS'!$A:$I,3,0),0)</f>
        <v>0</v>
      </c>
      <c r="H800" s="46">
        <f>IFERROR(VLOOKUP($E800,'BASE DE DATOS'!$A:$I,3,0),0)</f>
        <v>0</v>
      </c>
      <c r="I800" s="46">
        <f>IFERROR(VLOOKUP($E800,'BASE DE DATOS'!$A:$I,3,0),0)</f>
        <v>0</v>
      </c>
      <c r="J800" s="46">
        <f>IFERROR(VLOOKUP($E800,'BASE DE DATOS'!$A:$I,3,0),0)</f>
        <v>0</v>
      </c>
      <c r="K800" s="46">
        <f>IFERROR(VLOOKUP($E1059,'BASE DE DATOS'!$A:$I,3,0),0)</f>
        <v>0</v>
      </c>
      <c r="L800" s="46">
        <f>IFERROR(VLOOKUP($E800,'BASE DE DATOS'!$A:$I,3,0),0)</f>
        <v>0</v>
      </c>
    </row>
    <row r="801" spans="4:12" x14ac:dyDescent="0.25">
      <c r="D801" s="46" t="str">
        <f>IFERROR(VLOOKUP($E801,'BASE DE DATOS'!$A:$I,2,0)," ")</f>
        <v xml:space="preserve"> </v>
      </c>
      <c r="F801" s="46">
        <f>IFERROR(VLOOKUP($E814,'BASE DE DATOS'!$A:$I,3,0),0)</f>
        <v>0</v>
      </c>
      <c r="G801" s="46">
        <f>IFERROR(VLOOKUP($E801,'BASE DE DATOS'!$A:$I,3,0),0)</f>
        <v>0</v>
      </c>
      <c r="H801" s="46">
        <f>IFERROR(VLOOKUP($E801,'BASE DE DATOS'!$A:$I,3,0),0)</f>
        <v>0</v>
      </c>
      <c r="I801" s="46">
        <f>IFERROR(VLOOKUP($E801,'BASE DE DATOS'!$A:$I,3,0),0)</f>
        <v>0</v>
      </c>
      <c r="J801" s="46">
        <f>IFERROR(VLOOKUP($E801,'BASE DE DATOS'!$A:$I,3,0),0)</f>
        <v>0</v>
      </c>
      <c r="K801" s="46">
        <f>IFERROR(VLOOKUP($E1060,'BASE DE DATOS'!$A:$I,3,0),0)</f>
        <v>0</v>
      </c>
      <c r="L801" s="46">
        <f>IFERROR(VLOOKUP($E801,'BASE DE DATOS'!$A:$I,3,0),0)</f>
        <v>0</v>
      </c>
    </row>
    <row r="802" spans="4:12" x14ac:dyDescent="0.25">
      <c r="D802" s="46" t="str">
        <f>IFERROR(VLOOKUP($E802,'BASE DE DATOS'!$A:$I,2,0)," ")</f>
        <v xml:space="preserve"> </v>
      </c>
      <c r="F802" s="46">
        <f>IFERROR(VLOOKUP($E815,'BASE DE DATOS'!$A:$I,3,0),0)</f>
        <v>0</v>
      </c>
      <c r="G802" s="46">
        <f>IFERROR(VLOOKUP($E802,'BASE DE DATOS'!$A:$I,3,0),0)</f>
        <v>0</v>
      </c>
      <c r="H802" s="46">
        <f>IFERROR(VLOOKUP($E802,'BASE DE DATOS'!$A:$I,3,0),0)</f>
        <v>0</v>
      </c>
      <c r="I802" s="46">
        <f>IFERROR(VLOOKUP($E802,'BASE DE DATOS'!$A:$I,3,0),0)</f>
        <v>0</v>
      </c>
      <c r="J802" s="46">
        <f>IFERROR(VLOOKUP($E802,'BASE DE DATOS'!$A:$I,3,0),0)</f>
        <v>0</v>
      </c>
      <c r="K802" s="46">
        <f>IFERROR(VLOOKUP($E1061,'BASE DE DATOS'!$A:$I,3,0),0)</f>
        <v>0</v>
      </c>
      <c r="L802" s="46">
        <f>IFERROR(VLOOKUP($E802,'BASE DE DATOS'!$A:$I,3,0),0)</f>
        <v>0</v>
      </c>
    </row>
    <row r="803" spans="4:12" x14ac:dyDescent="0.25">
      <c r="D803" s="46" t="str">
        <f>IFERROR(VLOOKUP($E803,'BASE DE DATOS'!$A:$I,2,0)," ")</f>
        <v xml:space="preserve"> </v>
      </c>
      <c r="F803" s="46">
        <f>IFERROR(VLOOKUP($E816,'BASE DE DATOS'!$A:$I,3,0),0)</f>
        <v>0</v>
      </c>
      <c r="G803" s="46">
        <f>IFERROR(VLOOKUP($E803,'BASE DE DATOS'!$A:$I,3,0),0)</f>
        <v>0</v>
      </c>
      <c r="H803" s="46">
        <f>IFERROR(VLOOKUP($E803,'BASE DE DATOS'!$A:$I,3,0),0)</f>
        <v>0</v>
      </c>
      <c r="I803" s="46">
        <f>IFERROR(VLOOKUP($E803,'BASE DE DATOS'!$A:$I,3,0),0)</f>
        <v>0</v>
      </c>
      <c r="J803" s="46">
        <f>IFERROR(VLOOKUP($E803,'BASE DE DATOS'!$A:$I,3,0),0)</f>
        <v>0</v>
      </c>
      <c r="K803" s="46">
        <f>IFERROR(VLOOKUP($E1062,'BASE DE DATOS'!$A:$I,3,0),0)</f>
        <v>0</v>
      </c>
      <c r="L803" s="46">
        <f>IFERROR(VLOOKUP($E803,'BASE DE DATOS'!$A:$I,3,0),0)</f>
        <v>0</v>
      </c>
    </row>
    <row r="804" spans="4:12" x14ac:dyDescent="0.25">
      <c r="D804" s="46" t="str">
        <f>IFERROR(VLOOKUP($E804,'BASE DE DATOS'!$A:$I,2,0)," ")</f>
        <v xml:space="preserve"> </v>
      </c>
      <c r="F804" s="46">
        <f>IFERROR(VLOOKUP($E817,'BASE DE DATOS'!$A:$I,3,0),0)</f>
        <v>0</v>
      </c>
      <c r="G804" s="46">
        <f>IFERROR(VLOOKUP($E804,'BASE DE DATOS'!$A:$I,3,0),0)</f>
        <v>0</v>
      </c>
      <c r="H804" s="46">
        <f>IFERROR(VLOOKUP($E804,'BASE DE DATOS'!$A:$I,3,0),0)</f>
        <v>0</v>
      </c>
      <c r="I804" s="46">
        <f>IFERROR(VLOOKUP($E804,'BASE DE DATOS'!$A:$I,3,0),0)</f>
        <v>0</v>
      </c>
      <c r="J804" s="46">
        <f>IFERROR(VLOOKUP($E804,'BASE DE DATOS'!$A:$I,3,0),0)</f>
        <v>0</v>
      </c>
      <c r="K804" s="46">
        <f>IFERROR(VLOOKUP($E1063,'BASE DE DATOS'!$A:$I,3,0),0)</f>
        <v>0</v>
      </c>
      <c r="L804" s="46">
        <f>IFERROR(VLOOKUP($E804,'BASE DE DATOS'!$A:$I,3,0),0)</f>
        <v>0</v>
      </c>
    </row>
    <row r="805" spans="4:12" x14ac:dyDescent="0.25">
      <c r="D805" s="46" t="str">
        <f>IFERROR(VLOOKUP($E805,'BASE DE DATOS'!$A:$I,2,0)," ")</f>
        <v xml:space="preserve"> </v>
      </c>
      <c r="F805" s="46">
        <f>IFERROR(VLOOKUP($E818,'BASE DE DATOS'!$A:$I,3,0),0)</f>
        <v>0</v>
      </c>
      <c r="G805" s="46">
        <f>IFERROR(VLOOKUP($E805,'BASE DE DATOS'!$A:$I,3,0),0)</f>
        <v>0</v>
      </c>
      <c r="H805" s="46">
        <f>IFERROR(VLOOKUP($E805,'BASE DE DATOS'!$A:$I,3,0),0)</f>
        <v>0</v>
      </c>
      <c r="I805" s="46">
        <f>IFERROR(VLOOKUP($E805,'BASE DE DATOS'!$A:$I,3,0),0)</f>
        <v>0</v>
      </c>
      <c r="J805" s="46">
        <f>IFERROR(VLOOKUP($E805,'BASE DE DATOS'!$A:$I,3,0),0)</f>
        <v>0</v>
      </c>
      <c r="K805" s="46">
        <f>IFERROR(VLOOKUP($E1064,'BASE DE DATOS'!$A:$I,3,0),0)</f>
        <v>0</v>
      </c>
      <c r="L805" s="46">
        <f>IFERROR(VLOOKUP($E805,'BASE DE DATOS'!$A:$I,3,0),0)</f>
        <v>0</v>
      </c>
    </row>
    <row r="806" spans="4:12" x14ac:dyDescent="0.25">
      <c r="D806" s="46" t="str">
        <f>IFERROR(VLOOKUP($E806,'BASE DE DATOS'!$A:$I,2,0)," ")</f>
        <v xml:space="preserve"> </v>
      </c>
      <c r="F806" s="46">
        <f>IFERROR(VLOOKUP($E819,'BASE DE DATOS'!$A:$I,3,0),0)</f>
        <v>0</v>
      </c>
      <c r="G806" s="46">
        <f>IFERROR(VLOOKUP($E806,'BASE DE DATOS'!$A:$I,3,0),0)</f>
        <v>0</v>
      </c>
      <c r="H806" s="46">
        <f>IFERROR(VLOOKUP($E806,'BASE DE DATOS'!$A:$I,3,0),0)</f>
        <v>0</v>
      </c>
      <c r="I806" s="46">
        <f>IFERROR(VLOOKUP($E806,'BASE DE DATOS'!$A:$I,3,0),0)</f>
        <v>0</v>
      </c>
      <c r="J806" s="46">
        <f>IFERROR(VLOOKUP($E806,'BASE DE DATOS'!$A:$I,3,0),0)</f>
        <v>0</v>
      </c>
      <c r="K806" s="46">
        <f>IFERROR(VLOOKUP($E1065,'BASE DE DATOS'!$A:$I,3,0),0)</f>
        <v>0</v>
      </c>
      <c r="L806" s="46">
        <f>IFERROR(VLOOKUP($E806,'BASE DE DATOS'!$A:$I,3,0),0)</f>
        <v>0</v>
      </c>
    </row>
    <row r="807" spans="4:12" x14ac:dyDescent="0.25">
      <c r="D807" s="46" t="str">
        <f>IFERROR(VLOOKUP($E807,'BASE DE DATOS'!$A:$I,2,0)," ")</f>
        <v xml:space="preserve"> </v>
      </c>
      <c r="F807" s="46">
        <f>IFERROR(VLOOKUP($E820,'BASE DE DATOS'!$A:$I,3,0),0)</f>
        <v>0</v>
      </c>
      <c r="G807" s="46">
        <f>IFERROR(VLOOKUP($E807,'BASE DE DATOS'!$A:$I,3,0),0)</f>
        <v>0</v>
      </c>
      <c r="H807" s="46">
        <f>IFERROR(VLOOKUP($E807,'BASE DE DATOS'!$A:$I,3,0),0)</f>
        <v>0</v>
      </c>
      <c r="I807" s="46">
        <f>IFERROR(VLOOKUP($E807,'BASE DE DATOS'!$A:$I,3,0),0)</f>
        <v>0</v>
      </c>
      <c r="J807" s="46">
        <f>IFERROR(VLOOKUP($E807,'BASE DE DATOS'!$A:$I,3,0),0)</f>
        <v>0</v>
      </c>
      <c r="K807" s="46">
        <f>IFERROR(VLOOKUP($E1066,'BASE DE DATOS'!$A:$I,3,0),0)</f>
        <v>0</v>
      </c>
      <c r="L807" s="46">
        <f>IFERROR(VLOOKUP($E807,'BASE DE DATOS'!$A:$I,3,0),0)</f>
        <v>0</v>
      </c>
    </row>
    <row r="808" spans="4:12" x14ac:dyDescent="0.25">
      <c r="D808" s="46" t="str">
        <f>IFERROR(VLOOKUP($E808,'BASE DE DATOS'!$A:$I,2,0)," ")</f>
        <v xml:space="preserve"> </v>
      </c>
      <c r="F808" s="46">
        <f>IFERROR(VLOOKUP($E821,'BASE DE DATOS'!$A:$I,3,0),0)</f>
        <v>0</v>
      </c>
      <c r="G808" s="46">
        <f>IFERROR(VLOOKUP($E808,'BASE DE DATOS'!$A:$I,3,0),0)</f>
        <v>0</v>
      </c>
      <c r="H808" s="46">
        <f>IFERROR(VLOOKUP($E808,'BASE DE DATOS'!$A:$I,3,0),0)</f>
        <v>0</v>
      </c>
      <c r="I808" s="46">
        <f>IFERROR(VLOOKUP($E808,'BASE DE DATOS'!$A:$I,3,0),0)</f>
        <v>0</v>
      </c>
      <c r="J808" s="46">
        <f>IFERROR(VLOOKUP($E808,'BASE DE DATOS'!$A:$I,3,0),0)</f>
        <v>0</v>
      </c>
      <c r="K808" s="46">
        <f>IFERROR(VLOOKUP($E1067,'BASE DE DATOS'!$A:$I,3,0),0)</f>
        <v>0</v>
      </c>
      <c r="L808" s="46">
        <f>IFERROR(VLOOKUP($E808,'BASE DE DATOS'!$A:$I,3,0),0)</f>
        <v>0</v>
      </c>
    </row>
    <row r="809" spans="4:12" x14ac:dyDescent="0.25">
      <c r="D809" s="46" t="str">
        <f>IFERROR(VLOOKUP($E809,'BASE DE DATOS'!$A:$I,2,0)," ")</f>
        <v xml:space="preserve"> </v>
      </c>
      <c r="F809" s="46">
        <f>IFERROR(VLOOKUP($E822,'BASE DE DATOS'!$A:$I,3,0),0)</f>
        <v>0</v>
      </c>
      <c r="G809" s="46">
        <f>IFERROR(VLOOKUP($E809,'BASE DE DATOS'!$A:$I,3,0),0)</f>
        <v>0</v>
      </c>
      <c r="H809" s="46">
        <f>IFERROR(VLOOKUP($E809,'BASE DE DATOS'!$A:$I,3,0),0)</f>
        <v>0</v>
      </c>
      <c r="I809" s="46">
        <f>IFERROR(VLOOKUP($E809,'BASE DE DATOS'!$A:$I,3,0),0)</f>
        <v>0</v>
      </c>
      <c r="J809" s="46">
        <f>IFERROR(VLOOKUP($E809,'BASE DE DATOS'!$A:$I,3,0),0)</f>
        <v>0</v>
      </c>
      <c r="K809" s="46">
        <f>IFERROR(VLOOKUP($E1068,'BASE DE DATOS'!$A:$I,3,0),0)</f>
        <v>0</v>
      </c>
      <c r="L809" s="46">
        <f>IFERROR(VLOOKUP($E809,'BASE DE DATOS'!$A:$I,3,0),0)</f>
        <v>0</v>
      </c>
    </row>
    <row r="810" spans="4:12" x14ac:dyDescent="0.25">
      <c r="D810" s="46" t="str">
        <f>IFERROR(VLOOKUP($E810,'BASE DE DATOS'!$A:$I,2,0)," ")</f>
        <v xml:space="preserve"> </v>
      </c>
      <c r="F810" s="46">
        <f>IFERROR(VLOOKUP($E823,'BASE DE DATOS'!$A:$I,3,0),0)</f>
        <v>0</v>
      </c>
      <c r="G810" s="46">
        <f>IFERROR(VLOOKUP($E810,'BASE DE DATOS'!$A:$I,3,0),0)</f>
        <v>0</v>
      </c>
      <c r="H810" s="46">
        <f>IFERROR(VLOOKUP($E810,'BASE DE DATOS'!$A:$I,3,0),0)</f>
        <v>0</v>
      </c>
      <c r="I810" s="46">
        <f>IFERROR(VLOOKUP($E810,'BASE DE DATOS'!$A:$I,3,0),0)</f>
        <v>0</v>
      </c>
      <c r="J810" s="46">
        <f>IFERROR(VLOOKUP($E810,'BASE DE DATOS'!$A:$I,3,0),0)</f>
        <v>0</v>
      </c>
      <c r="K810" s="46">
        <f>IFERROR(VLOOKUP($E1069,'BASE DE DATOS'!$A:$I,3,0),0)</f>
        <v>0</v>
      </c>
      <c r="L810" s="46">
        <f>IFERROR(VLOOKUP($E810,'BASE DE DATOS'!$A:$I,3,0),0)</f>
        <v>0</v>
      </c>
    </row>
    <row r="811" spans="4:12" x14ac:dyDescent="0.25">
      <c r="D811" s="46" t="str">
        <f>IFERROR(VLOOKUP($E811,'BASE DE DATOS'!$A:$I,2,0)," ")</f>
        <v xml:space="preserve"> </v>
      </c>
      <c r="F811" s="46">
        <f>IFERROR(VLOOKUP($E824,'BASE DE DATOS'!$A:$I,3,0),0)</f>
        <v>0</v>
      </c>
      <c r="G811" s="46">
        <f>IFERROR(VLOOKUP($E811,'BASE DE DATOS'!$A:$I,3,0),0)</f>
        <v>0</v>
      </c>
      <c r="H811" s="46">
        <f>IFERROR(VLOOKUP($E811,'BASE DE DATOS'!$A:$I,3,0),0)</f>
        <v>0</v>
      </c>
      <c r="I811" s="46">
        <f>IFERROR(VLOOKUP($E811,'BASE DE DATOS'!$A:$I,3,0),0)</f>
        <v>0</v>
      </c>
      <c r="J811" s="46">
        <f>IFERROR(VLOOKUP($E811,'BASE DE DATOS'!$A:$I,3,0),0)</f>
        <v>0</v>
      </c>
      <c r="K811" s="46">
        <f>IFERROR(VLOOKUP($E1070,'BASE DE DATOS'!$A:$I,3,0),0)</f>
        <v>0</v>
      </c>
      <c r="L811" s="46">
        <f>IFERROR(VLOOKUP($E811,'BASE DE DATOS'!$A:$I,3,0),0)</f>
        <v>0</v>
      </c>
    </row>
    <row r="812" spans="4:12" x14ac:dyDescent="0.25">
      <c r="D812" s="46" t="str">
        <f>IFERROR(VLOOKUP($E812,'BASE DE DATOS'!$A:$I,2,0)," ")</f>
        <v xml:space="preserve"> </v>
      </c>
      <c r="F812" s="46">
        <f>IFERROR(VLOOKUP($E825,'BASE DE DATOS'!$A:$I,3,0),0)</f>
        <v>0</v>
      </c>
      <c r="G812" s="46">
        <f>IFERROR(VLOOKUP($E812,'BASE DE DATOS'!$A:$I,3,0),0)</f>
        <v>0</v>
      </c>
      <c r="H812" s="46">
        <f>IFERROR(VLOOKUP($E812,'BASE DE DATOS'!$A:$I,3,0),0)</f>
        <v>0</v>
      </c>
      <c r="I812" s="46">
        <f>IFERROR(VLOOKUP($E812,'BASE DE DATOS'!$A:$I,3,0),0)</f>
        <v>0</v>
      </c>
      <c r="J812" s="46">
        <f>IFERROR(VLOOKUP($E812,'BASE DE DATOS'!$A:$I,3,0),0)</f>
        <v>0</v>
      </c>
      <c r="K812" s="46">
        <f>IFERROR(VLOOKUP($E1071,'BASE DE DATOS'!$A:$I,3,0),0)</f>
        <v>0</v>
      </c>
      <c r="L812" s="46">
        <f>IFERROR(VLOOKUP($E812,'BASE DE DATOS'!$A:$I,3,0),0)</f>
        <v>0</v>
      </c>
    </row>
    <row r="813" spans="4:12" x14ac:dyDescent="0.25">
      <c r="D813" s="46" t="str">
        <f>IFERROR(VLOOKUP($E813,'BASE DE DATOS'!$A:$I,2,0)," ")</f>
        <v xml:space="preserve"> </v>
      </c>
      <c r="F813" s="46">
        <f>IFERROR(VLOOKUP($E826,'BASE DE DATOS'!$A:$I,3,0),0)</f>
        <v>0</v>
      </c>
      <c r="G813" s="46">
        <f>IFERROR(VLOOKUP($E813,'BASE DE DATOS'!$A:$I,3,0),0)</f>
        <v>0</v>
      </c>
      <c r="H813" s="46">
        <f>IFERROR(VLOOKUP($E813,'BASE DE DATOS'!$A:$I,3,0),0)</f>
        <v>0</v>
      </c>
      <c r="I813" s="46">
        <f>IFERROR(VLOOKUP($E813,'BASE DE DATOS'!$A:$I,3,0),0)</f>
        <v>0</v>
      </c>
      <c r="J813" s="46">
        <f>IFERROR(VLOOKUP($E813,'BASE DE DATOS'!$A:$I,3,0),0)</f>
        <v>0</v>
      </c>
      <c r="K813" s="46">
        <f>IFERROR(VLOOKUP($E1072,'BASE DE DATOS'!$A:$I,3,0),0)</f>
        <v>0</v>
      </c>
      <c r="L813" s="46">
        <f>IFERROR(VLOOKUP($E813,'BASE DE DATOS'!$A:$I,3,0),0)</f>
        <v>0</v>
      </c>
    </row>
    <row r="814" spans="4:12" x14ac:dyDescent="0.25">
      <c r="D814" s="46" t="str">
        <f>IFERROR(VLOOKUP($E814,'BASE DE DATOS'!$A:$I,2,0)," ")</f>
        <v xml:space="preserve"> </v>
      </c>
      <c r="F814" s="46">
        <f>IFERROR(VLOOKUP($E827,'BASE DE DATOS'!$A:$I,3,0),0)</f>
        <v>0</v>
      </c>
      <c r="G814" s="46">
        <f>IFERROR(VLOOKUP($E814,'BASE DE DATOS'!$A:$I,3,0),0)</f>
        <v>0</v>
      </c>
      <c r="H814" s="46">
        <f>IFERROR(VLOOKUP($E814,'BASE DE DATOS'!$A:$I,3,0),0)</f>
        <v>0</v>
      </c>
      <c r="I814" s="46">
        <f>IFERROR(VLOOKUP($E814,'BASE DE DATOS'!$A:$I,3,0),0)</f>
        <v>0</v>
      </c>
      <c r="J814" s="46">
        <f>IFERROR(VLOOKUP($E814,'BASE DE DATOS'!$A:$I,3,0),0)</f>
        <v>0</v>
      </c>
      <c r="K814" s="46">
        <f>IFERROR(VLOOKUP($E1073,'BASE DE DATOS'!$A:$I,3,0),0)</f>
        <v>0</v>
      </c>
      <c r="L814" s="46">
        <f>IFERROR(VLOOKUP($E814,'BASE DE DATOS'!$A:$I,3,0),0)</f>
        <v>0</v>
      </c>
    </row>
    <row r="815" spans="4:12" x14ac:dyDescent="0.25">
      <c r="D815" s="46" t="str">
        <f>IFERROR(VLOOKUP($E815,'BASE DE DATOS'!$A:$I,2,0)," ")</f>
        <v xml:space="preserve"> </v>
      </c>
      <c r="F815" s="46">
        <f>IFERROR(VLOOKUP($E828,'BASE DE DATOS'!$A:$I,3,0),0)</f>
        <v>0</v>
      </c>
      <c r="G815" s="46">
        <f>IFERROR(VLOOKUP($E815,'BASE DE DATOS'!$A:$I,3,0),0)</f>
        <v>0</v>
      </c>
      <c r="H815" s="46">
        <f>IFERROR(VLOOKUP($E815,'BASE DE DATOS'!$A:$I,3,0),0)</f>
        <v>0</v>
      </c>
      <c r="I815" s="46">
        <f>IFERROR(VLOOKUP($E815,'BASE DE DATOS'!$A:$I,3,0),0)</f>
        <v>0</v>
      </c>
      <c r="J815" s="46">
        <f>IFERROR(VLOOKUP($E815,'BASE DE DATOS'!$A:$I,3,0),0)</f>
        <v>0</v>
      </c>
      <c r="K815" s="46">
        <f>IFERROR(VLOOKUP($E1074,'BASE DE DATOS'!$A:$I,3,0),0)</f>
        <v>0</v>
      </c>
      <c r="L815" s="46">
        <f>IFERROR(VLOOKUP($E815,'BASE DE DATOS'!$A:$I,3,0),0)</f>
        <v>0</v>
      </c>
    </row>
    <row r="816" spans="4:12" x14ac:dyDescent="0.25">
      <c r="D816" s="46" t="str">
        <f>IFERROR(VLOOKUP($E816,'BASE DE DATOS'!$A:$I,2,0)," ")</f>
        <v xml:space="preserve"> </v>
      </c>
      <c r="F816" s="46">
        <f>IFERROR(VLOOKUP($E829,'BASE DE DATOS'!$A:$I,3,0),0)</f>
        <v>0</v>
      </c>
      <c r="G816" s="46">
        <f>IFERROR(VLOOKUP($E816,'BASE DE DATOS'!$A:$I,3,0),0)</f>
        <v>0</v>
      </c>
      <c r="H816" s="46">
        <f>IFERROR(VLOOKUP($E816,'BASE DE DATOS'!$A:$I,3,0),0)</f>
        <v>0</v>
      </c>
      <c r="I816" s="46">
        <f>IFERROR(VLOOKUP($E816,'BASE DE DATOS'!$A:$I,3,0),0)</f>
        <v>0</v>
      </c>
      <c r="J816" s="46">
        <f>IFERROR(VLOOKUP($E816,'BASE DE DATOS'!$A:$I,3,0),0)</f>
        <v>0</v>
      </c>
      <c r="K816" s="46">
        <f>IFERROR(VLOOKUP($E1075,'BASE DE DATOS'!$A:$I,3,0),0)</f>
        <v>0</v>
      </c>
      <c r="L816" s="46">
        <f>IFERROR(VLOOKUP($E816,'BASE DE DATOS'!$A:$I,3,0),0)</f>
        <v>0</v>
      </c>
    </row>
    <row r="817" spans="4:12" x14ac:dyDescent="0.25">
      <c r="D817" s="46" t="str">
        <f>IFERROR(VLOOKUP($E817,'BASE DE DATOS'!$A:$I,2,0)," ")</f>
        <v xml:space="preserve"> </v>
      </c>
      <c r="F817" s="46">
        <f>IFERROR(VLOOKUP($E830,'BASE DE DATOS'!$A:$I,3,0),0)</f>
        <v>0</v>
      </c>
      <c r="G817" s="46">
        <f>IFERROR(VLOOKUP($E817,'BASE DE DATOS'!$A:$I,3,0),0)</f>
        <v>0</v>
      </c>
      <c r="H817" s="46">
        <f>IFERROR(VLOOKUP($E817,'BASE DE DATOS'!$A:$I,3,0),0)</f>
        <v>0</v>
      </c>
      <c r="I817" s="46">
        <f>IFERROR(VLOOKUP($E817,'BASE DE DATOS'!$A:$I,3,0),0)</f>
        <v>0</v>
      </c>
      <c r="J817" s="46">
        <f>IFERROR(VLOOKUP($E817,'BASE DE DATOS'!$A:$I,3,0),0)</f>
        <v>0</v>
      </c>
      <c r="K817" s="46">
        <f>IFERROR(VLOOKUP($E1076,'BASE DE DATOS'!$A:$I,3,0),0)</f>
        <v>0</v>
      </c>
      <c r="L817" s="46">
        <f>IFERROR(VLOOKUP($E817,'BASE DE DATOS'!$A:$I,3,0),0)</f>
        <v>0</v>
      </c>
    </row>
    <row r="818" spans="4:12" x14ac:dyDescent="0.25">
      <c r="D818" s="46" t="str">
        <f>IFERROR(VLOOKUP($E818,'BASE DE DATOS'!$A:$I,2,0)," ")</f>
        <v xml:space="preserve"> </v>
      </c>
      <c r="F818" s="46">
        <f>IFERROR(VLOOKUP($E831,'BASE DE DATOS'!$A:$I,3,0),0)</f>
        <v>0</v>
      </c>
      <c r="G818" s="46">
        <f>IFERROR(VLOOKUP($E818,'BASE DE DATOS'!$A:$I,3,0),0)</f>
        <v>0</v>
      </c>
      <c r="H818" s="46">
        <f>IFERROR(VLOOKUP($E818,'BASE DE DATOS'!$A:$I,3,0),0)</f>
        <v>0</v>
      </c>
      <c r="I818" s="46">
        <f>IFERROR(VLOOKUP($E818,'BASE DE DATOS'!$A:$I,3,0),0)</f>
        <v>0</v>
      </c>
      <c r="J818" s="46">
        <f>IFERROR(VLOOKUP($E818,'BASE DE DATOS'!$A:$I,3,0),0)</f>
        <v>0</v>
      </c>
      <c r="K818" s="46">
        <f>IFERROR(VLOOKUP($E1077,'BASE DE DATOS'!$A:$I,3,0),0)</f>
        <v>0</v>
      </c>
      <c r="L818" s="46">
        <f>IFERROR(VLOOKUP($E818,'BASE DE DATOS'!$A:$I,3,0),0)</f>
        <v>0</v>
      </c>
    </row>
    <row r="819" spans="4:12" x14ac:dyDescent="0.25">
      <c r="D819" s="46" t="str">
        <f>IFERROR(VLOOKUP($E819,'BASE DE DATOS'!$A:$I,2,0)," ")</f>
        <v xml:space="preserve"> </v>
      </c>
      <c r="F819" s="46">
        <f>IFERROR(VLOOKUP($E832,'BASE DE DATOS'!$A:$I,3,0),0)</f>
        <v>0</v>
      </c>
      <c r="G819" s="46">
        <f>IFERROR(VLOOKUP($E819,'BASE DE DATOS'!$A:$I,3,0),0)</f>
        <v>0</v>
      </c>
      <c r="H819" s="46">
        <f>IFERROR(VLOOKUP($E819,'BASE DE DATOS'!$A:$I,3,0),0)</f>
        <v>0</v>
      </c>
      <c r="I819" s="46">
        <f>IFERROR(VLOOKUP($E819,'BASE DE DATOS'!$A:$I,3,0),0)</f>
        <v>0</v>
      </c>
      <c r="J819" s="46">
        <f>IFERROR(VLOOKUP($E819,'BASE DE DATOS'!$A:$I,3,0),0)</f>
        <v>0</v>
      </c>
      <c r="K819" s="46">
        <f>IFERROR(VLOOKUP($E1078,'BASE DE DATOS'!$A:$I,3,0),0)</f>
        <v>0</v>
      </c>
      <c r="L819" s="46">
        <f>IFERROR(VLOOKUP($E819,'BASE DE DATOS'!$A:$I,3,0),0)</f>
        <v>0</v>
      </c>
    </row>
    <row r="820" spans="4:12" x14ac:dyDescent="0.25">
      <c r="D820" s="46" t="str">
        <f>IFERROR(VLOOKUP($E820,'BASE DE DATOS'!$A:$I,2,0)," ")</f>
        <v xml:space="preserve"> </v>
      </c>
      <c r="F820" s="46">
        <f>IFERROR(VLOOKUP($E833,'BASE DE DATOS'!$A:$I,3,0),0)</f>
        <v>0</v>
      </c>
      <c r="G820" s="46">
        <f>IFERROR(VLOOKUP($E820,'BASE DE DATOS'!$A:$I,3,0),0)</f>
        <v>0</v>
      </c>
      <c r="H820" s="46">
        <f>IFERROR(VLOOKUP($E820,'BASE DE DATOS'!$A:$I,3,0),0)</f>
        <v>0</v>
      </c>
      <c r="I820" s="46">
        <f>IFERROR(VLOOKUP($E820,'BASE DE DATOS'!$A:$I,3,0),0)</f>
        <v>0</v>
      </c>
      <c r="J820" s="46">
        <f>IFERROR(VLOOKUP($E820,'BASE DE DATOS'!$A:$I,3,0),0)</f>
        <v>0</v>
      </c>
      <c r="K820" s="46">
        <f>IFERROR(VLOOKUP($E1079,'BASE DE DATOS'!$A:$I,3,0),0)</f>
        <v>0</v>
      </c>
      <c r="L820" s="46">
        <f>IFERROR(VLOOKUP($E820,'BASE DE DATOS'!$A:$I,3,0),0)</f>
        <v>0</v>
      </c>
    </row>
    <row r="821" spans="4:12" x14ac:dyDescent="0.25">
      <c r="D821" s="46" t="str">
        <f>IFERROR(VLOOKUP($E821,'BASE DE DATOS'!$A:$I,2,0)," ")</f>
        <v xml:space="preserve"> </v>
      </c>
      <c r="F821" s="46">
        <f>IFERROR(VLOOKUP($E834,'BASE DE DATOS'!$A:$I,3,0),0)</f>
        <v>0</v>
      </c>
      <c r="G821" s="46">
        <f>IFERROR(VLOOKUP($E821,'BASE DE DATOS'!$A:$I,3,0),0)</f>
        <v>0</v>
      </c>
      <c r="H821" s="46">
        <f>IFERROR(VLOOKUP($E821,'BASE DE DATOS'!$A:$I,3,0),0)</f>
        <v>0</v>
      </c>
      <c r="I821" s="46">
        <f>IFERROR(VLOOKUP($E821,'BASE DE DATOS'!$A:$I,3,0),0)</f>
        <v>0</v>
      </c>
      <c r="J821" s="46">
        <f>IFERROR(VLOOKUP($E821,'BASE DE DATOS'!$A:$I,3,0),0)</f>
        <v>0</v>
      </c>
      <c r="K821" s="46">
        <f>IFERROR(VLOOKUP($E1080,'BASE DE DATOS'!$A:$I,3,0),0)</f>
        <v>0</v>
      </c>
      <c r="L821" s="46">
        <f>IFERROR(VLOOKUP($E821,'BASE DE DATOS'!$A:$I,3,0),0)</f>
        <v>0</v>
      </c>
    </row>
    <row r="822" spans="4:12" x14ac:dyDescent="0.25">
      <c r="D822" s="46" t="str">
        <f>IFERROR(VLOOKUP($E822,'BASE DE DATOS'!$A:$I,2,0)," ")</f>
        <v xml:space="preserve"> </v>
      </c>
      <c r="F822" s="46">
        <f>IFERROR(VLOOKUP($E835,'BASE DE DATOS'!$A:$I,3,0),0)</f>
        <v>0</v>
      </c>
      <c r="G822" s="46">
        <f>IFERROR(VLOOKUP($E822,'BASE DE DATOS'!$A:$I,3,0),0)</f>
        <v>0</v>
      </c>
      <c r="H822" s="46">
        <f>IFERROR(VLOOKUP($E822,'BASE DE DATOS'!$A:$I,3,0),0)</f>
        <v>0</v>
      </c>
      <c r="I822" s="46">
        <f>IFERROR(VLOOKUP($E822,'BASE DE DATOS'!$A:$I,3,0),0)</f>
        <v>0</v>
      </c>
      <c r="J822" s="46">
        <f>IFERROR(VLOOKUP($E822,'BASE DE DATOS'!$A:$I,3,0),0)</f>
        <v>0</v>
      </c>
      <c r="K822" s="46">
        <f>IFERROR(VLOOKUP($E1081,'BASE DE DATOS'!$A:$I,3,0),0)</f>
        <v>0</v>
      </c>
      <c r="L822" s="46">
        <f>IFERROR(VLOOKUP($E822,'BASE DE DATOS'!$A:$I,3,0),0)</f>
        <v>0</v>
      </c>
    </row>
    <row r="823" spans="4:12" x14ac:dyDescent="0.25">
      <c r="D823" s="46" t="str">
        <f>IFERROR(VLOOKUP($E823,'BASE DE DATOS'!$A:$I,2,0)," ")</f>
        <v xml:space="preserve"> </v>
      </c>
      <c r="F823" s="46">
        <f>IFERROR(VLOOKUP($E836,'BASE DE DATOS'!$A:$I,3,0),0)</f>
        <v>0</v>
      </c>
      <c r="G823" s="46">
        <f>IFERROR(VLOOKUP($E823,'BASE DE DATOS'!$A:$I,3,0),0)</f>
        <v>0</v>
      </c>
      <c r="H823" s="46">
        <f>IFERROR(VLOOKUP($E823,'BASE DE DATOS'!$A:$I,3,0),0)</f>
        <v>0</v>
      </c>
      <c r="I823" s="46">
        <f>IFERROR(VLOOKUP($E823,'BASE DE DATOS'!$A:$I,3,0),0)</f>
        <v>0</v>
      </c>
      <c r="J823" s="46">
        <f>IFERROR(VLOOKUP($E823,'BASE DE DATOS'!$A:$I,3,0),0)</f>
        <v>0</v>
      </c>
      <c r="K823" s="46">
        <f>IFERROR(VLOOKUP($E1082,'BASE DE DATOS'!$A:$I,3,0),0)</f>
        <v>0</v>
      </c>
      <c r="L823" s="46">
        <f>IFERROR(VLOOKUP($E823,'BASE DE DATOS'!$A:$I,3,0),0)</f>
        <v>0</v>
      </c>
    </row>
    <row r="824" spans="4:12" x14ac:dyDescent="0.25">
      <c r="D824" s="46" t="str">
        <f>IFERROR(VLOOKUP($E824,'BASE DE DATOS'!$A:$I,2,0)," ")</f>
        <v xml:space="preserve"> </v>
      </c>
      <c r="F824" s="46">
        <f>IFERROR(VLOOKUP($E837,'BASE DE DATOS'!$A:$I,3,0),0)</f>
        <v>0</v>
      </c>
      <c r="G824" s="46">
        <f>IFERROR(VLOOKUP($E824,'BASE DE DATOS'!$A:$I,3,0),0)</f>
        <v>0</v>
      </c>
      <c r="H824" s="46">
        <f>IFERROR(VLOOKUP($E824,'BASE DE DATOS'!$A:$I,3,0),0)</f>
        <v>0</v>
      </c>
      <c r="I824" s="46">
        <f>IFERROR(VLOOKUP($E824,'BASE DE DATOS'!$A:$I,3,0),0)</f>
        <v>0</v>
      </c>
      <c r="J824" s="46">
        <f>IFERROR(VLOOKUP($E824,'BASE DE DATOS'!$A:$I,3,0),0)</f>
        <v>0</v>
      </c>
      <c r="K824" s="46">
        <f>IFERROR(VLOOKUP($E1083,'BASE DE DATOS'!$A:$I,3,0),0)</f>
        <v>0</v>
      </c>
      <c r="L824" s="46">
        <f>IFERROR(VLOOKUP($E824,'BASE DE DATOS'!$A:$I,3,0),0)</f>
        <v>0</v>
      </c>
    </row>
    <row r="825" spans="4:12" x14ac:dyDescent="0.25">
      <c r="D825" s="46" t="str">
        <f>IFERROR(VLOOKUP($E825,'BASE DE DATOS'!$A:$I,2,0)," ")</f>
        <v xml:space="preserve"> </v>
      </c>
      <c r="F825" s="46">
        <f>IFERROR(VLOOKUP($E838,'BASE DE DATOS'!$A:$I,3,0),0)</f>
        <v>0</v>
      </c>
      <c r="G825" s="46">
        <f>IFERROR(VLOOKUP($E825,'BASE DE DATOS'!$A:$I,3,0),0)</f>
        <v>0</v>
      </c>
      <c r="H825" s="46">
        <f>IFERROR(VLOOKUP($E825,'BASE DE DATOS'!$A:$I,3,0),0)</f>
        <v>0</v>
      </c>
      <c r="I825" s="46">
        <f>IFERROR(VLOOKUP($E825,'BASE DE DATOS'!$A:$I,3,0),0)</f>
        <v>0</v>
      </c>
      <c r="J825" s="46">
        <f>IFERROR(VLOOKUP($E825,'BASE DE DATOS'!$A:$I,3,0),0)</f>
        <v>0</v>
      </c>
      <c r="K825" s="46">
        <f>IFERROR(VLOOKUP($E1084,'BASE DE DATOS'!$A:$I,3,0),0)</f>
        <v>0</v>
      </c>
      <c r="L825" s="46">
        <f>IFERROR(VLOOKUP($E825,'BASE DE DATOS'!$A:$I,3,0),0)</f>
        <v>0</v>
      </c>
    </row>
    <row r="826" spans="4:12" x14ac:dyDescent="0.25">
      <c r="D826" s="46" t="str">
        <f>IFERROR(VLOOKUP($E826,'BASE DE DATOS'!$A:$I,2,0)," ")</f>
        <v xml:space="preserve"> </v>
      </c>
      <c r="F826" s="46">
        <f>IFERROR(VLOOKUP($E839,'BASE DE DATOS'!$A:$I,3,0),0)</f>
        <v>0</v>
      </c>
      <c r="G826" s="46">
        <f>IFERROR(VLOOKUP($E826,'BASE DE DATOS'!$A:$I,3,0),0)</f>
        <v>0</v>
      </c>
      <c r="H826" s="46">
        <f>IFERROR(VLOOKUP($E826,'BASE DE DATOS'!$A:$I,3,0),0)</f>
        <v>0</v>
      </c>
      <c r="I826" s="46">
        <f>IFERROR(VLOOKUP($E826,'BASE DE DATOS'!$A:$I,3,0),0)</f>
        <v>0</v>
      </c>
      <c r="J826" s="46">
        <f>IFERROR(VLOOKUP($E826,'BASE DE DATOS'!$A:$I,3,0),0)</f>
        <v>0</v>
      </c>
      <c r="K826" s="46">
        <f>IFERROR(VLOOKUP($E1085,'BASE DE DATOS'!$A:$I,3,0),0)</f>
        <v>0</v>
      </c>
      <c r="L826" s="46">
        <f>IFERROR(VLOOKUP($E826,'BASE DE DATOS'!$A:$I,3,0),0)</f>
        <v>0</v>
      </c>
    </row>
    <row r="827" spans="4:12" x14ac:dyDescent="0.25">
      <c r="D827" s="46" t="str">
        <f>IFERROR(VLOOKUP($E827,'BASE DE DATOS'!$A:$I,2,0)," ")</f>
        <v xml:space="preserve"> </v>
      </c>
      <c r="F827" s="46">
        <f>IFERROR(VLOOKUP($E840,'BASE DE DATOS'!$A:$I,3,0),0)</f>
        <v>0</v>
      </c>
      <c r="G827" s="46">
        <f>IFERROR(VLOOKUP($E827,'BASE DE DATOS'!$A:$I,3,0),0)</f>
        <v>0</v>
      </c>
      <c r="H827" s="46">
        <f>IFERROR(VLOOKUP($E827,'BASE DE DATOS'!$A:$I,3,0),0)</f>
        <v>0</v>
      </c>
      <c r="I827" s="46">
        <f>IFERROR(VLOOKUP($E827,'BASE DE DATOS'!$A:$I,3,0),0)</f>
        <v>0</v>
      </c>
      <c r="J827" s="46">
        <f>IFERROR(VLOOKUP($E827,'BASE DE DATOS'!$A:$I,3,0),0)</f>
        <v>0</v>
      </c>
      <c r="K827" s="46">
        <f>IFERROR(VLOOKUP($E1086,'BASE DE DATOS'!$A:$I,3,0),0)</f>
        <v>0</v>
      </c>
      <c r="L827" s="46">
        <f>IFERROR(VLOOKUP($E827,'BASE DE DATOS'!$A:$I,3,0),0)</f>
        <v>0</v>
      </c>
    </row>
    <row r="828" spans="4:12" x14ac:dyDescent="0.25">
      <c r="D828" s="46" t="str">
        <f>IFERROR(VLOOKUP($E828,'BASE DE DATOS'!$A:$I,2,0)," ")</f>
        <v xml:space="preserve"> </v>
      </c>
      <c r="F828" s="46">
        <f>IFERROR(VLOOKUP($E841,'BASE DE DATOS'!$A:$I,3,0),0)</f>
        <v>0</v>
      </c>
      <c r="G828" s="46">
        <f>IFERROR(VLOOKUP($E828,'BASE DE DATOS'!$A:$I,3,0),0)</f>
        <v>0</v>
      </c>
      <c r="H828" s="46">
        <f>IFERROR(VLOOKUP($E828,'BASE DE DATOS'!$A:$I,3,0),0)</f>
        <v>0</v>
      </c>
      <c r="I828" s="46">
        <f>IFERROR(VLOOKUP($E828,'BASE DE DATOS'!$A:$I,3,0),0)</f>
        <v>0</v>
      </c>
      <c r="J828" s="46">
        <f>IFERROR(VLOOKUP($E828,'BASE DE DATOS'!$A:$I,3,0),0)</f>
        <v>0</v>
      </c>
      <c r="K828" s="46">
        <f>IFERROR(VLOOKUP($E1087,'BASE DE DATOS'!$A:$I,3,0),0)</f>
        <v>0</v>
      </c>
      <c r="L828" s="46">
        <f>IFERROR(VLOOKUP($E828,'BASE DE DATOS'!$A:$I,3,0),0)</f>
        <v>0</v>
      </c>
    </row>
    <row r="829" spans="4:12" x14ac:dyDescent="0.25">
      <c r="D829" s="46" t="str">
        <f>IFERROR(VLOOKUP($E829,'BASE DE DATOS'!$A:$I,2,0)," ")</f>
        <v xml:space="preserve"> </v>
      </c>
      <c r="F829" s="46">
        <f>IFERROR(VLOOKUP($E842,'BASE DE DATOS'!$A:$I,3,0),0)</f>
        <v>0</v>
      </c>
      <c r="G829" s="46">
        <f>IFERROR(VLOOKUP($E829,'BASE DE DATOS'!$A:$I,3,0),0)</f>
        <v>0</v>
      </c>
      <c r="H829" s="46">
        <f>IFERROR(VLOOKUP($E829,'BASE DE DATOS'!$A:$I,3,0),0)</f>
        <v>0</v>
      </c>
      <c r="I829" s="46">
        <f>IFERROR(VLOOKUP($E829,'BASE DE DATOS'!$A:$I,3,0),0)</f>
        <v>0</v>
      </c>
      <c r="J829" s="46">
        <f>IFERROR(VLOOKUP($E829,'BASE DE DATOS'!$A:$I,3,0),0)</f>
        <v>0</v>
      </c>
      <c r="K829" s="46">
        <f>IFERROR(VLOOKUP($E1088,'BASE DE DATOS'!$A:$I,3,0),0)</f>
        <v>0</v>
      </c>
      <c r="L829" s="46">
        <f>IFERROR(VLOOKUP($E829,'BASE DE DATOS'!$A:$I,3,0),0)</f>
        <v>0</v>
      </c>
    </row>
    <row r="830" spans="4:12" x14ac:dyDescent="0.25">
      <c r="D830" s="46" t="str">
        <f>IFERROR(VLOOKUP($E830,'BASE DE DATOS'!$A:$I,2,0)," ")</f>
        <v xml:space="preserve"> </v>
      </c>
      <c r="F830" s="46">
        <f>IFERROR(VLOOKUP($E843,'BASE DE DATOS'!$A:$I,3,0),0)</f>
        <v>0</v>
      </c>
      <c r="G830" s="46">
        <f>IFERROR(VLOOKUP($E830,'BASE DE DATOS'!$A:$I,3,0),0)</f>
        <v>0</v>
      </c>
      <c r="H830" s="46">
        <f>IFERROR(VLOOKUP($E830,'BASE DE DATOS'!$A:$I,3,0),0)</f>
        <v>0</v>
      </c>
      <c r="I830" s="46">
        <f>IFERROR(VLOOKUP($E830,'BASE DE DATOS'!$A:$I,3,0),0)</f>
        <v>0</v>
      </c>
      <c r="J830" s="46">
        <f>IFERROR(VLOOKUP($E830,'BASE DE DATOS'!$A:$I,3,0),0)</f>
        <v>0</v>
      </c>
      <c r="K830" s="46">
        <f>IFERROR(VLOOKUP($E1089,'BASE DE DATOS'!$A:$I,3,0),0)</f>
        <v>0</v>
      </c>
      <c r="L830" s="46">
        <f>IFERROR(VLOOKUP($E830,'BASE DE DATOS'!$A:$I,3,0),0)</f>
        <v>0</v>
      </c>
    </row>
    <row r="831" spans="4:12" x14ac:dyDescent="0.25">
      <c r="D831" s="46" t="str">
        <f>IFERROR(VLOOKUP($E831,'BASE DE DATOS'!$A:$I,2,0)," ")</f>
        <v xml:space="preserve"> </v>
      </c>
      <c r="F831" s="46">
        <f>IFERROR(VLOOKUP($E844,'BASE DE DATOS'!$A:$I,3,0),0)</f>
        <v>0</v>
      </c>
      <c r="G831" s="46">
        <f>IFERROR(VLOOKUP($E831,'BASE DE DATOS'!$A:$I,3,0),0)</f>
        <v>0</v>
      </c>
      <c r="H831" s="46">
        <f>IFERROR(VLOOKUP($E831,'BASE DE DATOS'!$A:$I,3,0),0)</f>
        <v>0</v>
      </c>
      <c r="I831" s="46">
        <f>IFERROR(VLOOKUP($E831,'BASE DE DATOS'!$A:$I,3,0),0)</f>
        <v>0</v>
      </c>
      <c r="J831" s="46">
        <f>IFERROR(VLOOKUP($E831,'BASE DE DATOS'!$A:$I,3,0),0)</f>
        <v>0</v>
      </c>
      <c r="K831" s="46">
        <f>IFERROR(VLOOKUP($E1090,'BASE DE DATOS'!$A:$I,3,0),0)</f>
        <v>0</v>
      </c>
      <c r="L831" s="46">
        <f>IFERROR(VLOOKUP($E831,'BASE DE DATOS'!$A:$I,3,0),0)</f>
        <v>0</v>
      </c>
    </row>
    <row r="832" spans="4:12" x14ac:dyDescent="0.25">
      <c r="D832" s="46" t="str">
        <f>IFERROR(VLOOKUP($E832,'BASE DE DATOS'!$A:$I,2,0)," ")</f>
        <v xml:space="preserve"> </v>
      </c>
      <c r="F832" s="46">
        <f>IFERROR(VLOOKUP($E845,'BASE DE DATOS'!$A:$I,3,0),0)</f>
        <v>0</v>
      </c>
      <c r="G832" s="46">
        <f>IFERROR(VLOOKUP($E832,'BASE DE DATOS'!$A:$I,3,0),0)</f>
        <v>0</v>
      </c>
      <c r="H832" s="46">
        <f>IFERROR(VLOOKUP($E832,'BASE DE DATOS'!$A:$I,3,0),0)</f>
        <v>0</v>
      </c>
      <c r="I832" s="46">
        <f>IFERROR(VLOOKUP($E832,'BASE DE DATOS'!$A:$I,3,0),0)</f>
        <v>0</v>
      </c>
      <c r="J832" s="46">
        <f>IFERROR(VLOOKUP($E832,'BASE DE DATOS'!$A:$I,3,0),0)</f>
        <v>0</v>
      </c>
      <c r="K832" s="46">
        <f>IFERROR(VLOOKUP($E1091,'BASE DE DATOS'!$A:$I,3,0),0)</f>
        <v>0</v>
      </c>
      <c r="L832" s="46">
        <f>IFERROR(VLOOKUP($E832,'BASE DE DATOS'!$A:$I,3,0),0)</f>
        <v>0</v>
      </c>
    </row>
    <row r="833" spans="4:12" x14ac:dyDescent="0.25">
      <c r="D833" s="46" t="str">
        <f>IFERROR(VLOOKUP($E833,'BASE DE DATOS'!$A:$I,2,0)," ")</f>
        <v xml:space="preserve"> </v>
      </c>
      <c r="F833" s="46">
        <f>IFERROR(VLOOKUP($E846,'BASE DE DATOS'!$A:$I,3,0),0)</f>
        <v>0</v>
      </c>
      <c r="G833" s="46">
        <f>IFERROR(VLOOKUP($E833,'BASE DE DATOS'!$A:$I,3,0),0)</f>
        <v>0</v>
      </c>
      <c r="H833" s="46">
        <f>IFERROR(VLOOKUP($E833,'BASE DE DATOS'!$A:$I,3,0),0)</f>
        <v>0</v>
      </c>
      <c r="I833" s="46">
        <f>IFERROR(VLOOKUP($E833,'BASE DE DATOS'!$A:$I,3,0),0)</f>
        <v>0</v>
      </c>
      <c r="J833" s="46">
        <f>IFERROR(VLOOKUP($E833,'BASE DE DATOS'!$A:$I,3,0),0)</f>
        <v>0</v>
      </c>
      <c r="K833" s="46">
        <f>IFERROR(VLOOKUP($E1092,'BASE DE DATOS'!$A:$I,3,0),0)</f>
        <v>0</v>
      </c>
      <c r="L833" s="46">
        <f>IFERROR(VLOOKUP($E833,'BASE DE DATOS'!$A:$I,3,0),0)</f>
        <v>0</v>
      </c>
    </row>
    <row r="834" spans="4:12" x14ac:dyDescent="0.25">
      <c r="D834" s="46" t="str">
        <f>IFERROR(VLOOKUP($E834,'BASE DE DATOS'!$A:$I,2,0)," ")</f>
        <v xml:space="preserve"> </v>
      </c>
      <c r="F834" s="46">
        <f>IFERROR(VLOOKUP($E847,'BASE DE DATOS'!$A:$I,3,0),0)</f>
        <v>0</v>
      </c>
      <c r="G834" s="46">
        <f>IFERROR(VLOOKUP($E834,'BASE DE DATOS'!$A:$I,3,0),0)</f>
        <v>0</v>
      </c>
      <c r="H834" s="46">
        <f>IFERROR(VLOOKUP($E834,'BASE DE DATOS'!$A:$I,3,0),0)</f>
        <v>0</v>
      </c>
      <c r="I834" s="46">
        <f>IFERROR(VLOOKUP($E834,'BASE DE DATOS'!$A:$I,3,0),0)</f>
        <v>0</v>
      </c>
      <c r="J834" s="46">
        <f>IFERROR(VLOOKUP($E834,'BASE DE DATOS'!$A:$I,3,0),0)</f>
        <v>0</v>
      </c>
      <c r="K834" s="46">
        <f>IFERROR(VLOOKUP($E1093,'BASE DE DATOS'!$A:$I,3,0),0)</f>
        <v>0</v>
      </c>
      <c r="L834" s="46">
        <f>IFERROR(VLOOKUP($E834,'BASE DE DATOS'!$A:$I,3,0),0)</f>
        <v>0</v>
      </c>
    </row>
    <row r="835" spans="4:12" x14ac:dyDescent="0.25">
      <c r="D835" s="46" t="str">
        <f>IFERROR(VLOOKUP($E835,'BASE DE DATOS'!$A:$I,2,0)," ")</f>
        <v xml:space="preserve"> </v>
      </c>
      <c r="F835" s="46">
        <f>IFERROR(VLOOKUP($E848,'BASE DE DATOS'!$A:$I,3,0),0)</f>
        <v>0</v>
      </c>
      <c r="G835" s="46">
        <f>IFERROR(VLOOKUP($E835,'BASE DE DATOS'!$A:$I,3,0),0)</f>
        <v>0</v>
      </c>
      <c r="H835" s="46">
        <f>IFERROR(VLOOKUP($E835,'BASE DE DATOS'!$A:$I,3,0),0)</f>
        <v>0</v>
      </c>
      <c r="I835" s="46">
        <f>IFERROR(VLOOKUP($E835,'BASE DE DATOS'!$A:$I,3,0),0)</f>
        <v>0</v>
      </c>
      <c r="J835" s="46">
        <f>IFERROR(VLOOKUP($E835,'BASE DE DATOS'!$A:$I,3,0),0)</f>
        <v>0</v>
      </c>
      <c r="K835" s="46">
        <f>IFERROR(VLOOKUP($E1094,'BASE DE DATOS'!$A:$I,3,0),0)</f>
        <v>0</v>
      </c>
      <c r="L835" s="46">
        <f>IFERROR(VLOOKUP($E835,'BASE DE DATOS'!$A:$I,3,0),0)</f>
        <v>0</v>
      </c>
    </row>
    <row r="836" spans="4:12" x14ac:dyDescent="0.25">
      <c r="D836" s="46" t="str">
        <f>IFERROR(VLOOKUP($E836,'BASE DE DATOS'!$A:$I,2,0)," ")</f>
        <v xml:space="preserve"> </v>
      </c>
      <c r="F836" s="46">
        <f>IFERROR(VLOOKUP($E849,'BASE DE DATOS'!$A:$I,3,0),0)</f>
        <v>0</v>
      </c>
      <c r="G836" s="46">
        <f>IFERROR(VLOOKUP($E836,'BASE DE DATOS'!$A:$I,3,0),0)</f>
        <v>0</v>
      </c>
      <c r="H836" s="46">
        <f>IFERROR(VLOOKUP($E836,'BASE DE DATOS'!$A:$I,3,0),0)</f>
        <v>0</v>
      </c>
      <c r="I836" s="46">
        <f>IFERROR(VLOOKUP($E836,'BASE DE DATOS'!$A:$I,3,0),0)</f>
        <v>0</v>
      </c>
      <c r="J836" s="46">
        <f>IFERROR(VLOOKUP($E836,'BASE DE DATOS'!$A:$I,3,0),0)</f>
        <v>0</v>
      </c>
      <c r="K836" s="46">
        <f>IFERROR(VLOOKUP($E1095,'BASE DE DATOS'!$A:$I,3,0),0)</f>
        <v>0</v>
      </c>
      <c r="L836" s="46">
        <f>IFERROR(VLOOKUP($E836,'BASE DE DATOS'!$A:$I,3,0),0)</f>
        <v>0</v>
      </c>
    </row>
    <row r="837" spans="4:12" x14ac:dyDescent="0.25">
      <c r="D837" s="46" t="str">
        <f>IFERROR(VLOOKUP($E837,'BASE DE DATOS'!$A:$I,2,0)," ")</f>
        <v xml:space="preserve"> </v>
      </c>
      <c r="F837" s="46">
        <f>IFERROR(VLOOKUP($E850,'BASE DE DATOS'!$A:$I,3,0),0)</f>
        <v>0</v>
      </c>
      <c r="G837" s="46">
        <f>IFERROR(VLOOKUP($E837,'BASE DE DATOS'!$A:$I,3,0),0)</f>
        <v>0</v>
      </c>
      <c r="H837" s="46">
        <f>IFERROR(VLOOKUP($E837,'BASE DE DATOS'!$A:$I,3,0),0)</f>
        <v>0</v>
      </c>
      <c r="I837" s="46">
        <f>IFERROR(VLOOKUP($E837,'BASE DE DATOS'!$A:$I,3,0),0)</f>
        <v>0</v>
      </c>
      <c r="J837" s="46">
        <f>IFERROR(VLOOKUP($E837,'BASE DE DATOS'!$A:$I,3,0),0)</f>
        <v>0</v>
      </c>
      <c r="K837" s="46">
        <f>IFERROR(VLOOKUP($E1096,'BASE DE DATOS'!$A:$I,3,0),0)</f>
        <v>0</v>
      </c>
      <c r="L837" s="46">
        <f>IFERROR(VLOOKUP($E837,'BASE DE DATOS'!$A:$I,3,0),0)</f>
        <v>0</v>
      </c>
    </row>
    <row r="838" spans="4:12" x14ac:dyDescent="0.25">
      <c r="D838" s="46" t="str">
        <f>IFERROR(VLOOKUP($E838,'BASE DE DATOS'!$A:$I,2,0)," ")</f>
        <v xml:space="preserve"> </v>
      </c>
      <c r="F838" s="46">
        <f>IFERROR(VLOOKUP($E851,'BASE DE DATOS'!$A:$I,3,0),0)</f>
        <v>0</v>
      </c>
      <c r="G838" s="46">
        <f>IFERROR(VLOOKUP($E838,'BASE DE DATOS'!$A:$I,3,0),0)</f>
        <v>0</v>
      </c>
      <c r="H838" s="46">
        <f>IFERROR(VLOOKUP($E838,'BASE DE DATOS'!$A:$I,3,0),0)</f>
        <v>0</v>
      </c>
      <c r="I838" s="46">
        <f>IFERROR(VLOOKUP($E838,'BASE DE DATOS'!$A:$I,3,0),0)</f>
        <v>0</v>
      </c>
      <c r="J838" s="46">
        <f>IFERROR(VLOOKUP($E838,'BASE DE DATOS'!$A:$I,3,0),0)</f>
        <v>0</v>
      </c>
      <c r="K838" s="46">
        <f>IFERROR(VLOOKUP($E1097,'BASE DE DATOS'!$A:$I,3,0),0)</f>
        <v>0</v>
      </c>
      <c r="L838" s="46">
        <f>IFERROR(VLOOKUP($E838,'BASE DE DATOS'!$A:$I,3,0),0)</f>
        <v>0</v>
      </c>
    </row>
    <row r="839" spans="4:12" x14ac:dyDescent="0.25">
      <c r="D839" s="46" t="str">
        <f>IFERROR(VLOOKUP($E839,'BASE DE DATOS'!$A:$I,2,0)," ")</f>
        <v xml:space="preserve"> </v>
      </c>
      <c r="F839" s="46">
        <f>IFERROR(VLOOKUP($E852,'BASE DE DATOS'!$A:$I,3,0),0)</f>
        <v>0</v>
      </c>
      <c r="G839" s="46">
        <f>IFERROR(VLOOKUP($E839,'BASE DE DATOS'!$A:$I,3,0),0)</f>
        <v>0</v>
      </c>
      <c r="H839" s="46">
        <f>IFERROR(VLOOKUP($E839,'BASE DE DATOS'!$A:$I,3,0),0)</f>
        <v>0</v>
      </c>
      <c r="I839" s="46">
        <f>IFERROR(VLOOKUP($E839,'BASE DE DATOS'!$A:$I,3,0),0)</f>
        <v>0</v>
      </c>
      <c r="J839" s="46">
        <f>IFERROR(VLOOKUP($E839,'BASE DE DATOS'!$A:$I,3,0),0)</f>
        <v>0</v>
      </c>
      <c r="K839" s="46">
        <f>IFERROR(VLOOKUP($E1098,'BASE DE DATOS'!$A:$I,3,0),0)</f>
        <v>0</v>
      </c>
      <c r="L839" s="46">
        <f>IFERROR(VLOOKUP($E839,'BASE DE DATOS'!$A:$I,3,0),0)</f>
        <v>0</v>
      </c>
    </row>
    <row r="840" spans="4:12" x14ac:dyDescent="0.25">
      <c r="D840" s="46" t="str">
        <f>IFERROR(VLOOKUP($E840,'BASE DE DATOS'!$A:$I,2,0)," ")</f>
        <v xml:space="preserve"> </v>
      </c>
      <c r="F840" s="46">
        <f>IFERROR(VLOOKUP($E853,'BASE DE DATOS'!$A:$I,3,0),0)</f>
        <v>0</v>
      </c>
      <c r="G840" s="46">
        <f>IFERROR(VLOOKUP($E840,'BASE DE DATOS'!$A:$I,3,0),0)</f>
        <v>0</v>
      </c>
      <c r="H840" s="46">
        <f>IFERROR(VLOOKUP($E840,'BASE DE DATOS'!$A:$I,3,0),0)</f>
        <v>0</v>
      </c>
      <c r="I840" s="46">
        <f>IFERROR(VLOOKUP($E840,'BASE DE DATOS'!$A:$I,3,0),0)</f>
        <v>0</v>
      </c>
      <c r="J840" s="46">
        <f>IFERROR(VLOOKUP($E840,'BASE DE DATOS'!$A:$I,3,0),0)</f>
        <v>0</v>
      </c>
      <c r="K840" s="46">
        <f>IFERROR(VLOOKUP($E1099,'BASE DE DATOS'!$A:$I,3,0),0)</f>
        <v>0</v>
      </c>
      <c r="L840" s="46">
        <f>IFERROR(VLOOKUP($E840,'BASE DE DATOS'!$A:$I,3,0),0)</f>
        <v>0</v>
      </c>
    </row>
    <row r="841" spans="4:12" x14ac:dyDescent="0.25">
      <c r="D841" s="46" t="str">
        <f>IFERROR(VLOOKUP($E841,'BASE DE DATOS'!$A:$I,2,0)," ")</f>
        <v xml:space="preserve"> </v>
      </c>
      <c r="F841" s="46">
        <f>IFERROR(VLOOKUP($E854,'BASE DE DATOS'!$A:$I,3,0),0)</f>
        <v>0</v>
      </c>
      <c r="G841" s="46">
        <f>IFERROR(VLOOKUP($E841,'BASE DE DATOS'!$A:$I,3,0),0)</f>
        <v>0</v>
      </c>
      <c r="H841" s="46">
        <f>IFERROR(VLOOKUP($E841,'BASE DE DATOS'!$A:$I,3,0),0)</f>
        <v>0</v>
      </c>
      <c r="I841" s="46">
        <f>IFERROR(VLOOKUP($E841,'BASE DE DATOS'!$A:$I,3,0),0)</f>
        <v>0</v>
      </c>
      <c r="J841" s="46">
        <f>IFERROR(VLOOKUP($E841,'BASE DE DATOS'!$A:$I,3,0),0)</f>
        <v>0</v>
      </c>
      <c r="K841" s="46">
        <f>IFERROR(VLOOKUP($E1100,'BASE DE DATOS'!$A:$I,3,0),0)</f>
        <v>0</v>
      </c>
      <c r="L841" s="46">
        <f>IFERROR(VLOOKUP($E841,'BASE DE DATOS'!$A:$I,3,0),0)</f>
        <v>0</v>
      </c>
    </row>
    <row r="842" spans="4:12" x14ac:dyDescent="0.25">
      <c r="D842" s="46" t="str">
        <f>IFERROR(VLOOKUP($E842,'BASE DE DATOS'!$A:$I,2,0)," ")</f>
        <v xml:space="preserve"> </v>
      </c>
      <c r="F842" s="46">
        <f>IFERROR(VLOOKUP($E855,'BASE DE DATOS'!$A:$I,3,0),0)</f>
        <v>0</v>
      </c>
      <c r="G842" s="46">
        <f>IFERROR(VLOOKUP($E842,'BASE DE DATOS'!$A:$I,3,0),0)</f>
        <v>0</v>
      </c>
      <c r="H842" s="46">
        <f>IFERROR(VLOOKUP($E842,'BASE DE DATOS'!$A:$I,3,0),0)</f>
        <v>0</v>
      </c>
      <c r="I842" s="46">
        <f>IFERROR(VLOOKUP($E842,'BASE DE DATOS'!$A:$I,3,0),0)</f>
        <v>0</v>
      </c>
      <c r="J842" s="46">
        <f>IFERROR(VLOOKUP($E842,'BASE DE DATOS'!$A:$I,3,0),0)</f>
        <v>0</v>
      </c>
      <c r="K842" s="46">
        <f>IFERROR(VLOOKUP($E1101,'BASE DE DATOS'!$A:$I,3,0),0)</f>
        <v>0</v>
      </c>
      <c r="L842" s="46">
        <f>IFERROR(VLOOKUP($E842,'BASE DE DATOS'!$A:$I,3,0),0)</f>
        <v>0</v>
      </c>
    </row>
    <row r="843" spans="4:12" x14ac:dyDescent="0.25">
      <c r="D843" s="46" t="str">
        <f>IFERROR(VLOOKUP($E843,'BASE DE DATOS'!$A:$I,2,0)," ")</f>
        <v xml:space="preserve"> </v>
      </c>
      <c r="F843" s="46">
        <f>IFERROR(VLOOKUP($E856,'BASE DE DATOS'!$A:$I,3,0),0)</f>
        <v>0</v>
      </c>
      <c r="G843" s="46">
        <f>IFERROR(VLOOKUP($E843,'BASE DE DATOS'!$A:$I,3,0),0)</f>
        <v>0</v>
      </c>
      <c r="H843" s="46">
        <f>IFERROR(VLOOKUP($E843,'BASE DE DATOS'!$A:$I,3,0),0)</f>
        <v>0</v>
      </c>
      <c r="I843" s="46">
        <f>IFERROR(VLOOKUP($E843,'BASE DE DATOS'!$A:$I,3,0),0)</f>
        <v>0</v>
      </c>
      <c r="J843" s="46">
        <f>IFERROR(VLOOKUP($E843,'BASE DE DATOS'!$A:$I,3,0),0)</f>
        <v>0</v>
      </c>
      <c r="K843" s="46">
        <f>IFERROR(VLOOKUP($E1102,'BASE DE DATOS'!$A:$I,3,0),0)</f>
        <v>0</v>
      </c>
      <c r="L843" s="46">
        <f>IFERROR(VLOOKUP($E843,'BASE DE DATOS'!$A:$I,3,0),0)</f>
        <v>0</v>
      </c>
    </row>
    <row r="844" spans="4:12" x14ac:dyDescent="0.25">
      <c r="D844" s="46" t="str">
        <f>IFERROR(VLOOKUP($E844,'BASE DE DATOS'!$A:$I,2,0)," ")</f>
        <v xml:space="preserve"> </v>
      </c>
      <c r="F844" s="46">
        <f>IFERROR(VLOOKUP($E857,'BASE DE DATOS'!$A:$I,3,0),0)</f>
        <v>0</v>
      </c>
      <c r="G844" s="46">
        <f>IFERROR(VLOOKUP($E844,'BASE DE DATOS'!$A:$I,3,0),0)</f>
        <v>0</v>
      </c>
      <c r="H844" s="46">
        <f>IFERROR(VLOOKUP($E844,'BASE DE DATOS'!$A:$I,3,0),0)</f>
        <v>0</v>
      </c>
      <c r="I844" s="46">
        <f>IFERROR(VLOOKUP($E844,'BASE DE DATOS'!$A:$I,3,0),0)</f>
        <v>0</v>
      </c>
      <c r="J844" s="46">
        <f>IFERROR(VLOOKUP($E844,'BASE DE DATOS'!$A:$I,3,0),0)</f>
        <v>0</v>
      </c>
      <c r="K844" s="46">
        <f>IFERROR(VLOOKUP($E1103,'BASE DE DATOS'!$A:$I,3,0),0)</f>
        <v>0</v>
      </c>
      <c r="L844" s="46">
        <f>IFERROR(VLOOKUP($E844,'BASE DE DATOS'!$A:$I,3,0),0)</f>
        <v>0</v>
      </c>
    </row>
    <row r="845" spans="4:12" x14ac:dyDescent="0.25">
      <c r="D845" s="46" t="str">
        <f>IFERROR(VLOOKUP($E845,'BASE DE DATOS'!$A:$I,2,0)," ")</f>
        <v xml:space="preserve"> </v>
      </c>
      <c r="F845" s="46">
        <f>IFERROR(VLOOKUP($E858,'BASE DE DATOS'!$A:$I,3,0),0)</f>
        <v>0</v>
      </c>
      <c r="G845" s="46">
        <f>IFERROR(VLOOKUP($E845,'BASE DE DATOS'!$A:$I,3,0),0)</f>
        <v>0</v>
      </c>
      <c r="H845" s="46">
        <f>IFERROR(VLOOKUP($E845,'BASE DE DATOS'!$A:$I,3,0),0)</f>
        <v>0</v>
      </c>
      <c r="I845" s="46">
        <f>IFERROR(VLOOKUP($E845,'BASE DE DATOS'!$A:$I,3,0),0)</f>
        <v>0</v>
      </c>
      <c r="J845" s="46">
        <f>IFERROR(VLOOKUP($E845,'BASE DE DATOS'!$A:$I,3,0),0)</f>
        <v>0</v>
      </c>
      <c r="K845" s="46">
        <f>IFERROR(VLOOKUP($E1104,'BASE DE DATOS'!$A:$I,3,0),0)</f>
        <v>0</v>
      </c>
      <c r="L845" s="46">
        <f>IFERROR(VLOOKUP($E845,'BASE DE DATOS'!$A:$I,3,0),0)</f>
        <v>0</v>
      </c>
    </row>
    <row r="846" spans="4:12" x14ac:dyDescent="0.25">
      <c r="D846" s="46" t="str">
        <f>IFERROR(VLOOKUP($E846,'BASE DE DATOS'!$A:$I,2,0)," ")</f>
        <v xml:space="preserve"> </v>
      </c>
      <c r="F846" s="46">
        <f>IFERROR(VLOOKUP($E859,'BASE DE DATOS'!$A:$I,3,0),0)</f>
        <v>0</v>
      </c>
      <c r="G846" s="46">
        <f>IFERROR(VLOOKUP($E846,'BASE DE DATOS'!$A:$I,3,0),0)</f>
        <v>0</v>
      </c>
      <c r="H846" s="46">
        <f>IFERROR(VLOOKUP($E846,'BASE DE DATOS'!$A:$I,3,0),0)</f>
        <v>0</v>
      </c>
      <c r="I846" s="46">
        <f>IFERROR(VLOOKUP($E846,'BASE DE DATOS'!$A:$I,3,0),0)</f>
        <v>0</v>
      </c>
      <c r="J846" s="46">
        <f>IFERROR(VLOOKUP($E846,'BASE DE DATOS'!$A:$I,3,0),0)</f>
        <v>0</v>
      </c>
      <c r="K846" s="46">
        <f>IFERROR(VLOOKUP($E1105,'BASE DE DATOS'!$A:$I,3,0),0)</f>
        <v>0</v>
      </c>
      <c r="L846" s="46">
        <f>IFERROR(VLOOKUP($E846,'BASE DE DATOS'!$A:$I,3,0),0)</f>
        <v>0</v>
      </c>
    </row>
    <row r="847" spans="4:12" x14ac:dyDescent="0.25">
      <c r="D847" s="46" t="str">
        <f>IFERROR(VLOOKUP($E847,'BASE DE DATOS'!$A:$I,2,0)," ")</f>
        <v xml:space="preserve"> </v>
      </c>
      <c r="F847" s="46">
        <f>IFERROR(VLOOKUP($E860,'BASE DE DATOS'!$A:$I,3,0),0)</f>
        <v>0</v>
      </c>
      <c r="G847" s="46">
        <f>IFERROR(VLOOKUP($E847,'BASE DE DATOS'!$A:$I,3,0),0)</f>
        <v>0</v>
      </c>
      <c r="H847" s="46">
        <f>IFERROR(VLOOKUP($E847,'BASE DE DATOS'!$A:$I,3,0),0)</f>
        <v>0</v>
      </c>
      <c r="I847" s="46">
        <f>IFERROR(VLOOKUP($E847,'BASE DE DATOS'!$A:$I,3,0),0)</f>
        <v>0</v>
      </c>
      <c r="J847" s="46">
        <f>IFERROR(VLOOKUP($E847,'BASE DE DATOS'!$A:$I,3,0),0)</f>
        <v>0</v>
      </c>
      <c r="K847" s="46">
        <f>IFERROR(VLOOKUP($E1106,'BASE DE DATOS'!$A:$I,3,0),0)</f>
        <v>0</v>
      </c>
      <c r="L847" s="46">
        <f>IFERROR(VLOOKUP($E847,'BASE DE DATOS'!$A:$I,3,0),0)</f>
        <v>0</v>
      </c>
    </row>
    <row r="848" spans="4:12" x14ac:dyDescent="0.25">
      <c r="D848" s="46" t="str">
        <f>IFERROR(VLOOKUP($E848,'BASE DE DATOS'!$A:$I,2,0)," ")</f>
        <v xml:space="preserve"> </v>
      </c>
      <c r="F848" s="46">
        <f>IFERROR(VLOOKUP($E861,'BASE DE DATOS'!$A:$I,3,0),0)</f>
        <v>0</v>
      </c>
      <c r="G848" s="46">
        <f>IFERROR(VLOOKUP($E848,'BASE DE DATOS'!$A:$I,3,0),0)</f>
        <v>0</v>
      </c>
      <c r="H848" s="46">
        <f>IFERROR(VLOOKUP($E848,'BASE DE DATOS'!$A:$I,3,0),0)</f>
        <v>0</v>
      </c>
      <c r="I848" s="46">
        <f>IFERROR(VLOOKUP($E848,'BASE DE DATOS'!$A:$I,3,0),0)</f>
        <v>0</v>
      </c>
      <c r="J848" s="46">
        <f>IFERROR(VLOOKUP($E848,'BASE DE DATOS'!$A:$I,3,0),0)</f>
        <v>0</v>
      </c>
      <c r="K848" s="46">
        <f>IFERROR(VLOOKUP($E1107,'BASE DE DATOS'!$A:$I,3,0),0)</f>
        <v>0</v>
      </c>
      <c r="L848" s="46">
        <f>IFERROR(VLOOKUP($E848,'BASE DE DATOS'!$A:$I,3,0),0)</f>
        <v>0</v>
      </c>
    </row>
    <row r="849" spans="4:12" x14ac:dyDescent="0.25">
      <c r="D849" s="46" t="str">
        <f>IFERROR(VLOOKUP($E849,'BASE DE DATOS'!$A:$I,2,0)," ")</f>
        <v xml:space="preserve"> </v>
      </c>
      <c r="F849" s="46">
        <f>IFERROR(VLOOKUP($E862,'BASE DE DATOS'!$A:$I,3,0),0)</f>
        <v>0</v>
      </c>
      <c r="G849" s="46">
        <f>IFERROR(VLOOKUP($E849,'BASE DE DATOS'!$A:$I,3,0),0)</f>
        <v>0</v>
      </c>
      <c r="H849" s="46">
        <f>IFERROR(VLOOKUP($E849,'BASE DE DATOS'!$A:$I,3,0),0)</f>
        <v>0</v>
      </c>
      <c r="I849" s="46">
        <f>IFERROR(VLOOKUP($E849,'BASE DE DATOS'!$A:$I,3,0),0)</f>
        <v>0</v>
      </c>
      <c r="J849" s="46">
        <f>IFERROR(VLOOKUP($E849,'BASE DE DATOS'!$A:$I,3,0),0)</f>
        <v>0</v>
      </c>
      <c r="K849" s="46">
        <f>IFERROR(VLOOKUP($E1108,'BASE DE DATOS'!$A:$I,3,0),0)</f>
        <v>0</v>
      </c>
      <c r="L849" s="46">
        <f>IFERROR(VLOOKUP($E849,'BASE DE DATOS'!$A:$I,3,0),0)</f>
        <v>0</v>
      </c>
    </row>
    <row r="850" spans="4:12" x14ac:dyDescent="0.25">
      <c r="D850" s="46" t="str">
        <f>IFERROR(VLOOKUP($E850,'BASE DE DATOS'!$A:$I,2,0)," ")</f>
        <v xml:space="preserve"> </v>
      </c>
      <c r="F850" s="46">
        <f>IFERROR(VLOOKUP($E863,'BASE DE DATOS'!$A:$I,3,0),0)</f>
        <v>0</v>
      </c>
      <c r="G850" s="46">
        <f>IFERROR(VLOOKUP($E850,'BASE DE DATOS'!$A:$I,3,0),0)</f>
        <v>0</v>
      </c>
      <c r="H850" s="46">
        <f>IFERROR(VLOOKUP($E850,'BASE DE DATOS'!$A:$I,3,0),0)</f>
        <v>0</v>
      </c>
      <c r="I850" s="46">
        <f>IFERROR(VLOOKUP($E850,'BASE DE DATOS'!$A:$I,3,0),0)</f>
        <v>0</v>
      </c>
      <c r="J850" s="46">
        <f>IFERROR(VLOOKUP($E850,'BASE DE DATOS'!$A:$I,3,0),0)</f>
        <v>0</v>
      </c>
      <c r="K850" s="46">
        <f>IFERROR(VLOOKUP($E1109,'BASE DE DATOS'!$A:$I,3,0),0)</f>
        <v>0</v>
      </c>
      <c r="L850" s="46">
        <f>IFERROR(VLOOKUP($E850,'BASE DE DATOS'!$A:$I,3,0),0)</f>
        <v>0</v>
      </c>
    </row>
    <row r="851" spans="4:12" x14ac:dyDescent="0.25">
      <c r="D851" s="46" t="str">
        <f>IFERROR(VLOOKUP($E851,'BASE DE DATOS'!$A:$I,2,0)," ")</f>
        <v xml:space="preserve"> </v>
      </c>
      <c r="F851" s="46">
        <f>IFERROR(VLOOKUP($E864,'BASE DE DATOS'!$A:$I,3,0),0)</f>
        <v>0</v>
      </c>
      <c r="G851" s="46">
        <f>IFERROR(VLOOKUP($E851,'BASE DE DATOS'!$A:$I,3,0),0)</f>
        <v>0</v>
      </c>
      <c r="H851" s="46">
        <f>IFERROR(VLOOKUP($E851,'BASE DE DATOS'!$A:$I,3,0),0)</f>
        <v>0</v>
      </c>
      <c r="I851" s="46">
        <f>IFERROR(VLOOKUP($E851,'BASE DE DATOS'!$A:$I,3,0),0)</f>
        <v>0</v>
      </c>
      <c r="J851" s="46">
        <f>IFERROR(VLOOKUP($E851,'BASE DE DATOS'!$A:$I,3,0),0)</f>
        <v>0</v>
      </c>
      <c r="K851" s="46">
        <f>IFERROR(VLOOKUP($E1110,'BASE DE DATOS'!$A:$I,3,0),0)</f>
        <v>0</v>
      </c>
      <c r="L851" s="46">
        <f>IFERROR(VLOOKUP($E851,'BASE DE DATOS'!$A:$I,3,0),0)</f>
        <v>0</v>
      </c>
    </row>
    <row r="852" spans="4:12" x14ac:dyDescent="0.25">
      <c r="D852" s="46" t="str">
        <f>IFERROR(VLOOKUP($E852,'BASE DE DATOS'!$A:$I,2,0)," ")</f>
        <v xml:space="preserve"> </v>
      </c>
      <c r="F852" s="46">
        <f>IFERROR(VLOOKUP($E865,'BASE DE DATOS'!$A:$I,3,0),0)</f>
        <v>0</v>
      </c>
      <c r="G852" s="46">
        <f>IFERROR(VLOOKUP($E852,'BASE DE DATOS'!$A:$I,3,0),0)</f>
        <v>0</v>
      </c>
      <c r="H852" s="46">
        <f>IFERROR(VLOOKUP($E852,'BASE DE DATOS'!$A:$I,3,0),0)</f>
        <v>0</v>
      </c>
      <c r="I852" s="46">
        <f>IFERROR(VLOOKUP($E852,'BASE DE DATOS'!$A:$I,3,0),0)</f>
        <v>0</v>
      </c>
      <c r="J852" s="46">
        <f>IFERROR(VLOOKUP($E852,'BASE DE DATOS'!$A:$I,3,0),0)</f>
        <v>0</v>
      </c>
      <c r="K852" s="46">
        <f>IFERROR(VLOOKUP($E1111,'BASE DE DATOS'!$A:$I,3,0),0)</f>
        <v>0</v>
      </c>
      <c r="L852" s="46">
        <f>IFERROR(VLOOKUP($E852,'BASE DE DATOS'!$A:$I,3,0),0)</f>
        <v>0</v>
      </c>
    </row>
    <row r="853" spans="4:12" x14ac:dyDescent="0.25">
      <c r="D853" s="46" t="str">
        <f>IFERROR(VLOOKUP($E853,'BASE DE DATOS'!$A:$I,2,0)," ")</f>
        <v xml:space="preserve"> </v>
      </c>
      <c r="F853" s="46">
        <f>IFERROR(VLOOKUP($E866,'BASE DE DATOS'!$A:$I,3,0),0)</f>
        <v>0</v>
      </c>
      <c r="G853" s="46">
        <f>IFERROR(VLOOKUP($E853,'BASE DE DATOS'!$A:$I,3,0),0)</f>
        <v>0</v>
      </c>
      <c r="H853" s="46">
        <f>IFERROR(VLOOKUP($E853,'BASE DE DATOS'!$A:$I,3,0),0)</f>
        <v>0</v>
      </c>
      <c r="I853" s="46">
        <f>IFERROR(VLOOKUP($E853,'BASE DE DATOS'!$A:$I,3,0),0)</f>
        <v>0</v>
      </c>
      <c r="J853" s="46">
        <f>IFERROR(VLOOKUP($E853,'BASE DE DATOS'!$A:$I,3,0),0)</f>
        <v>0</v>
      </c>
      <c r="K853" s="46">
        <f>IFERROR(VLOOKUP($E1112,'BASE DE DATOS'!$A:$I,3,0),0)</f>
        <v>0</v>
      </c>
      <c r="L853" s="46">
        <f>IFERROR(VLOOKUP($E853,'BASE DE DATOS'!$A:$I,3,0),0)</f>
        <v>0</v>
      </c>
    </row>
    <row r="854" spans="4:12" x14ac:dyDescent="0.25">
      <c r="D854" s="46" t="str">
        <f>IFERROR(VLOOKUP($E854,'BASE DE DATOS'!$A:$I,2,0)," ")</f>
        <v xml:space="preserve"> </v>
      </c>
      <c r="F854" s="46">
        <f>IFERROR(VLOOKUP($E867,'BASE DE DATOS'!$A:$I,3,0),0)</f>
        <v>0</v>
      </c>
      <c r="G854" s="46">
        <f>IFERROR(VLOOKUP($E854,'BASE DE DATOS'!$A:$I,3,0),0)</f>
        <v>0</v>
      </c>
      <c r="H854" s="46">
        <f>IFERROR(VLOOKUP($E854,'BASE DE DATOS'!$A:$I,3,0),0)</f>
        <v>0</v>
      </c>
      <c r="I854" s="46">
        <f>IFERROR(VLOOKUP($E854,'BASE DE DATOS'!$A:$I,3,0),0)</f>
        <v>0</v>
      </c>
      <c r="J854" s="46">
        <f>IFERROR(VLOOKUP($E854,'BASE DE DATOS'!$A:$I,3,0),0)</f>
        <v>0</v>
      </c>
      <c r="K854" s="46">
        <f>IFERROR(VLOOKUP($E1113,'BASE DE DATOS'!$A:$I,3,0),0)</f>
        <v>0</v>
      </c>
      <c r="L854" s="46">
        <f>IFERROR(VLOOKUP($E854,'BASE DE DATOS'!$A:$I,3,0),0)</f>
        <v>0</v>
      </c>
    </row>
    <row r="855" spans="4:12" x14ac:dyDescent="0.25">
      <c r="D855" s="46" t="str">
        <f>IFERROR(VLOOKUP($E855,'BASE DE DATOS'!$A:$I,2,0)," ")</f>
        <v xml:space="preserve"> </v>
      </c>
      <c r="F855" s="46">
        <f>IFERROR(VLOOKUP($E868,'BASE DE DATOS'!$A:$I,3,0),0)</f>
        <v>0</v>
      </c>
      <c r="G855" s="46">
        <f>IFERROR(VLOOKUP($E855,'BASE DE DATOS'!$A:$I,3,0),0)</f>
        <v>0</v>
      </c>
      <c r="H855" s="46">
        <f>IFERROR(VLOOKUP($E855,'BASE DE DATOS'!$A:$I,3,0),0)</f>
        <v>0</v>
      </c>
      <c r="I855" s="46">
        <f>IFERROR(VLOOKUP($E855,'BASE DE DATOS'!$A:$I,3,0),0)</f>
        <v>0</v>
      </c>
      <c r="J855" s="46">
        <f>IFERROR(VLOOKUP($E855,'BASE DE DATOS'!$A:$I,3,0),0)</f>
        <v>0</v>
      </c>
      <c r="K855" s="46">
        <f>IFERROR(VLOOKUP($E1114,'BASE DE DATOS'!$A:$I,3,0),0)</f>
        <v>0</v>
      </c>
      <c r="L855" s="46">
        <f>IFERROR(VLOOKUP($E855,'BASE DE DATOS'!$A:$I,3,0),0)</f>
        <v>0</v>
      </c>
    </row>
    <row r="856" spans="4:12" x14ac:dyDescent="0.25">
      <c r="D856" s="46" t="str">
        <f>IFERROR(VLOOKUP($E856,'BASE DE DATOS'!$A:$I,2,0)," ")</f>
        <v xml:space="preserve"> </v>
      </c>
      <c r="F856" s="46">
        <f>IFERROR(VLOOKUP($E869,'BASE DE DATOS'!$A:$I,3,0),0)</f>
        <v>0</v>
      </c>
      <c r="G856" s="46">
        <f>IFERROR(VLOOKUP($E856,'BASE DE DATOS'!$A:$I,3,0),0)</f>
        <v>0</v>
      </c>
      <c r="H856" s="46">
        <f>IFERROR(VLOOKUP($E856,'BASE DE DATOS'!$A:$I,3,0),0)</f>
        <v>0</v>
      </c>
      <c r="I856" s="46">
        <f>IFERROR(VLOOKUP($E856,'BASE DE DATOS'!$A:$I,3,0),0)</f>
        <v>0</v>
      </c>
      <c r="J856" s="46">
        <f>IFERROR(VLOOKUP($E856,'BASE DE DATOS'!$A:$I,3,0),0)</f>
        <v>0</v>
      </c>
      <c r="K856" s="46">
        <f>IFERROR(VLOOKUP($E1115,'BASE DE DATOS'!$A:$I,3,0),0)</f>
        <v>0</v>
      </c>
      <c r="L856" s="46">
        <f>IFERROR(VLOOKUP($E856,'BASE DE DATOS'!$A:$I,3,0),0)</f>
        <v>0</v>
      </c>
    </row>
    <row r="857" spans="4:12" x14ac:dyDescent="0.25">
      <c r="D857" s="46" t="str">
        <f>IFERROR(VLOOKUP($E857,'BASE DE DATOS'!$A:$I,2,0)," ")</f>
        <v xml:space="preserve"> </v>
      </c>
      <c r="F857" s="46">
        <f>IFERROR(VLOOKUP($E870,'BASE DE DATOS'!$A:$I,3,0),0)</f>
        <v>0</v>
      </c>
      <c r="G857" s="46">
        <f>IFERROR(VLOOKUP($E857,'BASE DE DATOS'!$A:$I,3,0),0)</f>
        <v>0</v>
      </c>
      <c r="H857" s="46">
        <f>IFERROR(VLOOKUP($E857,'BASE DE DATOS'!$A:$I,3,0),0)</f>
        <v>0</v>
      </c>
      <c r="I857" s="46">
        <f>IFERROR(VLOOKUP($E857,'BASE DE DATOS'!$A:$I,3,0),0)</f>
        <v>0</v>
      </c>
      <c r="J857" s="46">
        <f>IFERROR(VLOOKUP($E857,'BASE DE DATOS'!$A:$I,3,0),0)</f>
        <v>0</v>
      </c>
      <c r="K857" s="46">
        <f>IFERROR(VLOOKUP($E1116,'BASE DE DATOS'!$A:$I,3,0),0)</f>
        <v>0</v>
      </c>
      <c r="L857" s="46">
        <f>IFERROR(VLOOKUP($E857,'BASE DE DATOS'!$A:$I,3,0),0)</f>
        <v>0</v>
      </c>
    </row>
    <row r="858" spans="4:12" x14ac:dyDescent="0.25">
      <c r="D858" s="46" t="str">
        <f>IFERROR(VLOOKUP($E858,'BASE DE DATOS'!$A:$I,2,0)," ")</f>
        <v xml:space="preserve"> </v>
      </c>
      <c r="F858" s="46">
        <f>IFERROR(VLOOKUP($E871,'BASE DE DATOS'!$A:$I,3,0),0)</f>
        <v>0</v>
      </c>
      <c r="G858" s="46">
        <f>IFERROR(VLOOKUP($E858,'BASE DE DATOS'!$A:$I,3,0),0)</f>
        <v>0</v>
      </c>
      <c r="H858" s="46">
        <f>IFERROR(VLOOKUP($E858,'BASE DE DATOS'!$A:$I,3,0),0)</f>
        <v>0</v>
      </c>
      <c r="I858" s="46">
        <f>IFERROR(VLOOKUP($E858,'BASE DE DATOS'!$A:$I,3,0),0)</f>
        <v>0</v>
      </c>
      <c r="J858" s="46">
        <f>IFERROR(VLOOKUP($E858,'BASE DE DATOS'!$A:$I,3,0),0)</f>
        <v>0</v>
      </c>
      <c r="K858" s="46">
        <f>IFERROR(VLOOKUP($E1117,'BASE DE DATOS'!$A:$I,3,0),0)</f>
        <v>0</v>
      </c>
      <c r="L858" s="46">
        <f>IFERROR(VLOOKUP($E858,'BASE DE DATOS'!$A:$I,3,0),0)</f>
        <v>0</v>
      </c>
    </row>
    <row r="859" spans="4:12" x14ac:dyDescent="0.25">
      <c r="D859" s="46" t="str">
        <f>IFERROR(VLOOKUP($E859,'BASE DE DATOS'!$A:$I,2,0)," ")</f>
        <v xml:space="preserve"> </v>
      </c>
      <c r="F859" s="46">
        <f>IFERROR(VLOOKUP($E872,'BASE DE DATOS'!$A:$I,3,0),0)</f>
        <v>0</v>
      </c>
      <c r="G859" s="46">
        <f>IFERROR(VLOOKUP($E859,'BASE DE DATOS'!$A:$I,3,0),0)</f>
        <v>0</v>
      </c>
      <c r="H859" s="46">
        <f>IFERROR(VLOOKUP($E859,'BASE DE DATOS'!$A:$I,3,0),0)</f>
        <v>0</v>
      </c>
      <c r="I859" s="46">
        <f>IFERROR(VLOOKUP($E859,'BASE DE DATOS'!$A:$I,3,0),0)</f>
        <v>0</v>
      </c>
      <c r="J859" s="46">
        <f>IFERROR(VLOOKUP($E859,'BASE DE DATOS'!$A:$I,3,0),0)</f>
        <v>0</v>
      </c>
      <c r="K859" s="46">
        <f>IFERROR(VLOOKUP($E1118,'BASE DE DATOS'!$A:$I,3,0),0)</f>
        <v>0</v>
      </c>
      <c r="L859" s="46">
        <f>IFERROR(VLOOKUP($E859,'BASE DE DATOS'!$A:$I,3,0),0)</f>
        <v>0</v>
      </c>
    </row>
    <row r="860" spans="4:12" x14ac:dyDescent="0.25">
      <c r="D860" s="46" t="str">
        <f>IFERROR(VLOOKUP($E860,'BASE DE DATOS'!$A:$I,2,0)," ")</f>
        <v xml:space="preserve"> </v>
      </c>
      <c r="F860" s="46">
        <f>IFERROR(VLOOKUP($E873,'BASE DE DATOS'!$A:$I,3,0),0)</f>
        <v>0</v>
      </c>
      <c r="G860" s="46">
        <f>IFERROR(VLOOKUP($E860,'BASE DE DATOS'!$A:$I,3,0),0)</f>
        <v>0</v>
      </c>
      <c r="H860" s="46">
        <f>IFERROR(VLOOKUP($E860,'BASE DE DATOS'!$A:$I,3,0),0)</f>
        <v>0</v>
      </c>
      <c r="I860" s="46">
        <f>IFERROR(VLOOKUP($E860,'BASE DE DATOS'!$A:$I,3,0),0)</f>
        <v>0</v>
      </c>
      <c r="J860" s="46">
        <f>IFERROR(VLOOKUP($E860,'BASE DE DATOS'!$A:$I,3,0),0)</f>
        <v>0</v>
      </c>
      <c r="K860" s="46">
        <f>IFERROR(VLOOKUP($E1119,'BASE DE DATOS'!$A:$I,3,0),0)</f>
        <v>0</v>
      </c>
      <c r="L860" s="46">
        <f>IFERROR(VLOOKUP($E860,'BASE DE DATOS'!$A:$I,3,0),0)</f>
        <v>0</v>
      </c>
    </row>
    <row r="861" spans="4:12" x14ac:dyDescent="0.25">
      <c r="D861" s="46" t="str">
        <f>IFERROR(VLOOKUP($E861,'BASE DE DATOS'!$A:$I,2,0)," ")</f>
        <v xml:space="preserve"> </v>
      </c>
      <c r="F861" s="46">
        <f>IFERROR(VLOOKUP($E874,'BASE DE DATOS'!$A:$I,3,0),0)</f>
        <v>0</v>
      </c>
      <c r="G861" s="46">
        <f>IFERROR(VLOOKUP($E861,'BASE DE DATOS'!$A:$I,3,0),0)</f>
        <v>0</v>
      </c>
      <c r="H861" s="46">
        <f>IFERROR(VLOOKUP($E861,'BASE DE DATOS'!$A:$I,3,0),0)</f>
        <v>0</v>
      </c>
      <c r="I861" s="46">
        <f>IFERROR(VLOOKUP($E861,'BASE DE DATOS'!$A:$I,3,0),0)</f>
        <v>0</v>
      </c>
      <c r="J861" s="46">
        <f>IFERROR(VLOOKUP($E861,'BASE DE DATOS'!$A:$I,3,0),0)</f>
        <v>0</v>
      </c>
      <c r="K861" s="46">
        <f>IFERROR(VLOOKUP($E1120,'BASE DE DATOS'!$A:$I,3,0),0)</f>
        <v>0</v>
      </c>
      <c r="L861" s="46">
        <f>IFERROR(VLOOKUP($E861,'BASE DE DATOS'!$A:$I,3,0),0)</f>
        <v>0</v>
      </c>
    </row>
    <row r="862" spans="4:12" x14ac:dyDescent="0.25">
      <c r="D862" s="46" t="str">
        <f>IFERROR(VLOOKUP($E862,'BASE DE DATOS'!$A:$I,2,0)," ")</f>
        <v xml:space="preserve"> </v>
      </c>
      <c r="F862" s="46">
        <f>IFERROR(VLOOKUP($E875,'BASE DE DATOS'!$A:$I,3,0),0)</f>
        <v>0</v>
      </c>
      <c r="G862" s="46">
        <f>IFERROR(VLOOKUP($E862,'BASE DE DATOS'!$A:$I,3,0),0)</f>
        <v>0</v>
      </c>
      <c r="H862" s="46">
        <f>IFERROR(VLOOKUP($E862,'BASE DE DATOS'!$A:$I,3,0),0)</f>
        <v>0</v>
      </c>
      <c r="I862" s="46">
        <f>IFERROR(VLOOKUP($E862,'BASE DE DATOS'!$A:$I,3,0),0)</f>
        <v>0</v>
      </c>
      <c r="J862" s="46">
        <f>IFERROR(VLOOKUP($E862,'BASE DE DATOS'!$A:$I,3,0),0)</f>
        <v>0</v>
      </c>
      <c r="K862" s="46">
        <f>IFERROR(VLOOKUP($E1121,'BASE DE DATOS'!$A:$I,3,0),0)</f>
        <v>0</v>
      </c>
      <c r="L862" s="46">
        <f>IFERROR(VLOOKUP($E862,'BASE DE DATOS'!$A:$I,3,0),0)</f>
        <v>0</v>
      </c>
    </row>
    <row r="863" spans="4:12" x14ac:dyDescent="0.25">
      <c r="D863" s="46" t="str">
        <f>IFERROR(VLOOKUP($E863,'BASE DE DATOS'!$A:$I,2,0)," ")</f>
        <v xml:space="preserve"> </v>
      </c>
      <c r="F863" s="46">
        <f>IFERROR(VLOOKUP($E876,'BASE DE DATOS'!$A:$I,3,0),0)</f>
        <v>0</v>
      </c>
      <c r="G863" s="46">
        <f>IFERROR(VLOOKUP($E863,'BASE DE DATOS'!$A:$I,3,0),0)</f>
        <v>0</v>
      </c>
      <c r="H863" s="46">
        <f>IFERROR(VLOOKUP($E863,'BASE DE DATOS'!$A:$I,3,0),0)</f>
        <v>0</v>
      </c>
      <c r="I863" s="46">
        <f>IFERROR(VLOOKUP($E863,'BASE DE DATOS'!$A:$I,3,0),0)</f>
        <v>0</v>
      </c>
      <c r="J863" s="46">
        <f>IFERROR(VLOOKUP($E863,'BASE DE DATOS'!$A:$I,3,0),0)</f>
        <v>0</v>
      </c>
      <c r="K863" s="46">
        <f>IFERROR(VLOOKUP($E1122,'BASE DE DATOS'!$A:$I,3,0),0)</f>
        <v>0</v>
      </c>
      <c r="L863" s="46">
        <f>IFERROR(VLOOKUP($E863,'BASE DE DATOS'!$A:$I,3,0),0)</f>
        <v>0</v>
      </c>
    </row>
    <row r="864" spans="4:12" x14ac:dyDescent="0.25">
      <c r="D864" s="46" t="str">
        <f>IFERROR(VLOOKUP($E864,'BASE DE DATOS'!$A:$I,2,0)," ")</f>
        <v xml:space="preserve"> </v>
      </c>
      <c r="F864" s="46">
        <f>IFERROR(VLOOKUP($E877,'BASE DE DATOS'!$A:$I,3,0),0)</f>
        <v>0</v>
      </c>
      <c r="G864" s="46">
        <f>IFERROR(VLOOKUP($E864,'BASE DE DATOS'!$A:$I,3,0),0)</f>
        <v>0</v>
      </c>
      <c r="H864" s="46">
        <f>IFERROR(VLOOKUP($E864,'BASE DE DATOS'!$A:$I,3,0),0)</f>
        <v>0</v>
      </c>
      <c r="I864" s="46">
        <f>IFERROR(VLOOKUP($E864,'BASE DE DATOS'!$A:$I,3,0),0)</f>
        <v>0</v>
      </c>
      <c r="J864" s="46">
        <f>IFERROR(VLOOKUP($E864,'BASE DE DATOS'!$A:$I,3,0),0)</f>
        <v>0</v>
      </c>
      <c r="K864" s="46">
        <f>IFERROR(VLOOKUP($E1123,'BASE DE DATOS'!$A:$I,3,0),0)</f>
        <v>0</v>
      </c>
      <c r="L864" s="46">
        <f>IFERROR(VLOOKUP($E864,'BASE DE DATOS'!$A:$I,3,0),0)</f>
        <v>0</v>
      </c>
    </row>
    <row r="865" spans="4:12" x14ac:dyDescent="0.25">
      <c r="D865" s="46" t="str">
        <f>IFERROR(VLOOKUP($E865,'BASE DE DATOS'!$A:$I,2,0)," ")</f>
        <v xml:space="preserve"> </v>
      </c>
      <c r="F865" s="46">
        <f>IFERROR(VLOOKUP($E878,'BASE DE DATOS'!$A:$I,3,0),0)</f>
        <v>0</v>
      </c>
      <c r="G865" s="46">
        <f>IFERROR(VLOOKUP($E865,'BASE DE DATOS'!$A:$I,3,0),0)</f>
        <v>0</v>
      </c>
      <c r="H865" s="46">
        <f>IFERROR(VLOOKUP($E865,'BASE DE DATOS'!$A:$I,3,0),0)</f>
        <v>0</v>
      </c>
      <c r="I865" s="46">
        <f>IFERROR(VLOOKUP($E865,'BASE DE DATOS'!$A:$I,3,0),0)</f>
        <v>0</v>
      </c>
      <c r="J865" s="46">
        <f>IFERROR(VLOOKUP($E865,'BASE DE DATOS'!$A:$I,3,0),0)</f>
        <v>0</v>
      </c>
      <c r="K865" s="46">
        <f>IFERROR(VLOOKUP($E1124,'BASE DE DATOS'!$A:$I,3,0),0)</f>
        <v>0</v>
      </c>
      <c r="L865" s="46">
        <f>IFERROR(VLOOKUP($E865,'BASE DE DATOS'!$A:$I,3,0),0)</f>
        <v>0</v>
      </c>
    </row>
    <row r="866" spans="4:12" x14ac:dyDescent="0.25">
      <c r="D866" s="46" t="str">
        <f>IFERROR(VLOOKUP($E866,'BASE DE DATOS'!$A:$I,2,0)," ")</f>
        <v xml:space="preserve"> </v>
      </c>
      <c r="F866" s="46">
        <f>IFERROR(VLOOKUP($E879,'BASE DE DATOS'!$A:$I,3,0),0)</f>
        <v>0</v>
      </c>
      <c r="G866" s="46">
        <f>IFERROR(VLOOKUP($E866,'BASE DE DATOS'!$A:$I,3,0),0)</f>
        <v>0</v>
      </c>
      <c r="H866" s="46">
        <f>IFERROR(VLOOKUP($E866,'BASE DE DATOS'!$A:$I,3,0),0)</f>
        <v>0</v>
      </c>
      <c r="I866" s="46">
        <f>IFERROR(VLOOKUP($E866,'BASE DE DATOS'!$A:$I,3,0),0)</f>
        <v>0</v>
      </c>
      <c r="J866" s="46">
        <f>IFERROR(VLOOKUP($E866,'BASE DE DATOS'!$A:$I,3,0),0)</f>
        <v>0</v>
      </c>
      <c r="K866" s="46">
        <f>IFERROR(VLOOKUP($E1125,'BASE DE DATOS'!$A:$I,3,0),0)</f>
        <v>0</v>
      </c>
      <c r="L866" s="46">
        <f>IFERROR(VLOOKUP($E866,'BASE DE DATOS'!$A:$I,3,0),0)</f>
        <v>0</v>
      </c>
    </row>
    <row r="867" spans="4:12" x14ac:dyDescent="0.25">
      <c r="D867" s="46" t="str">
        <f>IFERROR(VLOOKUP($E867,'BASE DE DATOS'!$A:$I,2,0)," ")</f>
        <v xml:space="preserve"> </v>
      </c>
      <c r="F867" s="46">
        <f>IFERROR(VLOOKUP($E880,'BASE DE DATOS'!$A:$I,3,0),0)</f>
        <v>0</v>
      </c>
      <c r="G867" s="46">
        <f>IFERROR(VLOOKUP($E867,'BASE DE DATOS'!$A:$I,3,0),0)</f>
        <v>0</v>
      </c>
      <c r="H867" s="46">
        <f>IFERROR(VLOOKUP($E867,'BASE DE DATOS'!$A:$I,3,0),0)</f>
        <v>0</v>
      </c>
      <c r="I867" s="46">
        <f>IFERROR(VLOOKUP($E867,'BASE DE DATOS'!$A:$I,3,0),0)</f>
        <v>0</v>
      </c>
      <c r="J867" s="46">
        <f>IFERROR(VLOOKUP($E867,'BASE DE DATOS'!$A:$I,3,0),0)</f>
        <v>0</v>
      </c>
      <c r="K867" s="46">
        <f>IFERROR(VLOOKUP($E1126,'BASE DE DATOS'!$A:$I,3,0),0)</f>
        <v>0</v>
      </c>
      <c r="L867" s="46">
        <f>IFERROR(VLOOKUP($E867,'BASE DE DATOS'!$A:$I,3,0),0)</f>
        <v>0</v>
      </c>
    </row>
    <row r="868" spans="4:12" x14ac:dyDescent="0.25">
      <c r="D868" s="46" t="str">
        <f>IFERROR(VLOOKUP($E868,'BASE DE DATOS'!$A:$I,2,0)," ")</f>
        <v xml:space="preserve"> </v>
      </c>
      <c r="F868" s="46">
        <f>IFERROR(VLOOKUP($E881,'BASE DE DATOS'!$A:$I,3,0),0)</f>
        <v>0</v>
      </c>
      <c r="G868" s="46">
        <f>IFERROR(VLOOKUP($E868,'BASE DE DATOS'!$A:$I,3,0),0)</f>
        <v>0</v>
      </c>
      <c r="H868" s="46">
        <f>IFERROR(VLOOKUP($E868,'BASE DE DATOS'!$A:$I,3,0),0)</f>
        <v>0</v>
      </c>
      <c r="I868" s="46">
        <f>IFERROR(VLOOKUP($E868,'BASE DE DATOS'!$A:$I,3,0),0)</f>
        <v>0</v>
      </c>
      <c r="J868" s="46">
        <f>IFERROR(VLOOKUP($E868,'BASE DE DATOS'!$A:$I,3,0),0)</f>
        <v>0</v>
      </c>
      <c r="K868" s="46">
        <f>IFERROR(VLOOKUP($E1127,'BASE DE DATOS'!$A:$I,3,0),0)</f>
        <v>0</v>
      </c>
      <c r="L868" s="46">
        <f>IFERROR(VLOOKUP($E868,'BASE DE DATOS'!$A:$I,3,0),0)</f>
        <v>0</v>
      </c>
    </row>
    <row r="869" spans="4:12" x14ac:dyDescent="0.25">
      <c r="D869" s="46" t="str">
        <f>IFERROR(VLOOKUP($E869,'BASE DE DATOS'!$A:$I,2,0)," ")</f>
        <v xml:space="preserve"> </v>
      </c>
      <c r="F869" s="46">
        <f>IFERROR(VLOOKUP($E882,'BASE DE DATOS'!$A:$I,3,0),0)</f>
        <v>0</v>
      </c>
      <c r="G869" s="46">
        <f>IFERROR(VLOOKUP($E869,'BASE DE DATOS'!$A:$I,3,0),0)</f>
        <v>0</v>
      </c>
      <c r="H869" s="46">
        <f>IFERROR(VLOOKUP($E869,'BASE DE DATOS'!$A:$I,3,0),0)</f>
        <v>0</v>
      </c>
      <c r="I869" s="46">
        <f>IFERROR(VLOOKUP($E869,'BASE DE DATOS'!$A:$I,3,0),0)</f>
        <v>0</v>
      </c>
      <c r="J869" s="46">
        <f>IFERROR(VLOOKUP($E869,'BASE DE DATOS'!$A:$I,3,0),0)</f>
        <v>0</v>
      </c>
      <c r="K869" s="46">
        <f>IFERROR(VLOOKUP($E1128,'BASE DE DATOS'!$A:$I,3,0),0)</f>
        <v>0</v>
      </c>
      <c r="L869" s="46">
        <f>IFERROR(VLOOKUP($E869,'BASE DE DATOS'!$A:$I,3,0),0)</f>
        <v>0</v>
      </c>
    </row>
    <row r="870" spans="4:12" x14ac:dyDescent="0.25">
      <c r="D870" s="46" t="str">
        <f>IFERROR(VLOOKUP($E870,'BASE DE DATOS'!$A:$I,2,0)," ")</f>
        <v xml:space="preserve"> </v>
      </c>
      <c r="F870" s="46">
        <f>IFERROR(VLOOKUP($E883,'BASE DE DATOS'!$A:$I,3,0),0)</f>
        <v>0</v>
      </c>
      <c r="G870" s="46">
        <f>IFERROR(VLOOKUP($E870,'BASE DE DATOS'!$A:$I,3,0),0)</f>
        <v>0</v>
      </c>
      <c r="H870" s="46">
        <f>IFERROR(VLOOKUP($E870,'BASE DE DATOS'!$A:$I,3,0),0)</f>
        <v>0</v>
      </c>
      <c r="I870" s="46">
        <f>IFERROR(VLOOKUP($E870,'BASE DE DATOS'!$A:$I,3,0),0)</f>
        <v>0</v>
      </c>
      <c r="J870" s="46">
        <f>IFERROR(VLOOKUP($E870,'BASE DE DATOS'!$A:$I,3,0),0)</f>
        <v>0</v>
      </c>
      <c r="K870" s="46">
        <f>IFERROR(VLOOKUP($E1129,'BASE DE DATOS'!$A:$I,3,0),0)</f>
        <v>0</v>
      </c>
      <c r="L870" s="46">
        <f>IFERROR(VLOOKUP($E870,'BASE DE DATOS'!$A:$I,3,0),0)</f>
        <v>0</v>
      </c>
    </row>
    <row r="871" spans="4:12" x14ac:dyDescent="0.25">
      <c r="D871" s="46" t="str">
        <f>IFERROR(VLOOKUP($E871,'BASE DE DATOS'!$A:$I,2,0)," ")</f>
        <v xml:space="preserve"> </v>
      </c>
      <c r="F871" s="46">
        <f>IFERROR(VLOOKUP($E884,'BASE DE DATOS'!$A:$I,3,0),0)</f>
        <v>0</v>
      </c>
      <c r="G871" s="46">
        <f>IFERROR(VLOOKUP($E871,'BASE DE DATOS'!$A:$I,3,0),0)</f>
        <v>0</v>
      </c>
      <c r="H871" s="46">
        <f>IFERROR(VLOOKUP($E871,'BASE DE DATOS'!$A:$I,3,0),0)</f>
        <v>0</v>
      </c>
      <c r="I871" s="46">
        <f>IFERROR(VLOOKUP($E871,'BASE DE DATOS'!$A:$I,3,0),0)</f>
        <v>0</v>
      </c>
      <c r="J871" s="46">
        <f>IFERROR(VLOOKUP($E871,'BASE DE DATOS'!$A:$I,3,0),0)</f>
        <v>0</v>
      </c>
      <c r="K871" s="46">
        <f>IFERROR(VLOOKUP($E1130,'BASE DE DATOS'!$A:$I,3,0),0)</f>
        <v>0</v>
      </c>
      <c r="L871" s="46">
        <f>IFERROR(VLOOKUP($E871,'BASE DE DATOS'!$A:$I,3,0),0)</f>
        <v>0</v>
      </c>
    </row>
    <row r="872" spans="4:12" x14ac:dyDescent="0.25">
      <c r="D872" s="46" t="str">
        <f>IFERROR(VLOOKUP($E872,'BASE DE DATOS'!$A:$I,2,0)," ")</f>
        <v xml:space="preserve"> </v>
      </c>
      <c r="F872" s="46">
        <f>IFERROR(VLOOKUP($E885,'BASE DE DATOS'!$A:$I,3,0),0)</f>
        <v>0</v>
      </c>
      <c r="G872" s="46">
        <f>IFERROR(VLOOKUP($E872,'BASE DE DATOS'!$A:$I,3,0),0)</f>
        <v>0</v>
      </c>
      <c r="H872" s="46">
        <f>IFERROR(VLOOKUP($E872,'BASE DE DATOS'!$A:$I,3,0),0)</f>
        <v>0</v>
      </c>
      <c r="I872" s="46">
        <f>IFERROR(VLOOKUP($E872,'BASE DE DATOS'!$A:$I,3,0),0)</f>
        <v>0</v>
      </c>
      <c r="J872" s="46">
        <f>IFERROR(VLOOKUP($E872,'BASE DE DATOS'!$A:$I,3,0),0)</f>
        <v>0</v>
      </c>
      <c r="K872" s="46">
        <f>IFERROR(VLOOKUP($E1131,'BASE DE DATOS'!$A:$I,3,0),0)</f>
        <v>0</v>
      </c>
      <c r="L872" s="46">
        <f>IFERROR(VLOOKUP($E872,'BASE DE DATOS'!$A:$I,3,0),0)</f>
        <v>0</v>
      </c>
    </row>
    <row r="873" spans="4:12" x14ac:dyDescent="0.25">
      <c r="D873" s="46" t="str">
        <f>IFERROR(VLOOKUP($E873,'BASE DE DATOS'!$A:$I,2,0)," ")</f>
        <v xml:space="preserve"> </v>
      </c>
      <c r="F873" s="46">
        <f>IFERROR(VLOOKUP($E886,'BASE DE DATOS'!$A:$I,3,0),0)</f>
        <v>0</v>
      </c>
      <c r="G873" s="46">
        <f>IFERROR(VLOOKUP($E873,'BASE DE DATOS'!$A:$I,3,0),0)</f>
        <v>0</v>
      </c>
      <c r="H873" s="46">
        <f>IFERROR(VLOOKUP($E873,'BASE DE DATOS'!$A:$I,3,0),0)</f>
        <v>0</v>
      </c>
      <c r="I873" s="46">
        <f>IFERROR(VLOOKUP($E873,'BASE DE DATOS'!$A:$I,3,0),0)</f>
        <v>0</v>
      </c>
      <c r="J873" s="46">
        <f>IFERROR(VLOOKUP($E873,'BASE DE DATOS'!$A:$I,3,0),0)</f>
        <v>0</v>
      </c>
      <c r="K873" s="46">
        <f>IFERROR(VLOOKUP($E1132,'BASE DE DATOS'!$A:$I,3,0),0)</f>
        <v>0</v>
      </c>
      <c r="L873" s="46">
        <f>IFERROR(VLOOKUP($E873,'BASE DE DATOS'!$A:$I,3,0),0)</f>
        <v>0</v>
      </c>
    </row>
    <row r="874" spans="4:12" x14ac:dyDescent="0.25">
      <c r="D874" s="46" t="str">
        <f>IFERROR(VLOOKUP($E874,'BASE DE DATOS'!$A:$I,2,0)," ")</f>
        <v xml:space="preserve"> </v>
      </c>
      <c r="F874" s="46">
        <f>IFERROR(VLOOKUP($E887,'BASE DE DATOS'!$A:$I,3,0),0)</f>
        <v>0</v>
      </c>
      <c r="G874" s="46">
        <f>IFERROR(VLOOKUP($E874,'BASE DE DATOS'!$A:$I,3,0),0)</f>
        <v>0</v>
      </c>
      <c r="H874" s="46">
        <f>IFERROR(VLOOKUP($E874,'BASE DE DATOS'!$A:$I,3,0),0)</f>
        <v>0</v>
      </c>
      <c r="I874" s="46">
        <f>IFERROR(VLOOKUP($E874,'BASE DE DATOS'!$A:$I,3,0),0)</f>
        <v>0</v>
      </c>
      <c r="J874" s="46">
        <f>IFERROR(VLOOKUP($E874,'BASE DE DATOS'!$A:$I,3,0),0)</f>
        <v>0</v>
      </c>
      <c r="K874" s="46">
        <f>IFERROR(VLOOKUP($E1133,'BASE DE DATOS'!$A:$I,3,0),0)</f>
        <v>0</v>
      </c>
      <c r="L874" s="46">
        <f>IFERROR(VLOOKUP($E874,'BASE DE DATOS'!$A:$I,3,0),0)</f>
        <v>0</v>
      </c>
    </row>
    <row r="875" spans="4:12" x14ac:dyDescent="0.25">
      <c r="D875" s="46" t="str">
        <f>IFERROR(VLOOKUP($E875,'BASE DE DATOS'!$A:$I,2,0)," ")</f>
        <v xml:space="preserve"> </v>
      </c>
      <c r="F875" s="46">
        <f>IFERROR(VLOOKUP($E888,'BASE DE DATOS'!$A:$I,3,0),0)</f>
        <v>0</v>
      </c>
      <c r="G875" s="46">
        <f>IFERROR(VLOOKUP($E875,'BASE DE DATOS'!$A:$I,3,0),0)</f>
        <v>0</v>
      </c>
      <c r="H875" s="46">
        <f>IFERROR(VLOOKUP($E875,'BASE DE DATOS'!$A:$I,3,0),0)</f>
        <v>0</v>
      </c>
      <c r="I875" s="46">
        <f>IFERROR(VLOOKUP($E875,'BASE DE DATOS'!$A:$I,3,0),0)</f>
        <v>0</v>
      </c>
      <c r="J875" s="46">
        <f>IFERROR(VLOOKUP($E875,'BASE DE DATOS'!$A:$I,3,0),0)</f>
        <v>0</v>
      </c>
      <c r="K875" s="46">
        <f>IFERROR(VLOOKUP($E1134,'BASE DE DATOS'!$A:$I,3,0),0)</f>
        <v>0</v>
      </c>
      <c r="L875" s="46">
        <f>IFERROR(VLOOKUP($E875,'BASE DE DATOS'!$A:$I,3,0),0)</f>
        <v>0</v>
      </c>
    </row>
    <row r="876" spans="4:12" x14ac:dyDescent="0.25">
      <c r="D876" s="46" t="str">
        <f>IFERROR(VLOOKUP($E876,'BASE DE DATOS'!$A:$I,2,0)," ")</f>
        <v xml:space="preserve"> </v>
      </c>
      <c r="F876" s="46">
        <f>IFERROR(VLOOKUP($E889,'BASE DE DATOS'!$A:$I,3,0),0)</f>
        <v>0</v>
      </c>
      <c r="G876" s="46">
        <f>IFERROR(VLOOKUP($E876,'BASE DE DATOS'!$A:$I,3,0),0)</f>
        <v>0</v>
      </c>
      <c r="H876" s="46">
        <f>IFERROR(VLOOKUP($E876,'BASE DE DATOS'!$A:$I,3,0),0)</f>
        <v>0</v>
      </c>
      <c r="I876" s="46">
        <f>IFERROR(VLOOKUP($E876,'BASE DE DATOS'!$A:$I,3,0),0)</f>
        <v>0</v>
      </c>
      <c r="J876" s="46">
        <f>IFERROR(VLOOKUP($E876,'BASE DE DATOS'!$A:$I,3,0),0)</f>
        <v>0</v>
      </c>
      <c r="K876" s="46">
        <f>IFERROR(VLOOKUP($E1135,'BASE DE DATOS'!$A:$I,3,0),0)</f>
        <v>0</v>
      </c>
      <c r="L876" s="46">
        <f>IFERROR(VLOOKUP($E876,'BASE DE DATOS'!$A:$I,3,0),0)</f>
        <v>0</v>
      </c>
    </row>
    <row r="877" spans="4:12" x14ac:dyDescent="0.25">
      <c r="D877" s="46" t="str">
        <f>IFERROR(VLOOKUP($E877,'BASE DE DATOS'!$A:$I,2,0)," ")</f>
        <v xml:space="preserve"> </v>
      </c>
      <c r="F877" s="46">
        <f>IFERROR(VLOOKUP($E890,'BASE DE DATOS'!$A:$I,3,0),0)</f>
        <v>0</v>
      </c>
      <c r="G877" s="46">
        <f>IFERROR(VLOOKUP($E877,'BASE DE DATOS'!$A:$I,3,0),0)</f>
        <v>0</v>
      </c>
      <c r="H877" s="46">
        <f>IFERROR(VLOOKUP($E877,'BASE DE DATOS'!$A:$I,3,0),0)</f>
        <v>0</v>
      </c>
      <c r="I877" s="46">
        <f>IFERROR(VLOOKUP($E877,'BASE DE DATOS'!$A:$I,3,0),0)</f>
        <v>0</v>
      </c>
      <c r="J877" s="46">
        <f>IFERROR(VLOOKUP($E877,'BASE DE DATOS'!$A:$I,3,0),0)</f>
        <v>0</v>
      </c>
      <c r="K877" s="46">
        <f>IFERROR(VLOOKUP($E1136,'BASE DE DATOS'!$A:$I,3,0),0)</f>
        <v>0</v>
      </c>
      <c r="L877" s="46">
        <f>IFERROR(VLOOKUP($E877,'BASE DE DATOS'!$A:$I,3,0),0)</f>
        <v>0</v>
      </c>
    </row>
    <row r="878" spans="4:12" x14ac:dyDescent="0.25">
      <c r="D878" s="46" t="str">
        <f>IFERROR(VLOOKUP($E878,'BASE DE DATOS'!$A:$I,2,0)," ")</f>
        <v xml:space="preserve"> </v>
      </c>
      <c r="F878" s="46">
        <f>IFERROR(VLOOKUP($E891,'BASE DE DATOS'!$A:$I,3,0),0)</f>
        <v>0</v>
      </c>
      <c r="G878" s="46">
        <f>IFERROR(VLOOKUP($E878,'BASE DE DATOS'!$A:$I,3,0),0)</f>
        <v>0</v>
      </c>
      <c r="H878" s="46">
        <f>IFERROR(VLOOKUP($E878,'BASE DE DATOS'!$A:$I,3,0),0)</f>
        <v>0</v>
      </c>
      <c r="I878" s="46">
        <f>IFERROR(VLOOKUP($E878,'BASE DE DATOS'!$A:$I,3,0),0)</f>
        <v>0</v>
      </c>
      <c r="J878" s="46">
        <f>IFERROR(VLOOKUP($E878,'BASE DE DATOS'!$A:$I,3,0),0)</f>
        <v>0</v>
      </c>
      <c r="K878" s="46">
        <f>IFERROR(VLOOKUP($E1137,'BASE DE DATOS'!$A:$I,3,0),0)</f>
        <v>0</v>
      </c>
      <c r="L878" s="46">
        <f>IFERROR(VLOOKUP($E878,'BASE DE DATOS'!$A:$I,3,0),0)</f>
        <v>0</v>
      </c>
    </row>
    <row r="879" spans="4:12" x14ac:dyDescent="0.25">
      <c r="D879" s="46" t="str">
        <f>IFERROR(VLOOKUP($E879,'BASE DE DATOS'!$A:$I,2,0)," ")</f>
        <v xml:space="preserve"> </v>
      </c>
      <c r="F879" s="46">
        <f>IFERROR(VLOOKUP($E892,'BASE DE DATOS'!$A:$I,3,0),0)</f>
        <v>0</v>
      </c>
      <c r="G879" s="46">
        <f>IFERROR(VLOOKUP($E879,'BASE DE DATOS'!$A:$I,3,0),0)</f>
        <v>0</v>
      </c>
      <c r="H879" s="46">
        <f>IFERROR(VLOOKUP($E879,'BASE DE DATOS'!$A:$I,3,0),0)</f>
        <v>0</v>
      </c>
      <c r="I879" s="46">
        <f>IFERROR(VLOOKUP($E879,'BASE DE DATOS'!$A:$I,3,0),0)</f>
        <v>0</v>
      </c>
      <c r="J879" s="46">
        <f>IFERROR(VLOOKUP($E879,'BASE DE DATOS'!$A:$I,3,0),0)</f>
        <v>0</v>
      </c>
      <c r="K879" s="46">
        <f>IFERROR(VLOOKUP($E1138,'BASE DE DATOS'!$A:$I,3,0),0)</f>
        <v>0</v>
      </c>
      <c r="L879" s="46">
        <f>IFERROR(VLOOKUP($E879,'BASE DE DATOS'!$A:$I,3,0),0)</f>
        <v>0</v>
      </c>
    </row>
    <row r="880" spans="4:12" x14ac:dyDescent="0.25">
      <c r="D880" s="46" t="str">
        <f>IFERROR(VLOOKUP($E880,'BASE DE DATOS'!$A:$I,2,0)," ")</f>
        <v xml:space="preserve"> </v>
      </c>
      <c r="F880" s="46">
        <f>IFERROR(VLOOKUP($E893,'BASE DE DATOS'!$A:$I,3,0),0)</f>
        <v>0</v>
      </c>
      <c r="G880" s="46">
        <f>IFERROR(VLOOKUP($E880,'BASE DE DATOS'!$A:$I,3,0),0)</f>
        <v>0</v>
      </c>
      <c r="H880" s="46">
        <f>IFERROR(VLOOKUP($E880,'BASE DE DATOS'!$A:$I,3,0),0)</f>
        <v>0</v>
      </c>
      <c r="I880" s="46">
        <f>IFERROR(VLOOKUP($E880,'BASE DE DATOS'!$A:$I,3,0),0)</f>
        <v>0</v>
      </c>
      <c r="J880" s="46">
        <f>IFERROR(VLOOKUP($E880,'BASE DE DATOS'!$A:$I,3,0),0)</f>
        <v>0</v>
      </c>
      <c r="K880" s="46">
        <f>IFERROR(VLOOKUP($E1139,'BASE DE DATOS'!$A:$I,3,0),0)</f>
        <v>0</v>
      </c>
      <c r="L880" s="46">
        <f>IFERROR(VLOOKUP($E880,'BASE DE DATOS'!$A:$I,3,0),0)</f>
        <v>0</v>
      </c>
    </row>
    <row r="881" spans="4:12" x14ac:dyDescent="0.25">
      <c r="D881" s="46" t="str">
        <f>IFERROR(VLOOKUP($E881,'BASE DE DATOS'!$A:$I,2,0)," ")</f>
        <v xml:space="preserve"> </v>
      </c>
      <c r="F881" s="46">
        <f>IFERROR(VLOOKUP($E894,'BASE DE DATOS'!$A:$I,3,0),0)</f>
        <v>0</v>
      </c>
      <c r="G881" s="46">
        <f>IFERROR(VLOOKUP($E881,'BASE DE DATOS'!$A:$I,3,0),0)</f>
        <v>0</v>
      </c>
      <c r="H881" s="46">
        <f>IFERROR(VLOOKUP($E881,'BASE DE DATOS'!$A:$I,3,0),0)</f>
        <v>0</v>
      </c>
      <c r="I881" s="46">
        <f>IFERROR(VLOOKUP($E881,'BASE DE DATOS'!$A:$I,3,0),0)</f>
        <v>0</v>
      </c>
      <c r="J881" s="46">
        <f>IFERROR(VLOOKUP($E881,'BASE DE DATOS'!$A:$I,3,0),0)</f>
        <v>0</v>
      </c>
      <c r="K881" s="46">
        <f>IFERROR(VLOOKUP($E1140,'BASE DE DATOS'!$A:$I,3,0),0)</f>
        <v>0</v>
      </c>
      <c r="L881" s="46">
        <f>IFERROR(VLOOKUP($E881,'BASE DE DATOS'!$A:$I,3,0),0)</f>
        <v>0</v>
      </c>
    </row>
    <row r="882" spans="4:12" x14ac:dyDescent="0.25">
      <c r="D882" s="46" t="str">
        <f>IFERROR(VLOOKUP($E882,'BASE DE DATOS'!$A:$I,2,0)," ")</f>
        <v xml:space="preserve"> </v>
      </c>
      <c r="F882" s="46">
        <f>IFERROR(VLOOKUP($E895,'BASE DE DATOS'!$A:$I,3,0),0)</f>
        <v>0</v>
      </c>
      <c r="G882" s="46">
        <f>IFERROR(VLOOKUP($E882,'BASE DE DATOS'!$A:$I,3,0),0)</f>
        <v>0</v>
      </c>
      <c r="H882" s="46">
        <f>IFERROR(VLOOKUP($E882,'BASE DE DATOS'!$A:$I,3,0),0)</f>
        <v>0</v>
      </c>
      <c r="I882" s="46">
        <f>IFERROR(VLOOKUP($E882,'BASE DE DATOS'!$A:$I,3,0),0)</f>
        <v>0</v>
      </c>
      <c r="J882" s="46">
        <f>IFERROR(VLOOKUP($E882,'BASE DE DATOS'!$A:$I,3,0),0)</f>
        <v>0</v>
      </c>
      <c r="K882" s="46">
        <f>IFERROR(VLOOKUP($E1141,'BASE DE DATOS'!$A:$I,3,0),0)</f>
        <v>0</v>
      </c>
      <c r="L882" s="46">
        <f>IFERROR(VLOOKUP($E882,'BASE DE DATOS'!$A:$I,3,0),0)</f>
        <v>0</v>
      </c>
    </row>
    <row r="883" spans="4:12" x14ac:dyDescent="0.25">
      <c r="D883" s="46" t="str">
        <f>IFERROR(VLOOKUP($E883,'BASE DE DATOS'!$A:$I,2,0)," ")</f>
        <v xml:space="preserve"> </v>
      </c>
      <c r="F883" s="46">
        <f>IFERROR(VLOOKUP($E896,'BASE DE DATOS'!$A:$I,3,0),0)</f>
        <v>0</v>
      </c>
      <c r="G883" s="46">
        <f>IFERROR(VLOOKUP($E883,'BASE DE DATOS'!$A:$I,3,0),0)</f>
        <v>0</v>
      </c>
      <c r="H883" s="46">
        <f>IFERROR(VLOOKUP($E883,'BASE DE DATOS'!$A:$I,3,0),0)</f>
        <v>0</v>
      </c>
      <c r="I883" s="46">
        <f>IFERROR(VLOOKUP($E883,'BASE DE DATOS'!$A:$I,3,0),0)</f>
        <v>0</v>
      </c>
      <c r="J883" s="46">
        <f>IFERROR(VLOOKUP($E883,'BASE DE DATOS'!$A:$I,3,0),0)</f>
        <v>0</v>
      </c>
      <c r="K883" s="46">
        <f>IFERROR(VLOOKUP($E1142,'BASE DE DATOS'!$A:$I,3,0),0)</f>
        <v>0</v>
      </c>
      <c r="L883" s="46">
        <f>IFERROR(VLOOKUP($E883,'BASE DE DATOS'!$A:$I,3,0),0)</f>
        <v>0</v>
      </c>
    </row>
    <row r="884" spans="4:12" x14ac:dyDescent="0.25">
      <c r="D884" s="46" t="str">
        <f>IFERROR(VLOOKUP($E884,'BASE DE DATOS'!$A:$I,2,0)," ")</f>
        <v xml:space="preserve"> </v>
      </c>
      <c r="F884" s="46">
        <f>IFERROR(VLOOKUP($E897,'BASE DE DATOS'!$A:$I,3,0),0)</f>
        <v>0</v>
      </c>
      <c r="G884" s="46">
        <f>IFERROR(VLOOKUP($E884,'BASE DE DATOS'!$A:$I,3,0),0)</f>
        <v>0</v>
      </c>
      <c r="H884" s="46">
        <f>IFERROR(VLOOKUP($E884,'BASE DE DATOS'!$A:$I,3,0),0)</f>
        <v>0</v>
      </c>
      <c r="I884" s="46">
        <f>IFERROR(VLOOKUP($E884,'BASE DE DATOS'!$A:$I,3,0),0)</f>
        <v>0</v>
      </c>
      <c r="J884" s="46">
        <f>IFERROR(VLOOKUP($E884,'BASE DE DATOS'!$A:$I,3,0),0)</f>
        <v>0</v>
      </c>
      <c r="K884" s="46">
        <f>IFERROR(VLOOKUP($E1143,'BASE DE DATOS'!$A:$I,3,0),0)</f>
        <v>0</v>
      </c>
      <c r="L884" s="46">
        <f>IFERROR(VLOOKUP($E884,'BASE DE DATOS'!$A:$I,3,0),0)</f>
        <v>0</v>
      </c>
    </row>
    <row r="885" spans="4:12" x14ac:dyDescent="0.25">
      <c r="D885" s="46" t="str">
        <f>IFERROR(VLOOKUP($E885,'BASE DE DATOS'!$A:$I,2,0)," ")</f>
        <v xml:space="preserve"> </v>
      </c>
      <c r="F885" s="46">
        <f>IFERROR(VLOOKUP($E898,'BASE DE DATOS'!$A:$I,3,0),0)</f>
        <v>0</v>
      </c>
      <c r="G885" s="46">
        <f>IFERROR(VLOOKUP($E885,'BASE DE DATOS'!$A:$I,3,0),0)</f>
        <v>0</v>
      </c>
      <c r="H885" s="46">
        <f>IFERROR(VLOOKUP($E885,'BASE DE DATOS'!$A:$I,3,0),0)</f>
        <v>0</v>
      </c>
      <c r="I885" s="46">
        <f>IFERROR(VLOOKUP($E885,'BASE DE DATOS'!$A:$I,3,0),0)</f>
        <v>0</v>
      </c>
      <c r="J885" s="46">
        <f>IFERROR(VLOOKUP($E885,'BASE DE DATOS'!$A:$I,3,0),0)</f>
        <v>0</v>
      </c>
      <c r="K885" s="46">
        <f>IFERROR(VLOOKUP($E1144,'BASE DE DATOS'!$A:$I,3,0),0)</f>
        <v>0</v>
      </c>
      <c r="L885" s="46">
        <f>IFERROR(VLOOKUP($E885,'BASE DE DATOS'!$A:$I,3,0),0)</f>
        <v>0</v>
      </c>
    </row>
    <row r="886" spans="4:12" x14ac:dyDescent="0.25">
      <c r="D886" s="46" t="str">
        <f>IFERROR(VLOOKUP($E886,'BASE DE DATOS'!$A:$I,2,0)," ")</f>
        <v xml:space="preserve"> </v>
      </c>
      <c r="F886" s="46">
        <f>IFERROR(VLOOKUP($E899,'BASE DE DATOS'!$A:$I,3,0),0)</f>
        <v>0</v>
      </c>
      <c r="G886" s="46">
        <f>IFERROR(VLOOKUP($E886,'BASE DE DATOS'!$A:$I,3,0),0)</f>
        <v>0</v>
      </c>
      <c r="H886" s="46">
        <f>IFERROR(VLOOKUP($E886,'BASE DE DATOS'!$A:$I,3,0),0)</f>
        <v>0</v>
      </c>
      <c r="I886" s="46">
        <f>IFERROR(VLOOKUP($E886,'BASE DE DATOS'!$A:$I,3,0),0)</f>
        <v>0</v>
      </c>
      <c r="J886" s="46">
        <f>IFERROR(VLOOKUP($E886,'BASE DE DATOS'!$A:$I,3,0),0)</f>
        <v>0</v>
      </c>
      <c r="K886" s="46">
        <f>IFERROR(VLOOKUP($E1145,'BASE DE DATOS'!$A:$I,3,0),0)</f>
        <v>0</v>
      </c>
      <c r="L886" s="46">
        <f>IFERROR(VLOOKUP($E886,'BASE DE DATOS'!$A:$I,3,0),0)</f>
        <v>0</v>
      </c>
    </row>
    <row r="887" spans="4:12" x14ac:dyDescent="0.25">
      <c r="D887" s="46" t="str">
        <f>IFERROR(VLOOKUP($E887,'BASE DE DATOS'!$A:$I,2,0)," ")</f>
        <v xml:space="preserve"> </v>
      </c>
      <c r="F887" s="46">
        <f>IFERROR(VLOOKUP($E900,'BASE DE DATOS'!$A:$I,3,0),0)</f>
        <v>0</v>
      </c>
      <c r="G887" s="46">
        <f>IFERROR(VLOOKUP($E887,'BASE DE DATOS'!$A:$I,3,0),0)</f>
        <v>0</v>
      </c>
      <c r="H887" s="46">
        <f>IFERROR(VLOOKUP($E887,'BASE DE DATOS'!$A:$I,3,0),0)</f>
        <v>0</v>
      </c>
      <c r="I887" s="46">
        <f>IFERROR(VLOOKUP($E887,'BASE DE DATOS'!$A:$I,3,0),0)</f>
        <v>0</v>
      </c>
      <c r="J887" s="46">
        <f>IFERROR(VLOOKUP($E887,'BASE DE DATOS'!$A:$I,3,0),0)</f>
        <v>0</v>
      </c>
      <c r="K887" s="46">
        <f>IFERROR(VLOOKUP($E1146,'BASE DE DATOS'!$A:$I,3,0),0)</f>
        <v>0</v>
      </c>
      <c r="L887" s="46">
        <f>IFERROR(VLOOKUP($E887,'BASE DE DATOS'!$A:$I,3,0),0)</f>
        <v>0</v>
      </c>
    </row>
    <row r="888" spans="4:12" x14ac:dyDescent="0.25">
      <c r="D888" s="46" t="str">
        <f>IFERROR(VLOOKUP($E888,'BASE DE DATOS'!$A:$I,2,0)," ")</f>
        <v xml:space="preserve"> </v>
      </c>
      <c r="F888" s="46">
        <f>IFERROR(VLOOKUP($E901,'BASE DE DATOS'!$A:$I,3,0),0)</f>
        <v>0</v>
      </c>
      <c r="G888" s="46">
        <f>IFERROR(VLOOKUP($E888,'BASE DE DATOS'!$A:$I,3,0),0)</f>
        <v>0</v>
      </c>
      <c r="H888" s="46">
        <f>IFERROR(VLOOKUP($E888,'BASE DE DATOS'!$A:$I,3,0),0)</f>
        <v>0</v>
      </c>
      <c r="I888" s="46">
        <f>IFERROR(VLOOKUP($E888,'BASE DE DATOS'!$A:$I,3,0),0)</f>
        <v>0</v>
      </c>
      <c r="J888" s="46">
        <f>IFERROR(VLOOKUP($E888,'BASE DE DATOS'!$A:$I,3,0),0)</f>
        <v>0</v>
      </c>
      <c r="K888" s="46">
        <f>IFERROR(VLOOKUP($E1147,'BASE DE DATOS'!$A:$I,3,0),0)</f>
        <v>0</v>
      </c>
      <c r="L888" s="46">
        <f>IFERROR(VLOOKUP($E888,'BASE DE DATOS'!$A:$I,3,0),0)</f>
        <v>0</v>
      </c>
    </row>
    <row r="889" spans="4:12" x14ac:dyDescent="0.25">
      <c r="D889" s="46" t="str">
        <f>IFERROR(VLOOKUP($E889,'BASE DE DATOS'!$A:$I,2,0)," ")</f>
        <v xml:space="preserve"> </v>
      </c>
      <c r="F889" s="46">
        <f>IFERROR(VLOOKUP($E902,'BASE DE DATOS'!$A:$I,3,0),0)</f>
        <v>0</v>
      </c>
      <c r="G889" s="46">
        <f>IFERROR(VLOOKUP($E889,'BASE DE DATOS'!$A:$I,3,0),0)</f>
        <v>0</v>
      </c>
      <c r="H889" s="46">
        <f>IFERROR(VLOOKUP($E889,'BASE DE DATOS'!$A:$I,3,0),0)</f>
        <v>0</v>
      </c>
      <c r="I889" s="46">
        <f>IFERROR(VLOOKUP($E889,'BASE DE DATOS'!$A:$I,3,0),0)</f>
        <v>0</v>
      </c>
      <c r="J889" s="46">
        <f>IFERROR(VLOOKUP($E889,'BASE DE DATOS'!$A:$I,3,0),0)</f>
        <v>0</v>
      </c>
      <c r="K889" s="46">
        <f>IFERROR(VLOOKUP($E1148,'BASE DE DATOS'!$A:$I,3,0),0)</f>
        <v>0</v>
      </c>
      <c r="L889" s="46">
        <f>IFERROR(VLOOKUP($E889,'BASE DE DATOS'!$A:$I,3,0),0)</f>
        <v>0</v>
      </c>
    </row>
    <row r="890" spans="4:12" x14ac:dyDescent="0.25">
      <c r="D890" s="46" t="str">
        <f>IFERROR(VLOOKUP($E890,'BASE DE DATOS'!$A:$I,2,0)," ")</f>
        <v xml:space="preserve"> </v>
      </c>
      <c r="F890" s="46">
        <f>IFERROR(VLOOKUP($E903,'BASE DE DATOS'!$A:$I,3,0),0)</f>
        <v>0</v>
      </c>
      <c r="G890" s="46">
        <f>IFERROR(VLOOKUP($E890,'BASE DE DATOS'!$A:$I,3,0),0)</f>
        <v>0</v>
      </c>
      <c r="H890" s="46">
        <f>IFERROR(VLOOKUP($E890,'BASE DE DATOS'!$A:$I,3,0),0)</f>
        <v>0</v>
      </c>
      <c r="I890" s="46">
        <f>IFERROR(VLOOKUP($E890,'BASE DE DATOS'!$A:$I,3,0),0)</f>
        <v>0</v>
      </c>
      <c r="J890" s="46">
        <f>IFERROR(VLOOKUP($E890,'BASE DE DATOS'!$A:$I,3,0),0)</f>
        <v>0</v>
      </c>
      <c r="K890" s="46">
        <f>IFERROR(VLOOKUP($E1149,'BASE DE DATOS'!$A:$I,3,0),0)</f>
        <v>0</v>
      </c>
      <c r="L890" s="46">
        <f>IFERROR(VLOOKUP($E890,'BASE DE DATOS'!$A:$I,3,0),0)</f>
        <v>0</v>
      </c>
    </row>
    <row r="891" spans="4:12" x14ac:dyDescent="0.25">
      <c r="D891" s="46" t="str">
        <f>IFERROR(VLOOKUP($E891,'BASE DE DATOS'!$A:$I,2,0)," ")</f>
        <v xml:space="preserve"> </v>
      </c>
      <c r="F891" s="46">
        <f>IFERROR(VLOOKUP($E904,'BASE DE DATOS'!$A:$I,3,0),0)</f>
        <v>0</v>
      </c>
      <c r="G891" s="46">
        <f>IFERROR(VLOOKUP($E891,'BASE DE DATOS'!$A:$I,3,0),0)</f>
        <v>0</v>
      </c>
      <c r="H891" s="46">
        <f>IFERROR(VLOOKUP($E891,'BASE DE DATOS'!$A:$I,3,0),0)</f>
        <v>0</v>
      </c>
      <c r="I891" s="46">
        <f>IFERROR(VLOOKUP($E891,'BASE DE DATOS'!$A:$I,3,0),0)</f>
        <v>0</v>
      </c>
      <c r="J891" s="46">
        <f>IFERROR(VLOOKUP($E891,'BASE DE DATOS'!$A:$I,3,0),0)</f>
        <v>0</v>
      </c>
      <c r="K891" s="46">
        <f>IFERROR(VLOOKUP($E1150,'BASE DE DATOS'!$A:$I,3,0),0)</f>
        <v>0</v>
      </c>
      <c r="L891" s="46">
        <f>IFERROR(VLOOKUP($E891,'BASE DE DATOS'!$A:$I,3,0),0)</f>
        <v>0</v>
      </c>
    </row>
    <row r="892" spans="4:12" x14ac:dyDescent="0.25">
      <c r="D892" s="46" t="str">
        <f>IFERROR(VLOOKUP($E892,'BASE DE DATOS'!$A:$I,2,0)," ")</f>
        <v xml:space="preserve"> </v>
      </c>
      <c r="F892" s="46">
        <f>IFERROR(VLOOKUP($E905,'BASE DE DATOS'!$A:$I,3,0),0)</f>
        <v>0</v>
      </c>
      <c r="G892" s="46">
        <f>IFERROR(VLOOKUP($E892,'BASE DE DATOS'!$A:$I,3,0),0)</f>
        <v>0</v>
      </c>
      <c r="H892" s="46">
        <f>IFERROR(VLOOKUP($E892,'BASE DE DATOS'!$A:$I,3,0),0)</f>
        <v>0</v>
      </c>
      <c r="I892" s="46">
        <f>IFERROR(VLOOKUP($E892,'BASE DE DATOS'!$A:$I,3,0),0)</f>
        <v>0</v>
      </c>
      <c r="J892" s="46">
        <f>IFERROR(VLOOKUP($E892,'BASE DE DATOS'!$A:$I,3,0),0)</f>
        <v>0</v>
      </c>
      <c r="K892" s="46">
        <f>IFERROR(VLOOKUP($E1151,'BASE DE DATOS'!$A:$I,3,0),0)</f>
        <v>0</v>
      </c>
      <c r="L892" s="46">
        <f>IFERROR(VLOOKUP($E892,'BASE DE DATOS'!$A:$I,3,0),0)</f>
        <v>0</v>
      </c>
    </row>
    <row r="893" spans="4:12" x14ac:dyDescent="0.25">
      <c r="D893" s="46" t="str">
        <f>IFERROR(VLOOKUP($E893,'BASE DE DATOS'!$A:$I,2,0)," ")</f>
        <v xml:space="preserve"> </v>
      </c>
      <c r="F893" s="46">
        <f>IFERROR(VLOOKUP($E906,'BASE DE DATOS'!$A:$I,3,0),0)</f>
        <v>0</v>
      </c>
      <c r="G893" s="46">
        <f>IFERROR(VLOOKUP($E893,'BASE DE DATOS'!$A:$I,3,0),0)</f>
        <v>0</v>
      </c>
      <c r="H893" s="46">
        <f>IFERROR(VLOOKUP($E893,'BASE DE DATOS'!$A:$I,3,0),0)</f>
        <v>0</v>
      </c>
      <c r="I893" s="46">
        <f>IFERROR(VLOOKUP($E893,'BASE DE DATOS'!$A:$I,3,0),0)</f>
        <v>0</v>
      </c>
      <c r="J893" s="46">
        <f>IFERROR(VLOOKUP($E893,'BASE DE DATOS'!$A:$I,3,0),0)</f>
        <v>0</v>
      </c>
      <c r="K893" s="46">
        <f>IFERROR(VLOOKUP($E1152,'BASE DE DATOS'!$A:$I,3,0),0)</f>
        <v>0</v>
      </c>
      <c r="L893" s="46">
        <f>IFERROR(VLOOKUP($E893,'BASE DE DATOS'!$A:$I,3,0),0)</f>
        <v>0</v>
      </c>
    </row>
    <row r="894" spans="4:12" x14ac:dyDescent="0.25">
      <c r="D894" s="46" t="str">
        <f>IFERROR(VLOOKUP($E894,'BASE DE DATOS'!$A:$I,2,0)," ")</f>
        <v xml:space="preserve"> </v>
      </c>
      <c r="F894" s="46">
        <f>IFERROR(VLOOKUP($E907,'BASE DE DATOS'!$A:$I,3,0),0)</f>
        <v>0</v>
      </c>
      <c r="G894" s="46">
        <f>IFERROR(VLOOKUP($E894,'BASE DE DATOS'!$A:$I,3,0),0)</f>
        <v>0</v>
      </c>
      <c r="H894" s="46">
        <f>IFERROR(VLOOKUP($E894,'BASE DE DATOS'!$A:$I,3,0),0)</f>
        <v>0</v>
      </c>
      <c r="I894" s="46">
        <f>IFERROR(VLOOKUP($E894,'BASE DE DATOS'!$A:$I,3,0),0)</f>
        <v>0</v>
      </c>
      <c r="J894" s="46">
        <f>IFERROR(VLOOKUP($E894,'BASE DE DATOS'!$A:$I,3,0),0)</f>
        <v>0</v>
      </c>
      <c r="K894" s="46">
        <f>IFERROR(VLOOKUP($E1153,'BASE DE DATOS'!$A:$I,3,0),0)</f>
        <v>0</v>
      </c>
      <c r="L894" s="46">
        <f>IFERROR(VLOOKUP($E894,'BASE DE DATOS'!$A:$I,3,0),0)</f>
        <v>0</v>
      </c>
    </row>
    <row r="895" spans="4:12" x14ac:dyDescent="0.25">
      <c r="D895" s="46" t="str">
        <f>IFERROR(VLOOKUP($E895,'BASE DE DATOS'!$A:$I,2,0)," ")</f>
        <v xml:space="preserve"> </v>
      </c>
      <c r="F895" s="46">
        <f>IFERROR(VLOOKUP($E908,'BASE DE DATOS'!$A:$I,3,0),0)</f>
        <v>0</v>
      </c>
      <c r="G895" s="46">
        <f>IFERROR(VLOOKUP($E895,'BASE DE DATOS'!$A:$I,3,0),0)</f>
        <v>0</v>
      </c>
      <c r="H895" s="46">
        <f>IFERROR(VLOOKUP($E895,'BASE DE DATOS'!$A:$I,3,0),0)</f>
        <v>0</v>
      </c>
      <c r="I895" s="46">
        <f>IFERROR(VLOOKUP($E895,'BASE DE DATOS'!$A:$I,3,0),0)</f>
        <v>0</v>
      </c>
      <c r="J895" s="46">
        <f>IFERROR(VLOOKUP($E895,'BASE DE DATOS'!$A:$I,3,0),0)</f>
        <v>0</v>
      </c>
      <c r="K895" s="46">
        <f>IFERROR(VLOOKUP($E1154,'BASE DE DATOS'!$A:$I,3,0),0)</f>
        <v>0</v>
      </c>
      <c r="L895" s="46">
        <f>IFERROR(VLOOKUP($E895,'BASE DE DATOS'!$A:$I,3,0),0)</f>
        <v>0</v>
      </c>
    </row>
    <row r="896" spans="4:12" x14ac:dyDescent="0.25">
      <c r="D896" s="46" t="str">
        <f>IFERROR(VLOOKUP($E896,'BASE DE DATOS'!$A:$I,2,0)," ")</f>
        <v xml:space="preserve"> </v>
      </c>
      <c r="F896" s="46">
        <f>IFERROR(VLOOKUP($E909,'BASE DE DATOS'!$A:$I,3,0),0)</f>
        <v>0</v>
      </c>
      <c r="G896" s="46">
        <f>IFERROR(VLOOKUP($E896,'BASE DE DATOS'!$A:$I,3,0),0)</f>
        <v>0</v>
      </c>
      <c r="H896" s="46">
        <f>IFERROR(VLOOKUP($E896,'BASE DE DATOS'!$A:$I,3,0),0)</f>
        <v>0</v>
      </c>
      <c r="I896" s="46">
        <f>IFERROR(VLOOKUP($E896,'BASE DE DATOS'!$A:$I,3,0),0)</f>
        <v>0</v>
      </c>
      <c r="J896" s="46">
        <f>IFERROR(VLOOKUP($E896,'BASE DE DATOS'!$A:$I,3,0),0)</f>
        <v>0</v>
      </c>
      <c r="K896" s="46">
        <f>IFERROR(VLOOKUP($E1155,'BASE DE DATOS'!$A:$I,3,0),0)</f>
        <v>0</v>
      </c>
      <c r="L896" s="46">
        <f>IFERROR(VLOOKUP($E896,'BASE DE DATOS'!$A:$I,3,0),0)</f>
        <v>0</v>
      </c>
    </row>
    <row r="897" spans="4:12" x14ac:dyDescent="0.25">
      <c r="D897" s="46" t="str">
        <f>IFERROR(VLOOKUP($E897,'BASE DE DATOS'!$A:$I,2,0)," ")</f>
        <v xml:space="preserve"> </v>
      </c>
      <c r="F897" s="46">
        <f>IFERROR(VLOOKUP($E910,'BASE DE DATOS'!$A:$I,3,0),0)</f>
        <v>0</v>
      </c>
      <c r="G897" s="46">
        <f>IFERROR(VLOOKUP($E897,'BASE DE DATOS'!$A:$I,3,0),0)</f>
        <v>0</v>
      </c>
      <c r="H897" s="46">
        <f>IFERROR(VLOOKUP($E897,'BASE DE DATOS'!$A:$I,3,0),0)</f>
        <v>0</v>
      </c>
      <c r="I897" s="46">
        <f>IFERROR(VLOOKUP($E897,'BASE DE DATOS'!$A:$I,3,0),0)</f>
        <v>0</v>
      </c>
      <c r="J897" s="46">
        <f>IFERROR(VLOOKUP($E897,'BASE DE DATOS'!$A:$I,3,0),0)</f>
        <v>0</v>
      </c>
      <c r="K897" s="46">
        <f>IFERROR(VLOOKUP($E1156,'BASE DE DATOS'!$A:$I,3,0),0)</f>
        <v>0</v>
      </c>
      <c r="L897" s="46">
        <f>IFERROR(VLOOKUP($E897,'BASE DE DATOS'!$A:$I,3,0),0)</f>
        <v>0</v>
      </c>
    </row>
    <row r="898" spans="4:12" x14ac:dyDescent="0.25">
      <c r="D898" s="46" t="str">
        <f>IFERROR(VLOOKUP($E898,'BASE DE DATOS'!$A:$I,2,0)," ")</f>
        <v xml:space="preserve"> </v>
      </c>
      <c r="F898" s="46">
        <f>IFERROR(VLOOKUP($E911,'BASE DE DATOS'!$A:$I,3,0),0)</f>
        <v>0</v>
      </c>
      <c r="G898" s="46">
        <f>IFERROR(VLOOKUP($E898,'BASE DE DATOS'!$A:$I,3,0),0)</f>
        <v>0</v>
      </c>
      <c r="H898" s="46">
        <f>IFERROR(VLOOKUP($E898,'BASE DE DATOS'!$A:$I,3,0),0)</f>
        <v>0</v>
      </c>
      <c r="I898" s="46">
        <f>IFERROR(VLOOKUP($E898,'BASE DE DATOS'!$A:$I,3,0),0)</f>
        <v>0</v>
      </c>
      <c r="J898" s="46">
        <f>IFERROR(VLOOKUP($E898,'BASE DE DATOS'!$A:$I,3,0),0)</f>
        <v>0</v>
      </c>
      <c r="K898" s="46">
        <f>IFERROR(VLOOKUP($E1157,'BASE DE DATOS'!$A:$I,3,0),0)</f>
        <v>0</v>
      </c>
      <c r="L898" s="46">
        <f>IFERROR(VLOOKUP($E898,'BASE DE DATOS'!$A:$I,3,0),0)</f>
        <v>0</v>
      </c>
    </row>
    <row r="899" spans="4:12" x14ac:dyDescent="0.25">
      <c r="D899" s="46" t="str">
        <f>IFERROR(VLOOKUP($E899,'BASE DE DATOS'!$A:$I,2,0)," ")</f>
        <v xml:space="preserve"> </v>
      </c>
      <c r="F899" s="46">
        <f>IFERROR(VLOOKUP($E912,'BASE DE DATOS'!$A:$I,3,0),0)</f>
        <v>0</v>
      </c>
      <c r="G899" s="46">
        <f>IFERROR(VLOOKUP($E899,'BASE DE DATOS'!$A:$I,3,0),0)</f>
        <v>0</v>
      </c>
      <c r="H899" s="46">
        <f>IFERROR(VLOOKUP($E899,'BASE DE DATOS'!$A:$I,3,0),0)</f>
        <v>0</v>
      </c>
      <c r="I899" s="46">
        <f>IFERROR(VLOOKUP($E899,'BASE DE DATOS'!$A:$I,3,0),0)</f>
        <v>0</v>
      </c>
      <c r="J899" s="46">
        <f>IFERROR(VLOOKUP($E899,'BASE DE DATOS'!$A:$I,3,0),0)</f>
        <v>0</v>
      </c>
      <c r="K899" s="46">
        <f>IFERROR(VLOOKUP($E1158,'BASE DE DATOS'!$A:$I,3,0),0)</f>
        <v>0</v>
      </c>
      <c r="L899" s="46">
        <f>IFERROR(VLOOKUP($E899,'BASE DE DATOS'!$A:$I,3,0),0)</f>
        <v>0</v>
      </c>
    </row>
    <row r="900" spans="4:12" x14ac:dyDescent="0.25">
      <c r="D900" s="46" t="str">
        <f>IFERROR(VLOOKUP($E900,'BASE DE DATOS'!$A:$I,2,0)," ")</f>
        <v xml:space="preserve"> </v>
      </c>
      <c r="F900" s="46">
        <f>IFERROR(VLOOKUP($E913,'BASE DE DATOS'!$A:$I,3,0),0)</f>
        <v>0</v>
      </c>
      <c r="G900" s="46">
        <f>IFERROR(VLOOKUP($E900,'BASE DE DATOS'!$A:$I,3,0),0)</f>
        <v>0</v>
      </c>
      <c r="H900" s="46">
        <f>IFERROR(VLOOKUP($E900,'BASE DE DATOS'!$A:$I,3,0),0)</f>
        <v>0</v>
      </c>
      <c r="I900" s="46">
        <f>IFERROR(VLOOKUP($E900,'BASE DE DATOS'!$A:$I,3,0),0)</f>
        <v>0</v>
      </c>
      <c r="J900" s="46">
        <f>IFERROR(VLOOKUP($E900,'BASE DE DATOS'!$A:$I,3,0),0)</f>
        <v>0</v>
      </c>
      <c r="K900" s="46">
        <f>IFERROR(VLOOKUP($E1159,'BASE DE DATOS'!$A:$I,3,0),0)</f>
        <v>0</v>
      </c>
      <c r="L900" s="46">
        <f>IFERROR(VLOOKUP($E900,'BASE DE DATOS'!$A:$I,3,0),0)</f>
        <v>0</v>
      </c>
    </row>
    <row r="901" spans="4:12" x14ac:dyDescent="0.25">
      <c r="D901" s="46" t="str">
        <f>IFERROR(VLOOKUP($E901,'BASE DE DATOS'!$A:$I,2,0)," ")</f>
        <v xml:space="preserve"> </v>
      </c>
      <c r="F901" s="46">
        <f>IFERROR(VLOOKUP($E914,'BASE DE DATOS'!$A:$I,3,0),0)</f>
        <v>0</v>
      </c>
      <c r="G901" s="46">
        <f>IFERROR(VLOOKUP($E901,'BASE DE DATOS'!$A:$I,3,0),0)</f>
        <v>0</v>
      </c>
      <c r="H901" s="46">
        <f>IFERROR(VLOOKUP($E901,'BASE DE DATOS'!$A:$I,3,0),0)</f>
        <v>0</v>
      </c>
      <c r="I901" s="46">
        <f>IFERROR(VLOOKUP($E901,'BASE DE DATOS'!$A:$I,3,0),0)</f>
        <v>0</v>
      </c>
      <c r="J901" s="46">
        <f>IFERROR(VLOOKUP($E901,'BASE DE DATOS'!$A:$I,3,0),0)</f>
        <v>0</v>
      </c>
      <c r="K901" s="46">
        <f>IFERROR(VLOOKUP($E1160,'BASE DE DATOS'!$A:$I,3,0),0)</f>
        <v>0</v>
      </c>
      <c r="L901" s="46">
        <f>IFERROR(VLOOKUP($E901,'BASE DE DATOS'!$A:$I,3,0),0)</f>
        <v>0</v>
      </c>
    </row>
    <row r="902" spans="4:12" x14ac:dyDescent="0.25">
      <c r="D902" s="46" t="str">
        <f>IFERROR(VLOOKUP($E902,'BASE DE DATOS'!$A:$I,2,0)," ")</f>
        <v xml:space="preserve"> </v>
      </c>
      <c r="F902" s="46">
        <f>IFERROR(VLOOKUP($E915,'BASE DE DATOS'!$A:$I,3,0),0)</f>
        <v>0</v>
      </c>
      <c r="G902" s="46">
        <f>IFERROR(VLOOKUP($E902,'BASE DE DATOS'!$A:$I,3,0),0)</f>
        <v>0</v>
      </c>
      <c r="H902" s="46">
        <f>IFERROR(VLOOKUP($E902,'BASE DE DATOS'!$A:$I,3,0),0)</f>
        <v>0</v>
      </c>
      <c r="I902" s="46">
        <f>IFERROR(VLOOKUP($E902,'BASE DE DATOS'!$A:$I,3,0),0)</f>
        <v>0</v>
      </c>
      <c r="J902" s="46">
        <f>IFERROR(VLOOKUP($E902,'BASE DE DATOS'!$A:$I,3,0),0)</f>
        <v>0</v>
      </c>
      <c r="K902" s="46">
        <f>IFERROR(VLOOKUP($E1161,'BASE DE DATOS'!$A:$I,3,0),0)</f>
        <v>0</v>
      </c>
      <c r="L902" s="46">
        <f>IFERROR(VLOOKUP($E902,'BASE DE DATOS'!$A:$I,3,0),0)</f>
        <v>0</v>
      </c>
    </row>
    <row r="903" spans="4:12" x14ac:dyDescent="0.25">
      <c r="D903" s="46" t="str">
        <f>IFERROR(VLOOKUP($E903,'BASE DE DATOS'!$A:$I,2,0)," ")</f>
        <v xml:space="preserve"> </v>
      </c>
      <c r="F903" s="46">
        <f>IFERROR(VLOOKUP($E916,'BASE DE DATOS'!$A:$I,3,0),0)</f>
        <v>0</v>
      </c>
      <c r="G903" s="46">
        <f>IFERROR(VLOOKUP($E903,'BASE DE DATOS'!$A:$I,3,0),0)</f>
        <v>0</v>
      </c>
      <c r="H903" s="46">
        <f>IFERROR(VLOOKUP($E903,'BASE DE DATOS'!$A:$I,3,0),0)</f>
        <v>0</v>
      </c>
      <c r="I903" s="46">
        <f>IFERROR(VLOOKUP($E903,'BASE DE DATOS'!$A:$I,3,0),0)</f>
        <v>0</v>
      </c>
      <c r="J903" s="46">
        <f>IFERROR(VLOOKUP($E903,'BASE DE DATOS'!$A:$I,3,0),0)</f>
        <v>0</v>
      </c>
      <c r="K903" s="46">
        <f>IFERROR(VLOOKUP($E1162,'BASE DE DATOS'!$A:$I,3,0),0)</f>
        <v>0</v>
      </c>
      <c r="L903" s="46">
        <f>IFERROR(VLOOKUP($E903,'BASE DE DATOS'!$A:$I,3,0),0)</f>
        <v>0</v>
      </c>
    </row>
    <row r="904" spans="4:12" x14ac:dyDescent="0.25">
      <c r="D904" s="46" t="str">
        <f>IFERROR(VLOOKUP($E904,'BASE DE DATOS'!$A:$I,2,0)," ")</f>
        <v xml:space="preserve"> </v>
      </c>
      <c r="F904" s="46">
        <f>IFERROR(VLOOKUP($E917,'BASE DE DATOS'!$A:$I,3,0),0)</f>
        <v>0</v>
      </c>
      <c r="G904" s="46">
        <f>IFERROR(VLOOKUP($E904,'BASE DE DATOS'!$A:$I,3,0),0)</f>
        <v>0</v>
      </c>
      <c r="H904" s="46">
        <f>IFERROR(VLOOKUP($E904,'BASE DE DATOS'!$A:$I,3,0),0)</f>
        <v>0</v>
      </c>
      <c r="I904" s="46">
        <f>IFERROR(VLOOKUP($E904,'BASE DE DATOS'!$A:$I,3,0),0)</f>
        <v>0</v>
      </c>
      <c r="J904" s="46">
        <f>IFERROR(VLOOKUP($E904,'BASE DE DATOS'!$A:$I,3,0),0)</f>
        <v>0</v>
      </c>
      <c r="K904" s="46">
        <f>IFERROR(VLOOKUP($E1163,'BASE DE DATOS'!$A:$I,3,0),0)</f>
        <v>0</v>
      </c>
      <c r="L904" s="46">
        <f>IFERROR(VLOOKUP($E904,'BASE DE DATOS'!$A:$I,3,0),0)</f>
        <v>0</v>
      </c>
    </row>
    <row r="905" spans="4:12" x14ac:dyDescent="0.25">
      <c r="D905" s="46" t="str">
        <f>IFERROR(VLOOKUP($E905,'BASE DE DATOS'!$A:$I,2,0)," ")</f>
        <v xml:space="preserve"> </v>
      </c>
      <c r="F905" s="46">
        <f>IFERROR(VLOOKUP($E918,'BASE DE DATOS'!$A:$I,3,0),0)</f>
        <v>0</v>
      </c>
      <c r="G905" s="46">
        <f>IFERROR(VLOOKUP($E905,'BASE DE DATOS'!$A:$I,3,0),0)</f>
        <v>0</v>
      </c>
      <c r="H905" s="46">
        <f>IFERROR(VLOOKUP($E905,'BASE DE DATOS'!$A:$I,3,0),0)</f>
        <v>0</v>
      </c>
      <c r="I905" s="46">
        <f>IFERROR(VLOOKUP($E905,'BASE DE DATOS'!$A:$I,3,0),0)</f>
        <v>0</v>
      </c>
      <c r="J905" s="46">
        <f>IFERROR(VLOOKUP($E905,'BASE DE DATOS'!$A:$I,3,0),0)</f>
        <v>0</v>
      </c>
      <c r="K905" s="46">
        <f>IFERROR(VLOOKUP($E1164,'BASE DE DATOS'!$A:$I,3,0),0)</f>
        <v>0</v>
      </c>
      <c r="L905" s="46">
        <f>IFERROR(VLOOKUP($E905,'BASE DE DATOS'!$A:$I,3,0),0)</f>
        <v>0</v>
      </c>
    </row>
    <row r="906" spans="4:12" x14ac:dyDescent="0.25">
      <c r="D906" s="46" t="str">
        <f>IFERROR(VLOOKUP($E906,'BASE DE DATOS'!$A:$I,2,0)," ")</f>
        <v xml:space="preserve"> </v>
      </c>
      <c r="F906" s="46">
        <f>IFERROR(VLOOKUP($E919,'BASE DE DATOS'!$A:$I,3,0),0)</f>
        <v>0</v>
      </c>
      <c r="G906" s="46">
        <f>IFERROR(VLOOKUP($E906,'BASE DE DATOS'!$A:$I,3,0),0)</f>
        <v>0</v>
      </c>
      <c r="H906" s="46">
        <f>IFERROR(VLOOKUP($E906,'BASE DE DATOS'!$A:$I,3,0),0)</f>
        <v>0</v>
      </c>
      <c r="I906" s="46">
        <f>IFERROR(VLOOKUP($E906,'BASE DE DATOS'!$A:$I,3,0),0)</f>
        <v>0</v>
      </c>
      <c r="J906" s="46">
        <f>IFERROR(VLOOKUP($E906,'BASE DE DATOS'!$A:$I,3,0),0)</f>
        <v>0</v>
      </c>
      <c r="K906" s="46">
        <f>IFERROR(VLOOKUP($E1165,'BASE DE DATOS'!$A:$I,3,0),0)</f>
        <v>0</v>
      </c>
      <c r="L906" s="46">
        <f>IFERROR(VLOOKUP($E906,'BASE DE DATOS'!$A:$I,3,0),0)</f>
        <v>0</v>
      </c>
    </row>
    <row r="907" spans="4:12" x14ac:dyDescent="0.25">
      <c r="D907" s="46" t="str">
        <f>IFERROR(VLOOKUP($E907,'BASE DE DATOS'!$A:$I,2,0)," ")</f>
        <v xml:space="preserve"> </v>
      </c>
      <c r="F907" s="46">
        <f>IFERROR(VLOOKUP($E920,'BASE DE DATOS'!$A:$I,3,0),0)</f>
        <v>0</v>
      </c>
      <c r="G907" s="46">
        <f>IFERROR(VLOOKUP($E907,'BASE DE DATOS'!$A:$I,3,0),0)</f>
        <v>0</v>
      </c>
      <c r="H907" s="46">
        <f>IFERROR(VLOOKUP($E907,'BASE DE DATOS'!$A:$I,3,0),0)</f>
        <v>0</v>
      </c>
      <c r="I907" s="46">
        <f>IFERROR(VLOOKUP($E907,'BASE DE DATOS'!$A:$I,3,0),0)</f>
        <v>0</v>
      </c>
      <c r="J907" s="46">
        <f>IFERROR(VLOOKUP($E907,'BASE DE DATOS'!$A:$I,3,0),0)</f>
        <v>0</v>
      </c>
      <c r="K907" s="46">
        <f>IFERROR(VLOOKUP($E1166,'BASE DE DATOS'!$A:$I,3,0),0)</f>
        <v>0</v>
      </c>
      <c r="L907" s="46">
        <f>IFERROR(VLOOKUP($E907,'BASE DE DATOS'!$A:$I,3,0),0)</f>
        <v>0</v>
      </c>
    </row>
    <row r="908" spans="4:12" x14ac:dyDescent="0.25">
      <c r="D908" s="46" t="str">
        <f>IFERROR(VLOOKUP($E908,'BASE DE DATOS'!$A:$I,2,0)," ")</f>
        <v xml:space="preserve"> </v>
      </c>
      <c r="F908" s="46">
        <f>IFERROR(VLOOKUP($E921,'BASE DE DATOS'!$A:$I,3,0),0)</f>
        <v>0</v>
      </c>
      <c r="G908" s="46">
        <f>IFERROR(VLOOKUP($E908,'BASE DE DATOS'!$A:$I,3,0),0)</f>
        <v>0</v>
      </c>
      <c r="H908" s="46">
        <f>IFERROR(VLOOKUP($E908,'BASE DE DATOS'!$A:$I,3,0),0)</f>
        <v>0</v>
      </c>
      <c r="I908" s="46">
        <f>IFERROR(VLOOKUP($E908,'BASE DE DATOS'!$A:$I,3,0),0)</f>
        <v>0</v>
      </c>
      <c r="J908" s="46">
        <f>IFERROR(VLOOKUP($E908,'BASE DE DATOS'!$A:$I,3,0),0)</f>
        <v>0</v>
      </c>
      <c r="K908" s="46">
        <f>IFERROR(VLOOKUP($E1167,'BASE DE DATOS'!$A:$I,3,0),0)</f>
        <v>0</v>
      </c>
      <c r="L908" s="46">
        <f>IFERROR(VLOOKUP($E908,'BASE DE DATOS'!$A:$I,3,0),0)</f>
        <v>0</v>
      </c>
    </row>
    <row r="909" spans="4:12" x14ac:dyDescent="0.25">
      <c r="D909" s="46" t="str">
        <f>IFERROR(VLOOKUP($E909,'BASE DE DATOS'!$A:$I,2,0)," ")</f>
        <v xml:space="preserve"> </v>
      </c>
      <c r="F909" s="46">
        <f>IFERROR(VLOOKUP($E922,'BASE DE DATOS'!$A:$I,3,0),0)</f>
        <v>0</v>
      </c>
      <c r="G909" s="46">
        <f>IFERROR(VLOOKUP($E909,'BASE DE DATOS'!$A:$I,3,0),0)</f>
        <v>0</v>
      </c>
      <c r="H909" s="46">
        <f>IFERROR(VLOOKUP($E909,'BASE DE DATOS'!$A:$I,3,0),0)</f>
        <v>0</v>
      </c>
      <c r="I909" s="46">
        <f>IFERROR(VLOOKUP($E909,'BASE DE DATOS'!$A:$I,3,0),0)</f>
        <v>0</v>
      </c>
      <c r="J909" s="46">
        <f>IFERROR(VLOOKUP($E909,'BASE DE DATOS'!$A:$I,3,0),0)</f>
        <v>0</v>
      </c>
      <c r="K909" s="46">
        <f>IFERROR(VLOOKUP($E1168,'BASE DE DATOS'!$A:$I,3,0),0)</f>
        <v>0</v>
      </c>
      <c r="L909" s="46">
        <f>IFERROR(VLOOKUP($E909,'BASE DE DATOS'!$A:$I,3,0),0)</f>
        <v>0</v>
      </c>
    </row>
    <row r="910" spans="4:12" x14ac:dyDescent="0.25">
      <c r="D910" s="46" t="str">
        <f>IFERROR(VLOOKUP($E910,'BASE DE DATOS'!$A:$I,2,0)," ")</f>
        <v xml:space="preserve"> </v>
      </c>
      <c r="F910" s="46">
        <f>IFERROR(VLOOKUP($E923,'BASE DE DATOS'!$A:$I,3,0),0)</f>
        <v>0</v>
      </c>
      <c r="G910" s="46">
        <f>IFERROR(VLOOKUP($E910,'BASE DE DATOS'!$A:$I,3,0),0)</f>
        <v>0</v>
      </c>
      <c r="H910" s="46">
        <f>IFERROR(VLOOKUP($E910,'BASE DE DATOS'!$A:$I,3,0),0)</f>
        <v>0</v>
      </c>
      <c r="I910" s="46">
        <f>IFERROR(VLOOKUP($E910,'BASE DE DATOS'!$A:$I,3,0),0)</f>
        <v>0</v>
      </c>
      <c r="J910" s="46">
        <f>IFERROR(VLOOKUP($E910,'BASE DE DATOS'!$A:$I,3,0),0)</f>
        <v>0</v>
      </c>
      <c r="K910" s="46">
        <f>IFERROR(VLOOKUP($E1169,'BASE DE DATOS'!$A:$I,3,0),0)</f>
        <v>0</v>
      </c>
      <c r="L910" s="46">
        <f>IFERROR(VLOOKUP($E910,'BASE DE DATOS'!$A:$I,3,0),0)</f>
        <v>0</v>
      </c>
    </row>
    <row r="911" spans="4:12" x14ac:dyDescent="0.25">
      <c r="D911" s="46" t="str">
        <f>IFERROR(VLOOKUP($E911,'BASE DE DATOS'!$A:$I,2,0)," ")</f>
        <v xml:space="preserve"> </v>
      </c>
      <c r="F911" s="46">
        <f>IFERROR(VLOOKUP($E924,'BASE DE DATOS'!$A:$I,3,0),0)</f>
        <v>0</v>
      </c>
      <c r="G911" s="46">
        <f>IFERROR(VLOOKUP($E911,'BASE DE DATOS'!$A:$I,3,0),0)</f>
        <v>0</v>
      </c>
      <c r="H911" s="46">
        <f>IFERROR(VLOOKUP($E911,'BASE DE DATOS'!$A:$I,3,0),0)</f>
        <v>0</v>
      </c>
      <c r="I911" s="46">
        <f>IFERROR(VLOOKUP($E911,'BASE DE DATOS'!$A:$I,3,0),0)</f>
        <v>0</v>
      </c>
      <c r="J911" s="46">
        <f>IFERROR(VLOOKUP($E911,'BASE DE DATOS'!$A:$I,3,0),0)</f>
        <v>0</v>
      </c>
      <c r="K911" s="46">
        <f>IFERROR(VLOOKUP($E1170,'BASE DE DATOS'!$A:$I,3,0),0)</f>
        <v>0</v>
      </c>
      <c r="L911" s="46">
        <f>IFERROR(VLOOKUP($E911,'BASE DE DATOS'!$A:$I,3,0),0)</f>
        <v>0</v>
      </c>
    </row>
    <row r="912" spans="4:12" x14ac:dyDescent="0.25">
      <c r="D912" s="46" t="str">
        <f>IFERROR(VLOOKUP($E912,'BASE DE DATOS'!$A:$I,2,0)," ")</f>
        <v xml:space="preserve"> </v>
      </c>
      <c r="F912" s="46">
        <f>IFERROR(VLOOKUP($E925,'BASE DE DATOS'!$A:$I,3,0),0)</f>
        <v>0</v>
      </c>
      <c r="G912" s="46">
        <f>IFERROR(VLOOKUP($E912,'BASE DE DATOS'!$A:$I,3,0),0)</f>
        <v>0</v>
      </c>
      <c r="H912" s="46">
        <f>IFERROR(VLOOKUP($E912,'BASE DE DATOS'!$A:$I,3,0),0)</f>
        <v>0</v>
      </c>
      <c r="I912" s="46">
        <f>IFERROR(VLOOKUP($E912,'BASE DE DATOS'!$A:$I,3,0),0)</f>
        <v>0</v>
      </c>
      <c r="J912" s="46">
        <f>IFERROR(VLOOKUP($E912,'BASE DE DATOS'!$A:$I,3,0),0)</f>
        <v>0</v>
      </c>
      <c r="K912" s="46">
        <f>IFERROR(VLOOKUP($E1171,'BASE DE DATOS'!$A:$I,3,0),0)</f>
        <v>0</v>
      </c>
      <c r="L912" s="46">
        <f>IFERROR(VLOOKUP($E912,'BASE DE DATOS'!$A:$I,3,0),0)</f>
        <v>0</v>
      </c>
    </row>
    <row r="913" spans="4:12" x14ac:dyDescent="0.25">
      <c r="D913" s="46" t="str">
        <f>IFERROR(VLOOKUP($E913,'BASE DE DATOS'!$A:$I,2,0)," ")</f>
        <v xml:space="preserve"> </v>
      </c>
      <c r="F913" s="46">
        <f>IFERROR(VLOOKUP($E926,'BASE DE DATOS'!$A:$I,3,0),0)</f>
        <v>0</v>
      </c>
      <c r="G913" s="46">
        <f>IFERROR(VLOOKUP($E913,'BASE DE DATOS'!$A:$I,3,0),0)</f>
        <v>0</v>
      </c>
      <c r="H913" s="46">
        <f>IFERROR(VLOOKUP($E913,'BASE DE DATOS'!$A:$I,3,0),0)</f>
        <v>0</v>
      </c>
      <c r="I913" s="46">
        <f>IFERROR(VLOOKUP($E913,'BASE DE DATOS'!$A:$I,3,0),0)</f>
        <v>0</v>
      </c>
      <c r="J913" s="46">
        <f>IFERROR(VLOOKUP($E913,'BASE DE DATOS'!$A:$I,3,0),0)</f>
        <v>0</v>
      </c>
      <c r="K913" s="46">
        <f>IFERROR(VLOOKUP($E1172,'BASE DE DATOS'!$A:$I,3,0),0)</f>
        <v>0</v>
      </c>
      <c r="L913" s="46">
        <f>IFERROR(VLOOKUP($E913,'BASE DE DATOS'!$A:$I,3,0),0)</f>
        <v>0</v>
      </c>
    </row>
    <row r="914" spans="4:12" x14ac:dyDescent="0.25">
      <c r="D914" s="46" t="str">
        <f>IFERROR(VLOOKUP($E914,'BASE DE DATOS'!$A:$I,2,0)," ")</f>
        <v xml:space="preserve"> </v>
      </c>
      <c r="F914" s="46">
        <f>IFERROR(VLOOKUP($E927,'BASE DE DATOS'!$A:$I,3,0),0)</f>
        <v>0</v>
      </c>
      <c r="G914" s="46">
        <f>IFERROR(VLOOKUP($E914,'BASE DE DATOS'!$A:$I,3,0),0)</f>
        <v>0</v>
      </c>
      <c r="H914" s="46">
        <f>IFERROR(VLOOKUP($E914,'BASE DE DATOS'!$A:$I,3,0),0)</f>
        <v>0</v>
      </c>
      <c r="I914" s="46">
        <f>IFERROR(VLOOKUP($E914,'BASE DE DATOS'!$A:$I,3,0),0)</f>
        <v>0</v>
      </c>
      <c r="J914" s="46">
        <f>IFERROR(VLOOKUP($E914,'BASE DE DATOS'!$A:$I,3,0),0)</f>
        <v>0</v>
      </c>
      <c r="K914" s="46">
        <f>IFERROR(VLOOKUP($E1173,'BASE DE DATOS'!$A:$I,3,0),0)</f>
        <v>0</v>
      </c>
      <c r="L914" s="46">
        <f>IFERROR(VLOOKUP($E914,'BASE DE DATOS'!$A:$I,3,0),0)</f>
        <v>0</v>
      </c>
    </row>
    <row r="915" spans="4:12" x14ac:dyDescent="0.25">
      <c r="D915" s="46" t="str">
        <f>IFERROR(VLOOKUP($E915,'BASE DE DATOS'!$A:$I,2,0)," ")</f>
        <v xml:space="preserve"> </v>
      </c>
      <c r="F915" s="46">
        <f>IFERROR(VLOOKUP($E928,'BASE DE DATOS'!$A:$I,3,0),0)</f>
        <v>0</v>
      </c>
      <c r="G915" s="46">
        <f>IFERROR(VLOOKUP($E915,'BASE DE DATOS'!$A:$I,3,0),0)</f>
        <v>0</v>
      </c>
      <c r="H915" s="46">
        <f>IFERROR(VLOOKUP($E915,'BASE DE DATOS'!$A:$I,3,0),0)</f>
        <v>0</v>
      </c>
      <c r="I915" s="46">
        <f>IFERROR(VLOOKUP($E915,'BASE DE DATOS'!$A:$I,3,0),0)</f>
        <v>0</v>
      </c>
      <c r="J915" s="46">
        <f>IFERROR(VLOOKUP($E915,'BASE DE DATOS'!$A:$I,3,0),0)</f>
        <v>0</v>
      </c>
      <c r="K915" s="46">
        <f>IFERROR(VLOOKUP($E1174,'BASE DE DATOS'!$A:$I,3,0),0)</f>
        <v>0</v>
      </c>
      <c r="L915" s="46">
        <f>IFERROR(VLOOKUP($E915,'BASE DE DATOS'!$A:$I,3,0),0)</f>
        <v>0</v>
      </c>
    </row>
    <row r="916" spans="4:12" x14ac:dyDescent="0.25">
      <c r="D916" s="46" t="str">
        <f>IFERROR(VLOOKUP($E916,'BASE DE DATOS'!$A:$I,2,0)," ")</f>
        <v xml:space="preserve"> </v>
      </c>
      <c r="F916" s="46">
        <f>IFERROR(VLOOKUP($E929,'BASE DE DATOS'!$A:$I,3,0),0)</f>
        <v>0</v>
      </c>
      <c r="G916" s="46">
        <f>IFERROR(VLOOKUP($E916,'BASE DE DATOS'!$A:$I,3,0),0)</f>
        <v>0</v>
      </c>
      <c r="H916" s="46">
        <f>IFERROR(VLOOKUP($E916,'BASE DE DATOS'!$A:$I,3,0),0)</f>
        <v>0</v>
      </c>
      <c r="I916" s="46">
        <f>IFERROR(VLOOKUP($E916,'BASE DE DATOS'!$A:$I,3,0),0)</f>
        <v>0</v>
      </c>
      <c r="J916" s="46">
        <f>IFERROR(VLOOKUP($E916,'BASE DE DATOS'!$A:$I,3,0),0)</f>
        <v>0</v>
      </c>
      <c r="K916" s="46">
        <f>IFERROR(VLOOKUP($E1175,'BASE DE DATOS'!$A:$I,3,0),0)</f>
        <v>0</v>
      </c>
      <c r="L916" s="46">
        <f>IFERROR(VLOOKUP($E916,'BASE DE DATOS'!$A:$I,3,0),0)</f>
        <v>0</v>
      </c>
    </row>
    <row r="917" spans="4:12" x14ac:dyDescent="0.25">
      <c r="D917" s="46" t="str">
        <f>IFERROR(VLOOKUP($E917,'BASE DE DATOS'!$A:$I,2,0)," ")</f>
        <v xml:space="preserve"> </v>
      </c>
      <c r="F917" s="46">
        <f>IFERROR(VLOOKUP($E930,'BASE DE DATOS'!$A:$I,3,0),0)</f>
        <v>0</v>
      </c>
      <c r="G917" s="46">
        <f>IFERROR(VLOOKUP($E917,'BASE DE DATOS'!$A:$I,3,0),0)</f>
        <v>0</v>
      </c>
      <c r="H917" s="46">
        <f>IFERROR(VLOOKUP($E917,'BASE DE DATOS'!$A:$I,3,0),0)</f>
        <v>0</v>
      </c>
      <c r="I917" s="46">
        <f>IFERROR(VLOOKUP($E917,'BASE DE DATOS'!$A:$I,3,0),0)</f>
        <v>0</v>
      </c>
      <c r="J917" s="46">
        <f>IFERROR(VLOOKUP($E917,'BASE DE DATOS'!$A:$I,3,0),0)</f>
        <v>0</v>
      </c>
      <c r="K917" s="46">
        <f>IFERROR(VLOOKUP($E1176,'BASE DE DATOS'!$A:$I,3,0),0)</f>
        <v>0</v>
      </c>
      <c r="L917" s="46">
        <f>IFERROR(VLOOKUP($E917,'BASE DE DATOS'!$A:$I,3,0),0)</f>
        <v>0</v>
      </c>
    </row>
    <row r="918" spans="4:12" x14ac:dyDescent="0.25">
      <c r="D918" s="46" t="str">
        <f>IFERROR(VLOOKUP($E918,'BASE DE DATOS'!$A:$I,2,0)," ")</f>
        <v xml:space="preserve"> </v>
      </c>
      <c r="F918" s="46">
        <f>IFERROR(VLOOKUP($E931,'BASE DE DATOS'!$A:$I,3,0),0)</f>
        <v>0</v>
      </c>
      <c r="G918" s="46">
        <f>IFERROR(VLOOKUP($E918,'BASE DE DATOS'!$A:$I,3,0),0)</f>
        <v>0</v>
      </c>
      <c r="H918" s="46">
        <f>IFERROR(VLOOKUP($E918,'BASE DE DATOS'!$A:$I,3,0),0)</f>
        <v>0</v>
      </c>
      <c r="I918" s="46">
        <f>IFERROR(VLOOKUP($E918,'BASE DE DATOS'!$A:$I,3,0),0)</f>
        <v>0</v>
      </c>
      <c r="J918" s="46">
        <f>IFERROR(VLOOKUP($E918,'BASE DE DATOS'!$A:$I,3,0),0)</f>
        <v>0</v>
      </c>
      <c r="K918" s="46">
        <f>IFERROR(VLOOKUP($E1177,'BASE DE DATOS'!$A:$I,3,0),0)</f>
        <v>0</v>
      </c>
      <c r="L918" s="46">
        <f>IFERROR(VLOOKUP($E918,'BASE DE DATOS'!$A:$I,3,0),0)</f>
        <v>0</v>
      </c>
    </row>
    <row r="919" spans="4:12" x14ac:dyDescent="0.25">
      <c r="D919" s="46" t="str">
        <f>IFERROR(VLOOKUP($E919,'BASE DE DATOS'!$A:$I,2,0)," ")</f>
        <v xml:space="preserve"> </v>
      </c>
      <c r="F919" s="46">
        <f>IFERROR(VLOOKUP($E932,'BASE DE DATOS'!$A:$I,3,0),0)</f>
        <v>0</v>
      </c>
      <c r="G919" s="46">
        <f>IFERROR(VLOOKUP($E919,'BASE DE DATOS'!$A:$I,3,0),0)</f>
        <v>0</v>
      </c>
      <c r="H919" s="46">
        <f>IFERROR(VLOOKUP($E919,'BASE DE DATOS'!$A:$I,3,0),0)</f>
        <v>0</v>
      </c>
      <c r="I919" s="46">
        <f>IFERROR(VLOOKUP($E919,'BASE DE DATOS'!$A:$I,3,0),0)</f>
        <v>0</v>
      </c>
      <c r="J919" s="46">
        <f>IFERROR(VLOOKUP($E919,'BASE DE DATOS'!$A:$I,3,0),0)</f>
        <v>0</v>
      </c>
      <c r="K919" s="46">
        <f>IFERROR(VLOOKUP($E1178,'BASE DE DATOS'!$A:$I,3,0),0)</f>
        <v>0</v>
      </c>
      <c r="L919" s="46">
        <f>IFERROR(VLOOKUP($E919,'BASE DE DATOS'!$A:$I,3,0),0)</f>
        <v>0</v>
      </c>
    </row>
    <row r="920" spans="4:12" x14ac:dyDescent="0.25">
      <c r="D920" s="46" t="str">
        <f>IFERROR(VLOOKUP($E920,'BASE DE DATOS'!$A:$I,2,0)," ")</f>
        <v xml:space="preserve"> </v>
      </c>
      <c r="F920" s="46">
        <f>IFERROR(VLOOKUP($E933,'BASE DE DATOS'!$A:$I,3,0),0)</f>
        <v>0</v>
      </c>
      <c r="G920" s="46">
        <f>IFERROR(VLOOKUP($E920,'BASE DE DATOS'!$A:$I,3,0),0)</f>
        <v>0</v>
      </c>
      <c r="H920" s="46">
        <f>IFERROR(VLOOKUP($E920,'BASE DE DATOS'!$A:$I,3,0),0)</f>
        <v>0</v>
      </c>
      <c r="I920" s="46">
        <f>IFERROR(VLOOKUP($E920,'BASE DE DATOS'!$A:$I,3,0),0)</f>
        <v>0</v>
      </c>
      <c r="J920" s="46">
        <f>IFERROR(VLOOKUP($E920,'BASE DE DATOS'!$A:$I,3,0),0)</f>
        <v>0</v>
      </c>
      <c r="K920" s="46">
        <f>IFERROR(VLOOKUP($E1179,'BASE DE DATOS'!$A:$I,3,0),0)</f>
        <v>0</v>
      </c>
      <c r="L920" s="46">
        <f>IFERROR(VLOOKUP($E920,'BASE DE DATOS'!$A:$I,3,0),0)</f>
        <v>0</v>
      </c>
    </row>
    <row r="921" spans="4:12" x14ac:dyDescent="0.25">
      <c r="D921" s="46" t="str">
        <f>IFERROR(VLOOKUP($E921,'BASE DE DATOS'!$A:$I,2,0)," ")</f>
        <v xml:space="preserve"> </v>
      </c>
      <c r="F921" s="46">
        <f>IFERROR(VLOOKUP($E934,'BASE DE DATOS'!$A:$I,3,0),0)</f>
        <v>0</v>
      </c>
      <c r="G921" s="46">
        <f>IFERROR(VLOOKUP($E921,'BASE DE DATOS'!$A:$I,3,0),0)</f>
        <v>0</v>
      </c>
      <c r="H921" s="46">
        <f>IFERROR(VLOOKUP($E921,'BASE DE DATOS'!$A:$I,3,0),0)</f>
        <v>0</v>
      </c>
      <c r="I921" s="46">
        <f>IFERROR(VLOOKUP($E921,'BASE DE DATOS'!$A:$I,3,0),0)</f>
        <v>0</v>
      </c>
      <c r="J921" s="46">
        <f>IFERROR(VLOOKUP($E921,'BASE DE DATOS'!$A:$I,3,0),0)</f>
        <v>0</v>
      </c>
      <c r="K921" s="46">
        <f>IFERROR(VLOOKUP($E1180,'BASE DE DATOS'!$A:$I,3,0),0)</f>
        <v>0</v>
      </c>
      <c r="L921" s="46">
        <f>IFERROR(VLOOKUP($E921,'BASE DE DATOS'!$A:$I,3,0),0)</f>
        <v>0</v>
      </c>
    </row>
    <row r="922" spans="4:12" x14ac:dyDescent="0.25">
      <c r="D922" s="46" t="str">
        <f>IFERROR(VLOOKUP($E922,'BASE DE DATOS'!$A:$I,2,0)," ")</f>
        <v xml:space="preserve"> </v>
      </c>
      <c r="F922" s="46">
        <f>IFERROR(VLOOKUP($E935,'BASE DE DATOS'!$A:$I,3,0),0)</f>
        <v>0</v>
      </c>
      <c r="G922" s="46">
        <f>IFERROR(VLOOKUP($E922,'BASE DE DATOS'!$A:$I,3,0),0)</f>
        <v>0</v>
      </c>
      <c r="H922" s="46">
        <f>IFERROR(VLOOKUP($E922,'BASE DE DATOS'!$A:$I,3,0),0)</f>
        <v>0</v>
      </c>
      <c r="I922" s="46">
        <f>IFERROR(VLOOKUP($E922,'BASE DE DATOS'!$A:$I,3,0),0)</f>
        <v>0</v>
      </c>
      <c r="J922" s="46">
        <f>IFERROR(VLOOKUP($E922,'BASE DE DATOS'!$A:$I,3,0),0)</f>
        <v>0</v>
      </c>
      <c r="K922" s="46">
        <f>IFERROR(VLOOKUP($E1181,'BASE DE DATOS'!$A:$I,3,0),0)</f>
        <v>0</v>
      </c>
      <c r="L922" s="46">
        <f>IFERROR(VLOOKUP($E922,'BASE DE DATOS'!$A:$I,3,0),0)</f>
        <v>0</v>
      </c>
    </row>
    <row r="923" spans="4:12" x14ac:dyDescent="0.25">
      <c r="D923" s="46" t="str">
        <f>IFERROR(VLOOKUP($E923,'BASE DE DATOS'!$A:$I,2,0)," ")</f>
        <v xml:space="preserve"> </v>
      </c>
      <c r="F923" s="46">
        <f>IFERROR(VLOOKUP($E936,'BASE DE DATOS'!$A:$I,3,0),0)</f>
        <v>0</v>
      </c>
      <c r="G923" s="46">
        <f>IFERROR(VLOOKUP($E923,'BASE DE DATOS'!$A:$I,3,0),0)</f>
        <v>0</v>
      </c>
      <c r="H923" s="46">
        <f>IFERROR(VLOOKUP($E923,'BASE DE DATOS'!$A:$I,3,0),0)</f>
        <v>0</v>
      </c>
      <c r="I923" s="46">
        <f>IFERROR(VLOOKUP($E923,'BASE DE DATOS'!$A:$I,3,0),0)</f>
        <v>0</v>
      </c>
      <c r="J923" s="46">
        <f>IFERROR(VLOOKUP($E923,'BASE DE DATOS'!$A:$I,3,0),0)</f>
        <v>0</v>
      </c>
      <c r="K923" s="46">
        <f>IFERROR(VLOOKUP($E1182,'BASE DE DATOS'!$A:$I,3,0),0)</f>
        <v>0</v>
      </c>
      <c r="L923" s="46">
        <f>IFERROR(VLOOKUP($E923,'BASE DE DATOS'!$A:$I,3,0),0)</f>
        <v>0</v>
      </c>
    </row>
    <row r="924" spans="4:12" x14ac:dyDescent="0.25">
      <c r="D924" s="46" t="str">
        <f>IFERROR(VLOOKUP($E924,'BASE DE DATOS'!$A:$I,2,0)," ")</f>
        <v xml:space="preserve"> </v>
      </c>
      <c r="F924" s="46">
        <f>IFERROR(VLOOKUP($E937,'BASE DE DATOS'!$A:$I,3,0),0)</f>
        <v>0</v>
      </c>
      <c r="G924" s="46">
        <f>IFERROR(VLOOKUP($E924,'BASE DE DATOS'!$A:$I,3,0),0)</f>
        <v>0</v>
      </c>
      <c r="H924" s="46">
        <f>IFERROR(VLOOKUP($E924,'BASE DE DATOS'!$A:$I,3,0),0)</f>
        <v>0</v>
      </c>
      <c r="I924" s="46">
        <f>IFERROR(VLOOKUP($E924,'BASE DE DATOS'!$A:$I,3,0),0)</f>
        <v>0</v>
      </c>
      <c r="J924" s="46">
        <f>IFERROR(VLOOKUP($E924,'BASE DE DATOS'!$A:$I,3,0),0)</f>
        <v>0</v>
      </c>
      <c r="K924" s="46">
        <f>IFERROR(VLOOKUP($E1183,'BASE DE DATOS'!$A:$I,3,0),0)</f>
        <v>0</v>
      </c>
      <c r="L924" s="46">
        <f>IFERROR(VLOOKUP($E924,'BASE DE DATOS'!$A:$I,3,0),0)</f>
        <v>0</v>
      </c>
    </row>
    <row r="925" spans="4:12" x14ac:dyDescent="0.25">
      <c r="D925" s="46" t="str">
        <f>IFERROR(VLOOKUP($E925,'BASE DE DATOS'!$A:$I,2,0)," ")</f>
        <v xml:space="preserve"> </v>
      </c>
      <c r="F925" s="46">
        <f>IFERROR(VLOOKUP($E938,'BASE DE DATOS'!$A:$I,3,0),0)</f>
        <v>0</v>
      </c>
      <c r="G925" s="46">
        <f>IFERROR(VLOOKUP($E925,'BASE DE DATOS'!$A:$I,3,0),0)</f>
        <v>0</v>
      </c>
      <c r="H925" s="46">
        <f>IFERROR(VLOOKUP($E925,'BASE DE DATOS'!$A:$I,3,0),0)</f>
        <v>0</v>
      </c>
      <c r="I925" s="46">
        <f>IFERROR(VLOOKUP($E925,'BASE DE DATOS'!$A:$I,3,0),0)</f>
        <v>0</v>
      </c>
      <c r="J925" s="46">
        <f>IFERROR(VLOOKUP($E925,'BASE DE DATOS'!$A:$I,3,0),0)</f>
        <v>0</v>
      </c>
      <c r="K925" s="46">
        <f>IFERROR(VLOOKUP($E1184,'BASE DE DATOS'!$A:$I,3,0),0)</f>
        <v>0</v>
      </c>
      <c r="L925" s="46">
        <f>IFERROR(VLOOKUP($E925,'BASE DE DATOS'!$A:$I,3,0),0)</f>
        <v>0</v>
      </c>
    </row>
    <row r="926" spans="4:12" x14ac:dyDescent="0.25">
      <c r="D926" s="46" t="str">
        <f>IFERROR(VLOOKUP($E926,'BASE DE DATOS'!$A:$I,2,0)," ")</f>
        <v xml:space="preserve"> </v>
      </c>
      <c r="F926" s="46">
        <f>IFERROR(VLOOKUP($E939,'BASE DE DATOS'!$A:$I,3,0),0)</f>
        <v>0</v>
      </c>
      <c r="G926" s="46">
        <f>IFERROR(VLOOKUP($E926,'BASE DE DATOS'!$A:$I,3,0),0)</f>
        <v>0</v>
      </c>
      <c r="H926" s="46">
        <f>IFERROR(VLOOKUP($E926,'BASE DE DATOS'!$A:$I,3,0),0)</f>
        <v>0</v>
      </c>
      <c r="I926" s="46">
        <f>IFERROR(VLOOKUP($E926,'BASE DE DATOS'!$A:$I,3,0),0)</f>
        <v>0</v>
      </c>
      <c r="J926" s="46">
        <f>IFERROR(VLOOKUP($E926,'BASE DE DATOS'!$A:$I,3,0),0)</f>
        <v>0</v>
      </c>
      <c r="K926" s="46">
        <f>IFERROR(VLOOKUP($E1185,'BASE DE DATOS'!$A:$I,3,0),0)</f>
        <v>0</v>
      </c>
      <c r="L926" s="46">
        <f>IFERROR(VLOOKUP($E926,'BASE DE DATOS'!$A:$I,3,0),0)</f>
        <v>0</v>
      </c>
    </row>
    <row r="927" spans="4:12" x14ac:dyDescent="0.25">
      <c r="D927" s="46" t="str">
        <f>IFERROR(VLOOKUP($E927,'BASE DE DATOS'!$A:$I,2,0)," ")</f>
        <v xml:space="preserve"> </v>
      </c>
      <c r="F927" s="46">
        <f>IFERROR(VLOOKUP($E940,'BASE DE DATOS'!$A:$I,3,0),0)</f>
        <v>0</v>
      </c>
      <c r="G927" s="46">
        <f>IFERROR(VLOOKUP($E927,'BASE DE DATOS'!$A:$I,3,0),0)</f>
        <v>0</v>
      </c>
      <c r="H927" s="46">
        <f>IFERROR(VLOOKUP($E927,'BASE DE DATOS'!$A:$I,3,0),0)</f>
        <v>0</v>
      </c>
      <c r="I927" s="46">
        <f>IFERROR(VLOOKUP($E927,'BASE DE DATOS'!$A:$I,3,0),0)</f>
        <v>0</v>
      </c>
      <c r="J927" s="46">
        <f>IFERROR(VLOOKUP($E927,'BASE DE DATOS'!$A:$I,3,0),0)</f>
        <v>0</v>
      </c>
      <c r="K927" s="46">
        <f>IFERROR(VLOOKUP($E1186,'BASE DE DATOS'!$A:$I,3,0),0)</f>
        <v>0</v>
      </c>
      <c r="L927" s="46">
        <f>IFERROR(VLOOKUP($E927,'BASE DE DATOS'!$A:$I,3,0),0)</f>
        <v>0</v>
      </c>
    </row>
    <row r="928" spans="4:12" x14ac:dyDescent="0.25">
      <c r="D928" s="46" t="str">
        <f>IFERROR(VLOOKUP($E928,'BASE DE DATOS'!$A:$I,2,0)," ")</f>
        <v xml:space="preserve"> </v>
      </c>
      <c r="F928" s="46">
        <f>IFERROR(VLOOKUP($E941,'BASE DE DATOS'!$A:$I,3,0),0)</f>
        <v>0</v>
      </c>
      <c r="G928" s="46">
        <f>IFERROR(VLOOKUP($E928,'BASE DE DATOS'!$A:$I,3,0),0)</f>
        <v>0</v>
      </c>
      <c r="H928" s="46">
        <f>IFERROR(VLOOKUP($E928,'BASE DE DATOS'!$A:$I,3,0),0)</f>
        <v>0</v>
      </c>
      <c r="I928" s="46">
        <f>IFERROR(VLOOKUP($E928,'BASE DE DATOS'!$A:$I,3,0),0)</f>
        <v>0</v>
      </c>
      <c r="J928" s="46">
        <f>IFERROR(VLOOKUP($E928,'BASE DE DATOS'!$A:$I,3,0),0)</f>
        <v>0</v>
      </c>
      <c r="K928" s="46">
        <f>IFERROR(VLOOKUP($E1187,'BASE DE DATOS'!$A:$I,3,0),0)</f>
        <v>0</v>
      </c>
      <c r="L928" s="46">
        <f>IFERROR(VLOOKUP($E928,'BASE DE DATOS'!$A:$I,3,0),0)</f>
        <v>0</v>
      </c>
    </row>
    <row r="929" spans="4:12" x14ac:dyDescent="0.25">
      <c r="D929" s="46" t="str">
        <f>IFERROR(VLOOKUP($E929,'BASE DE DATOS'!$A:$I,2,0)," ")</f>
        <v xml:space="preserve"> </v>
      </c>
      <c r="F929" s="46">
        <f>IFERROR(VLOOKUP($E942,'BASE DE DATOS'!$A:$I,3,0),0)</f>
        <v>0</v>
      </c>
      <c r="G929" s="46">
        <f>IFERROR(VLOOKUP($E929,'BASE DE DATOS'!$A:$I,3,0),0)</f>
        <v>0</v>
      </c>
      <c r="H929" s="46">
        <f>IFERROR(VLOOKUP($E929,'BASE DE DATOS'!$A:$I,3,0),0)</f>
        <v>0</v>
      </c>
      <c r="I929" s="46">
        <f>IFERROR(VLOOKUP($E929,'BASE DE DATOS'!$A:$I,3,0),0)</f>
        <v>0</v>
      </c>
      <c r="J929" s="46">
        <f>IFERROR(VLOOKUP($E929,'BASE DE DATOS'!$A:$I,3,0),0)</f>
        <v>0</v>
      </c>
      <c r="K929" s="46">
        <f>IFERROR(VLOOKUP($E1188,'BASE DE DATOS'!$A:$I,3,0),0)</f>
        <v>0</v>
      </c>
      <c r="L929" s="46">
        <f>IFERROR(VLOOKUP($E929,'BASE DE DATOS'!$A:$I,3,0),0)</f>
        <v>0</v>
      </c>
    </row>
    <row r="930" spans="4:12" x14ac:dyDescent="0.25">
      <c r="D930" s="46" t="str">
        <f>IFERROR(VLOOKUP($E930,'BASE DE DATOS'!$A:$I,2,0)," ")</f>
        <v xml:space="preserve"> </v>
      </c>
      <c r="F930" s="46">
        <f>IFERROR(VLOOKUP($E943,'BASE DE DATOS'!$A:$I,3,0),0)</f>
        <v>0</v>
      </c>
      <c r="G930" s="46">
        <f>IFERROR(VLOOKUP($E930,'BASE DE DATOS'!$A:$I,3,0),0)</f>
        <v>0</v>
      </c>
      <c r="H930" s="46">
        <f>IFERROR(VLOOKUP($E930,'BASE DE DATOS'!$A:$I,3,0),0)</f>
        <v>0</v>
      </c>
      <c r="I930" s="46">
        <f>IFERROR(VLOOKUP($E930,'BASE DE DATOS'!$A:$I,3,0),0)</f>
        <v>0</v>
      </c>
      <c r="J930" s="46">
        <f>IFERROR(VLOOKUP($E930,'BASE DE DATOS'!$A:$I,3,0),0)</f>
        <v>0</v>
      </c>
      <c r="K930" s="46">
        <f>IFERROR(VLOOKUP($E1189,'BASE DE DATOS'!$A:$I,3,0),0)</f>
        <v>0</v>
      </c>
      <c r="L930" s="46">
        <f>IFERROR(VLOOKUP($E930,'BASE DE DATOS'!$A:$I,3,0),0)</f>
        <v>0</v>
      </c>
    </row>
    <row r="931" spans="4:12" x14ac:dyDescent="0.25">
      <c r="D931" s="46" t="str">
        <f>IFERROR(VLOOKUP($E931,'BASE DE DATOS'!$A:$I,2,0)," ")</f>
        <v xml:space="preserve"> </v>
      </c>
      <c r="F931" s="46">
        <f>IFERROR(VLOOKUP($E944,'BASE DE DATOS'!$A:$I,3,0),0)</f>
        <v>0</v>
      </c>
      <c r="G931" s="46">
        <f>IFERROR(VLOOKUP($E931,'BASE DE DATOS'!$A:$I,3,0),0)</f>
        <v>0</v>
      </c>
      <c r="H931" s="46">
        <f>IFERROR(VLOOKUP($E931,'BASE DE DATOS'!$A:$I,3,0),0)</f>
        <v>0</v>
      </c>
      <c r="I931" s="46">
        <f>IFERROR(VLOOKUP($E931,'BASE DE DATOS'!$A:$I,3,0),0)</f>
        <v>0</v>
      </c>
      <c r="J931" s="46">
        <f>IFERROR(VLOOKUP($E931,'BASE DE DATOS'!$A:$I,3,0),0)</f>
        <v>0</v>
      </c>
      <c r="K931" s="46">
        <f>IFERROR(VLOOKUP($E1190,'BASE DE DATOS'!$A:$I,3,0),0)</f>
        <v>0</v>
      </c>
      <c r="L931" s="46">
        <f>IFERROR(VLOOKUP($E931,'BASE DE DATOS'!$A:$I,3,0),0)</f>
        <v>0</v>
      </c>
    </row>
    <row r="932" spans="4:12" x14ac:dyDescent="0.25">
      <c r="D932" s="46" t="str">
        <f>IFERROR(VLOOKUP($E932,'BASE DE DATOS'!$A:$I,2,0)," ")</f>
        <v xml:space="preserve"> </v>
      </c>
      <c r="F932" s="46">
        <f>IFERROR(VLOOKUP($E945,'BASE DE DATOS'!$A:$I,3,0),0)</f>
        <v>0</v>
      </c>
      <c r="G932" s="46">
        <f>IFERROR(VLOOKUP($E932,'BASE DE DATOS'!$A:$I,3,0),0)</f>
        <v>0</v>
      </c>
      <c r="H932" s="46">
        <f>IFERROR(VLOOKUP($E932,'BASE DE DATOS'!$A:$I,3,0),0)</f>
        <v>0</v>
      </c>
      <c r="I932" s="46">
        <f>IFERROR(VLOOKUP($E932,'BASE DE DATOS'!$A:$I,3,0),0)</f>
        <v>0</v>
      </c>
      <c r="J932" s="46">
        <f>IFERROR(VLOOKUP($E932,'BASE DE DATOS'!$A:$I,3,0),0)</f>
        <v>0</v>
      </c>
      <c r="K932" s="46">
        <f>IFERROR(VLOOKUP($E1191,'BASE DE DATOS'!$A:$I,3,0),0)</f>
        <v>0</v>
      </c>
      <c r="L932" s="46">
        <f>IFERROR(VLOOKUP($E932,'BASE DE DATOS'!$A:$I,3,0),0)</f>
        <v>0</v>
      </c>
    </row>
    <row r="933" spans="4:12" x14ac:dyDescent="0.25">
      <c r="D933" s="46" t="str">
        <f>IFERROR(VLOOKUP($E933,'BASE DE DATOS'!$A:$I,2,0)," ")</f>
        <v xml:space="preserve"> </v>
      </c>
      <c r="F933" s="46">
        <f>IFERROR(VLOOKUP($E946,'BASE DE DATOS'!$A:$I,3,0),0)</f>
        <v>0</v>
      </c>
      <c r="G933" s="46">
        <f>IFERROR(VLOOKUP($E933,'BASE DE DATOS'!$A:$I,3,0),0)</f>
        <v>0</v>
      </c>
      <c r="H933" s="46">
        <f>IFERROR(VLOOKUP($E933,'BASE DE DATOS'!$A:$I,3,0),0)</f>
        <v>0</v>
      </c>
      <c r="I933" s="46">
        <f>IFERROR(VLOOKUP($E933,'BASE DE DATOS'!$A:$I,3,0),0)</f>
        <v>0</v>
      </c>
      <c r="J933" s="46">
        <f>IFERROR(VLOOKUP($E933,'BASE DE DATOS'!$A:$I,3,0),0)</f>
        <v>0</v>
      </c>
      <c r="K933" s="46">
        <f>IFERROR(VLOOKUP($E1192,'BASE DE DATOS'!$A:$I,3,0),0)</f>
        <v>0</v>
      </c>
      <c r="L933" s="46">
        <f>IFERROR(VLOOKUP($E933,'BASE DE DATOS'!$A:$I,3,0),0)</f>
        <v>0</v>
      </c>
    </row>
    <row r="934" spans="4:12" x14ac:dyDescent="0.25">
      <c r="D934" s="46" t="str">
        <f>IFERROR(VLOOKUP($E934,'BASE DE DATOS'!$A:$I,2,0)," ")</f>
        <v xml:space="preserve"> </v>
      </c>
      <c r="F934" s="46">
        <f>IFERROR(VLOOKUP($E947,'BASE DE DATOS'!$A:$I,3,0),0)</f>
        <v>0</v>
      </c>
      <c r="G934" s="46">
        <f>IFERROR(VLOOKUP($E934,'BASE DE DATOS'!$A:$I,3,0),0)</f>
        <v>0</v>
      </c>
      <c r="H934" s="46">
        <f>IFERROR(VLOOKUP($E934,'BASE DE DATOS'!$A:$I,3,0),0)</f>
        <v>0</v>
      </c>
      <c r="I934" s="46">
        <f>IFERROR(VLOOKUP($E934,'BASE DE DATOS'!$A:$I,3,0),0)</f>
        <v>0</v>
      </c>
      <c r="J934" s="46">
        <f>IFERROR(VLOOKUP($E934,'BASE DE DATOS'!$A:$I,3,0),0)</f>
        <v>0</v>
      </c>
      <c r="K934" s="46">
        <f>IFERROR(VLOOKUP($E1193,'BASE DE DATOS'!$A:$I,3,0),0)</f>
        <v>0</v>
      </c>
      <c r="L934" s="46">
        <f>IFERROR(VLOOKUP($E934,'BASE DE DATOS'!$A:$I,3,0),0)</f>
        <v>0</v>
      </c>
    </row>
    <row r="935" spans="4:12" x14ac:dyDescent="0.25">
      <c r="D935" s="46" t="str">
        <f>IFERROR(VLOOKUP($E935,'BASE DE DATOS'!$A:$I,2,0)," ")</f>
        <v xml:space="preserve"> </v>
      </c>
      <c r="F935" s="46">
        <f>IFERROR(VLOOKUP($E948,'BASE DE DATOS'!$A:$I,3,0),0)</f>
        <v>0</v>
      </c>
      <c r="G935" s="46">
        <f>IFERROR(VLOOKUP($E935,'BASE DE DATOS'!$A:$I,3,0),0)</f>
        <v>0</v>
      </c>
      <c r="H935" s="46">
        <f>IFERROR(VLOOKUP($E935,'BASE DE DATOS'!$A:$I,3,0),0)</f>
        <v>0</v>
      </c>
      <c r="I935" s="46">
        <f>IFERROR(VLOOKUP($E935,'BASE DE DATOS'!$A:$I,3,0),0)</f>
        <v>0</v>
      </c>
      <c r="J935" s="46">
        <f>IFERROR(VLOOKUP($E935,'BASE DE DATOS'!$A:$I,3,0),0)</f>
        <v>0</v>
      </c>
      <c r="K935" s="46">
        <f>IFERROR(VLOOKUP($E1194,'BASE DE DATOS'!$A:$I,3,0),0)</f>
        <v>0</v>
      </c>
      <c r="L935" s="46">
        <f>IFERROR(VLOOKUP($E935,'BASE DE DATOS'!$A:$I,3,0),0)</f>
        <v>0</v>
      </c>
    </row>
    <row r="936" spans="4:12" x14ac:dyDescent="0.25">
      <c r="D936" s="46" t="str">
        <f>IFERROR(VLOOKUP($E936,'BASE DE DATOS'!$A:$I,2,0)," ")</f>
        <v xml:space="preserve"> </v>
      </c>
      <c r="F936" s="46">
        <f>IFERROR(VLOOKUP($E949,'BASE DE DATOS'!$A:$I,3,0),0)</f>
        <v>0</v>
      </c>
      <c r="G936" s="46">
        <f>IFERROR(VLOOKUP($E936,'BASE DE DATOS'!$A:$I,3,0),0)</f>
        <v>0</v>
      </c>
      <c r="H936" s="46">
        <f>IFERROR(VLOOKUP($E936,'BASE DE DATOS'!$A:$I,3,0),0)</f>
        <v>0</v>
      </c>
      <c r="I936" s="46">
        <f>IFERROR(VLOOKUP($E936,'BASE DE DATOS'!$A:$I,3,0),0)</f>
        <v>0</v>
      </c>
      <c r="J936" s="46">
        <f>IFERROR(VLOOKUP($E936,'BASE DE DATOS'!$A:$I,3,0),0)</f>
        <v>0</v>
      </c>
      <c r="K936" s="46">
        <f>IFERROR(VLOOKUP($E1195,'BASE DE DATOS'!$A:$I,3,0),0)</f>
        <v>0</v>
      </c>
      <c r="L936" s="46">
        <f>IFERROR(VLOOKUP($E936,'BASE DE DATOS'!$A:$I,3,0),0)</f>
        <v>0</v>
      </c>
    </row>
    <row r="937" spans="4:12" x14ac:dyDescent="0.25">
      <c r="D937" s="46" t="str">
        <f>IFERROR(VLOOKUP($E937,'BASE DE DATOS'!$A:$I,2,0)," ")</f>
        <v xml:space="preserve"> </v>
      </c>
      <c r="F937" s="46">
        <f>IFERROR(VLOOKUP($E950,'BASE DE DATOS'!$A:$I,3,0),0)</f>
        <v>0</v>
      </c>
      <c r="G937" s="46">
        <f>IFERROR(VLOOKUP($E937,'BASE DE DATOS'!$A:$I,3,0),0)</f>
        <v>0</v>
      </c>
      <c r="H937" s="46">
        <f>IFERROR(VLOOKUP($E937,'BASE DE DATOS'!$A:$I,3,0),0)</f>
        <v>0</v>
      </c>
      <c r="I937" s="46">
        <f>IFERROR(VLOOKUP($E937,'BASE DE DATOS'!$A:$I,3,0),0)</f>
        <v>0</v>
      </c>
      <c r="J937" s="46">
        <f>IFERROR(VLOOKUP($E937,'BASE DE DATOS'!$A:$I,3,0),0)</f>
        <v>0</v>
      </c>
      <c r="K937" s="46">
        <f>IFERROR(VLOOKUP($E1196,'BASE DE DATOS'!$A:$I,3,0),0)</f>
        <v>0</v>
      </c>
      <c r="L937" s="46">
        <f>IFERROR(VLOOKUP($E937,'BASE DE DATOS'!$A:$I,3,0),0)</f>
        <v>0</v>
      </c>
    </row>
    <row r="938" spans="4:12" x14ac:dyDescent="0.25">
      <c r="D938" s="46" t="str">
        <f>IFERROR(VLOOKUP($E938,'BASE DE DATOS'!$A:$I,2,0)," ")</f>
        <v xml:space="preserve"> </v>
      </c>
      <c r="F938" s="46">
        <f>IFERROR(VLOOKUP($E951,'BASE DE DATOS'!$A:$I,3,0),0)</f>
        <v>0</v>
      </c>
      <c r="G938" s="46">
        <f>IFERROR(VLOOKUP($E938,'BASE DE DATOS'!$A:$I,3,0),0)</f>
        <v>0</v>
      </c>
      <c r="H938" s="46">
        <f>IFERROR(VLOOKUP($E938,'BASE DE DATOS'!$A:$I,3,0),0)</f>
        <v>0</v>
      </c>
      <c r="I938" s="46">
        <f>IFERROR(VLOOKUP($E938,'BASE DE DATOS'!$A:$I,3,0),0)</f>
        <v>0</v>
      </c>
      <c r="J938" s="46">
        <f>IFERROR(VLOOKUP($E938,'BASE DE DATOS'!$A:$I,3,0),0)</f>
        <v>0</v>
      </c>
      <c r="K938" s="46">
        <f>IFERROR(VLOOKUP($E1197,'BASE DE DATOS'!$A:$I,3,0),0)</f>
        <v>0</v>
      </c>
      <c r="L938" s="46">
        <f>IFERROR(VLOOKUP($E938,'BASE DE DATOS'!$A:$I,3,0),0)</f>
        <v>0</v>
      </c>
    </row>
    <row r="939" spans="4:12" x14ac:dyDescent="0.25">
      <c r="D939" s="46" t="str">
        <f>IFERROR(VLOOKUP($E939,'BASE DE DATOS'!$A:$I,2,0)," ")</f>
        <v xml:space="preserve"> </v>
      </c>
      <c r="F939" s="46">
        <f>IFERROR(VLOOKUP($E952,'BASE DE DATOS'!$A:$I,3,0),0)</f>
        <v>0</v>
      </c>
      <c r="G939" s="46">
        <f>IFERROR(VLOOKUP($E939,'BASE DE DATOS'!$A:$I,3,0),0)</f>
        <v>0</v>
      </c>
      <c r="H939" s="46">
        <f>IFERROR(VLOOKUP($E939,'BASE DE DATOS'!$A:$I,3,0),0)</f>
        <v>0</v>
      </c>
      <c r="I939" s="46">
        <f>IFERROR(VLOOKUP($E939,'BASE DE DATOS'!$A:$I,3,0),0)</f>
        <v>0</v>
      </c>
      <c r="J939" s="46">
        <f>IFERROR(VLOOKUP($E939,'BASE DE DATOS'!$A:$I,3,0),0)</f>
        <v>0</v>
      </c>
      <c r="K939" s="46">
        <f>IFERROR(VLOOKUP($E1198,'BASE DE DATOS'!$A:$I,3,0),0)</f>
        <v>0</v>
      </c>
      <c r="L939" s="46">
        <f>IFERROR(VLOOKUP($E939,'BASE DE DATOS'!$A:$I,3,0),0)</f>
        <v>0</v>
      </c>
    </row>
    <row r="940" spans="4:12" x14ac:dyDescent="0.25">
      <c r="D940" s="46" t="str">
        <f>IFERROR(VLOOKUP($E940,'BASE DE DATOS'!$A:$I,2,0)," ")</f>
        <v xml:space="preserve"> </v>
      </c>
      <c r="F940" s="46">
        <f>IFERROR(VLOOKUP($E953,'BASE DE DATOS'!$A:$I,3,0),0)</f>
        <v>0</v>
      </c>
      <c r="G940" s="46">
        <f>IFERROR(VLOOKUP($E940,'BASE DE DATOS'!$A:$I,3,0),0)</f>
        <v>0</v>
      </c>
      <c r="H940" s="46">
        <f>IFERROR(VLOOKUP($E940,'BASE DE DATOS'!$A:$I,3,0),0)</f>
        <v>0</v>
      </c>
      <c r="I940" s="46">
        <f>IFERROR(VLOOKUP($E940,'BASE DE DATOS'!$A:$I,3,0),0)</f>
        <v>0</v>
      </c>
      <c r="J940" s="46">
        <f>IFERROR(VLOOKUP($E940,'BASE DE DATOS'!$A:$I,3,0),0)</f>
        <v>0</v>
      </c>
      <c r="K940" s="46">
        <f>IFERROR(VLOOKUP($E1199,'BASE DE DATOS'!$A:$I,3,0),0)</f>
        <v>0</v>
      </c>
      <c r="L940" s="46">
        <f>IFERROR(VLOOKUP($E940,'BASE DE DATOS'!$A:$I,3,0),0)</f>
        <v>0</v>
      </c>
    </row>
    <row r="941" spans="4:12" x14ac:dyDescent="0.25">
      <c r="D941" s="46" t="str">
        <f>IFERROR(VLOOKUP($E941,'BASE DE DATOS'!$A:$I,2,0)," ")</f>
        <v xml:space="preserve"> </v>
      </c>
      <c r="F941" s="46">
        <f>IFERROR(VLOOKUP($E954,'BASE DE DATOS'!$A:$I,3,0),0)</f>
        <v>0</v>
      </c>
      <c r="G941" s="46">
        <f>IFERROR(VLOOKUP($E941,'BASE DE DATOS'!$A:$I,3,0),0)</f>
        <v>0</v>
      </c>
      <c r="H941" s="46">
        <f>IFERROR(VLOOKUP($E941,'BASE DE DATOS'!$A:$I,3,0),0)</f>
        <v>0</v>
      </c>
      <c r="I941" s="46">
        <f>IFERROR(VLOOKUP($E941,'BASE DE DATOS'!$A:$I,3,0),0)</f>
        <v>0</v>
      </c>
      <c r="J941" s="46">
        <f>IFERROR(VLOOKUP($E941,'BASE DE DATOS'!$A:$I,3,0),0)</f>
        <v>0</v>
      </c>
      <c r="K941" s="46">
        <f>IFERROR(VLOOKUP($E1200,'BASE DE DATOS'!$A:$I,3,0),0)</f>
        <v>0</v>
      </c>
      <c r="L941" s="46">
        <f>IFERROR(VLOOKUP($E941,'BASE DE DATOS'!$A:$I,3,0),0)</f>
        <v>0</v>
      </c>
    </row>
    <row r="942" spans="4:12" x14ac:dyDescent="0.25">
      <c r="D942" s="46" t="str">
        <f>IFERROR(VLOOKUP($E942,'BASE DE DATOS'!$A:$I,2,0)," ")</f>
        <v xml:space="preserve"> </v>
      </c>
      <c r="F942" s="46">
        <f>IFERROR(VLOOKUP($E955,'BASE DE DATOS'!$A:$I,3,0),0)</f>
        <v>0</v>
      </c>
      <c r="G942" s="46">
        <f>IFERROR(VLOOKUP($E942,'BASE DE DATOS'!$A:$I,3,0),0)</f>
        <v>0</v>
      </c>
      <c r="H942" s="46">
        <f>IFERROR(VLOOKUP($E942,'BASE DE DATOS'!$A:$I,3,0),0)</f>
        <v>0</v>
      </c>
      <c r="I942" s="46">
        <f>IFERROR(VLOOKUP($E942,'BASE DE DATOS'!$A:$I,3,0),0)</f>
        <v>0</v>
      </c>
      <c r="J942" s="46">
        <f>IFERROR(VLOOKUP($E942,'BASE DE DATOS'!$A:$I,3,0),0)</f>
        <v>0</v>
      </c>
      <c r="K942" s="46">
        <f>IFERROR(VLOOKUP($E1201,'BASE DE DATOS'!$A:$I,3,0),0)</f>
        <v>0</v>
      </c>
      <c r="L942" s="46">
        <f>IFERROR(VLOOKUP($E942,'BASE DE DATOS'!$A:$I,3,0),0)</f>
        <v>0</v>
      </c>
    </row>
    <row r="943" spans="4:12" x14ac:dyDescent="0.25">
      <c r="D943" s="46" t="str">
        <f>IFERROR(VLOOKUP($E943,'BASE DE DATOS'!$A:$I,2,0)," ")</f>
        <v xml:space="preserve"> </v>
      </c>
      <c r="F943" s="46">
        <f>IFERROR(VLOOKUP($E956,'BASE DE DATOS'!$A:$I,3,0),0)</f>
        <v>0</v>
      </c>
      <c r="G943" s="46">
        <f>IFERROR(VLOOKUP($E943,'BASE DE DATOS'!$A:$I,3,0),0)</f>
        <v>0</v>
      </c>
      <c r="H943" s="46">
        <f>IFERROR(VLOOKUP($E943,'BASE DE DATOS'!$A:$I,3,0),0)</f>
        <v>0</v>
      </c>
      <c r="I943" s="46">
        <f>IFERROR(VLOOKUP($E943,'BASE DE DATOS'!$A:$I,3,0),0)</f>
        <v>0</v>
      </c>
      <c r="J943" s="46">
        <f>IFERROR(VLOOKUP($E943,'BASE DE DATOS'!$A:$I,3,0),0)</f>
        <v>0</v>
      </c>
      <c r="K943" s="46">
        <f>IFERROR(VLOOKUP($E1202,'BASE DE DATOS'!$A:$I,3,0),0)</f>
        <v>0</v>
      </c>
      <c r="L943" s="46">
        <f>IFERROR(VLOOKUP($E943,'BASE DE DATOS'!$A:$I,3,0),0)</f>
        <v>0</v>
      </c>
    </row>
    <row r="944" spans="4:12" x14ac:dyDescent="0.25">
      <c r="D944" s="46" t="str">
        <f>IFERROR(VLOOKUP($E944,'BASE DE DATOS'!$A:$I,2,0)," ")</f>
        <v xml:space="preserve"> </v>
      </c>
      <c r="F944" s="46">
        <f>IFERROR(VLOOKUP($E957,'BASE DE DATOS'!$A:$I,3,0),0)</f>
        <v>0</v>
      </c>
      <c r="G944" s="46">
        <f>IFERROR(VLOOKUP($E944,'BASE DE DATOS'!$A:$I,3,0),0)</f>
        <v>0</v>
      </c>
      <c r="H944" s="46">
        <f>IFERROR(VLOOKUP($E944,'BASE DE DATOS'!$A:$I,3,0),0)</f>
        <v>0</v>
      </c>
      <c r="I944" s="46">
        <f>IFERROR(VLOOKUP($E944,'BASE DE DATOS'!$A:$I,3,0),0)</f>
        <v>0</v>
      </c>
      <c r="J944" s="46">
        <f>IFERROR(VLOOKUP($E944,'BASE DE DATOS'!$A:$I,3,0),0)</f>
        <v>0</v>
      </c>
      <c r="K944" s="46">
        <f>IFERROR(VLOOKUP($E1203,'BASE DE DATOS'!$A:$I,3,0),0)</f>
        <v>0</v>
      </c>
      <c r="L944" s="46">
        <f>IFERROR(VLOOKUP($E944,'BASE DE DATOS'!$A:$I,3,0),0)</f>
        <v>0</v>
      </c>
    </row>
    <row r="945" spans="4:12" x14ac:dyDescent="0.25">
      <c r="D945" s="46" t="str">
        <f>IFERROR(VLOOKUP($E945,'BASE DE DATOS'!$A:$I,2,0)," ")</f>
        <v xml:space="preserve"> </v>
      </c>
      <c r="F945" s="46">
        <f>IFERROR(VLOOKUP($E958,'BASE DE DATOS'!$A:$I,3,0),0)</f>
        <v>0</v>
      </c>
      <c r="G945" s="46">
        <f>IFERROR(VLOOKUP($E945,'BASE DE DATOS'!$A:$I,3,0),0)</f>
        <v>0</v>
      </c>
      <c r="H945" s="46">
        <f>IFERROR(VLOOKUP($E945,'BASE DE DATOS'!$A:$I,3,0),0)</f>
        <v>0</v>
      </c>
      <c r="I945" s="46">
        <f>IFERROR(VLOOKUP($E945,'BASE DE DATOS'!$A:$I,3,0),0)</f>
        <v>0</v>
      </c>
      <c r="J945" s="46">
        <f>IFERROR(VLOOKUP($E945,'BASE DE DATOS'!$A:$I,3,0),0)</f>
        <v>0</v>
      </c>
      <c r="K945" s="46">
        <f>IFERROR(VLOOKUP($E1204,'BASE DE DATOS'!$A:$I,3,0),0)</f>
        <v>0</v>
      </c>
      <c r="L945" s="46">
        <f>IFERROR(VLOOKUP($E945,'BASE DE DATOS'!$A:$I,3,0),0)</f>
        <v>0</v>
      </c>
    </row>
    <row r="946" spans="4:12" x14ac:dyDescent="0.25">
      <c r="D946" s="46" t="str">
        <f>IFERROR(VLOOKUP($E946,'BASE DE DATOS'!$A:$I,2,0)," ")</f>
        <v xml:space="preserve"> </v>
      </c>
      <c r="F946" s="46">
        <f>IFERROR(VLOOKUP($E959,'BASE DE DATOS'!$A:$I,3,0),0)</f>
        <v>0</v>
      </c>
      <c r="G946" s="46">
        <f>IFERROR(VLOOKUP($E946,'BASE DE DATOS'!$A:$I,3,0),0)</f>
        <v>0</v>
      </c>
      <c r="H946" s="46">
        <f>IFERROR(VLOOKUP($E946,'BASE DE DATOS'!$A:$I,3,0),0)</f>
        <v>0</v>
      </c>
      <c r="I946" s="46">
        <f>IFERROR(VLOOKUP($E946,'BASE DE DATOS'!$A:$I,3,0),0)</f>
        <v>0</v>
      </c>
      <c r="J946" s="46">
        <f>IFERROR(VLOOKUP($E946,'BASE DE DATOS'!$A:$I,3,0),0)</f>
        <v>0</v>
      </c>
      <c r="K946" s="46">
        <f>IFERROR(VLOOKUP($E1205,'BASE DE DATOS'!$A:$I,3,0),0)</f>
        <v>0</v>
      </c>
      <c r="L946" s="46">
        <f>IFERROR(VLOOKUP($E946,'BASE DE DATOS'!$A:$I,3,0),0)</f>
        <v>0</v>
      </c>
    </row>
    <row r="947" spans="4:12" x14ac:dyDescent="0.25">
      <c r="D947" s="46" t="str">
        <f>IFERROR(VLOOKUP($E947,'BASE DE DATOS'!$A:$I,2,0)," ")</f>
        <v xml:space="preserve"> </v>
      </c>
      <c r="F947" s="46">
        <f>IFERROR(VLOOKUP($E960,'BASE DE DATOS'!$A:$I,3,0),0)</f>
        <v>0</v>
      </c>
      <c r="G947" s="46">
        <f>IFERROR(VLOOKUP($E947,'BASE DE DATOS'!$A:$I,3,0),0)</f>
        <v>0</v>
      </c>
      <c r="H947" s="46">
        <f>IFERROR(VLOOKUP($E947,'BASE DE DATOS'!$A:$I,3,0),0)</f>
        <v>0</v>
      </c>
      <c r="I947" s="46">
        <f>IFERROR(VLOOKUP($E947,'BASE DE DATOS'!$A:$I,3,0),0)</f>
        <v>0</v>
      </c>
      <c r="J947" s="46">
        <f>IFERROR(VLOOKUP($E947,'BASE DE DATOS'!$A:$I,3,0),0)</f>
        <v>0</v>
      </c>
      <c r="K947" s="46">
        <f>IFERROR(VLOOKUP($E1206,'BASE DE DATOS'!$A:$I,3,0),0)</f>
        <v>0</v>
      </c>
      <c r="L947" s="46">
        <f>IFERROR(VLOOKUP($E947,'BASE DE DATOS'!$A:$I,3,0),0)</f>
        <v>0</v>
      </c>
    </row>
    <row r="948" spans="4:12" x14ac:dyDescent="0.25">
      <c r="D948" s="46" t="str">
        <f>IFERROR(VLOOKUP($E948,'BASE DE DATOS'!$A:$I,2,0)," ")</f>
        <v xml:space="preserve"> </v>
      </c>
      <c r="F948" s="46">
        <f>IFERROR(VLOOKUP($E961,'BASE DE DATOS'!$A:$I,3,0),0)</f>
        <v>0</v>
      </c>
      <c r="G948" s="46">
        <f>IFERROR(VLOOKUP($E948,'BASE DE DATOS'!$A:$I,3,0),0)</f>
        <v>0</v>
      </c>
      <c r="H948" s="46">
        <f>IFERROR(VLOOKUP($E948,'BASE DE DATOS'!$A:$I,3,0),0)</f>
        <v>0</v>
      </c>
      <c r="I948" s="46">
        <f>IFERROR(VLOOKUP($E948,'BASE DE DATOS'!$A:$I,3,0),0)</f>
        <v>0</v>
      </c>
      <c r="J948" s="46">
        <f>IFERROR(VLOOKUP($E948,'BASE DE DATOS'!$A:$I,3,0),0)</f>
        <v>0</v>
      </c>
      <c r="K948" s="46">
        <f>IFERROR(VLOOKUP($E1207,'BASE DE DATOS'!$A:$I,3,0),0)</f>
        <v>0</v>
      </c>
      <c r="L948" s="46">
        <f>IFERROR(VLOOKUP($E948,'BASE DE DATOS'!$A:$I,3,0),0)</f>
        <v>0</v>
      </c>
    </row>
    <row r="949" spans="4:12" x14ac:dyDescent="0.25">
      <c r="D949" s="46" t="str">
        <f>IFERROR(VLOOKUP($E949,'BASE DE DATOS'!$A:$I,2,0)," ")</f>
        <v xml:space="preserve"> </v>
      </c>
      <c r="F949" s="46">
        <f>IFERROR(VLOOKUP($E962,'BASE DE DATOS'!$A:$I,3,0),0)</f>
        <v>0</v>
      </c>
      <c r="G949" s="46">
        <f>IFERROR(VLOOKUP($E949,'BASE DE DATOS'!$A:$I,3,0),0)</f>
        <v>0</v>
      </c>
      <c r="H949" s="46">
        <f>IFERROR(VLOOKUP($E949,'BASE DE DATOS'!$A:$I,3,0),0)</f>
        <v>0</v>
      </c>
      <c r="I949" s="46">
        <f>IFERROR(VLOOKUP($E949,'BASE DE DATOS'!$A:$I,3,0),0)</f>
        <v>0</v>
      </c>
      <c r="J949" s="46">
        <f>IFERROR(VLOOKUP($E949,'BASE DE DATOS'!$A:$I,3,0),0)</f>
        <v>0</v>
      </c>
      <c r="K949" s="46">
        <f>IFERROR(VLOOKUP($E1208,'BASE DE DATOS'!$A:$I,3,0),0)</f>
        <v>0</v>
      </c>
      <c r="L949" s="46">
        <f>IFERROR(VLOOKUP($E949,'BASE DE DATOS'!$A:$I,3,0),0)</f>
        <v>0</v>
      </c>
    </row>
    <row r="950" spans="4:12" x14ac:dyDescent="0.25">
      <c r="D950" s="46" t="str">
        <f>IFERROR(VLOOKUP($E950,'BASE DE DATOS'!$A:$I,2,0)," ")</f>
        <v xml:space="preserve"> </v>
      </c>
      <c r="F950" s="46">
        <f>IFERROR(VLOOKUP($E963,'BASE DE DATOS'!$A:$I,3,0),0)</f>
        <v>0</v>
      </c>
      <c r="G950" s="46">
        <f>IFERROR(VLOOKUP($E950,'BASE DE DATOS'!$A:$I,3,0),0)</f>
        <v>0</v>
      </c>
      <c r="H950" s="46">
        <f>IFERROR(VLOOKUP($E950,'BASE DE DATOS'!$A:$I,3,0),0)</f>
        <v>0</v>
      </c>
      <c r="I950" s="46">
        <f>IFERROR(VLOOKUP($E950,'BASE DE DATOS'!$A:$I,3,0),0)</f>
        <v>0</v>
      </c>
      <c r="J950" s="46">
        <f>IFERROR(VLOOKUP($E950,'BASE DE DATOS'!$A:$I,3,0),0)</f>
        <v>0</v>
      </c>
      <c r="K950" s="46">
        <f>IFERROR(VLOOKUP($E1209,'BASE DE DATOS'!$A:$I,3,0),0)</f>
        <v>0</v>
      </c>
      <c r="L950" s="46">
        <f>IFERROR(VLOOKUP($E950,'BASE DE DATOS'!$A:$I,3,0),0)</f>
        <v>0</v>
      </c>
    </row>
    <row r="951" spans="4:12" x14ac:dyDescent="0.25">
      <c r="D951" s="46" t="str">
        <f>IFERROR(VLOOKUP($E951,'BASE DE DATOS'!$A:$I,2,0)," ")</f>
        <v xml:space="preserve"> </v>
      </c>
      <c r="F951" s="46">
        <f>IFERROR(VLOOKUP($E964,'BASE DE DATOS'!$A:$I,3,0),0)</f>
        <v>0</v>
      </c>
      <c r="G951" s="46">
        <f>IFERROR(VLOOKUP($E951,'BASE DE DATOS'!$A:$I,3,0),0)</f>
        <v>0</v>
      </c>
      <c r="H951" s="46">
        <f>IFERROR(VLOOKUP($E951,'BASE DE DATOS'!$A:$I,3,0),0)</f>
        <v>0</v>
      </c>
      <c r="I951" s="46">
        <f>IFERROR(VLOOKUP($E951,'BASE DE DATOS'!$A:$I,3,0),0)</f>
        <v>0</v>
      </c>
      <c r="J951" s="46">
        <f>IFERROR(VLOOKUP($E951,'BASE DE DATOS'!$A:$I,3,0),0)</f>
        <v>0</v>
      </c>
      <c r="K951" s="46">
        <f>IFERROR(VLOOKUP($E1210,'BASE DE DATOS'!$A:$I,3,0),0)</f>
        <v>0</v>
      </c>
      <c r="L951" s="46">
        <f>IFERROR(VLOOKUP($E951,'BASE DE DATOS'!$A:$I,3,0),0)</f>
        <v>0</v>
      </c>
    </row>
    <row r="952" spans="4:12" x14ac:dyDescent="0.25">
      <c r="D952" s="46" t="str">
        <f>IFERROR(VLOOKUP($E952,'BASE DE DATOS'!$A:$I,2,0)," ")</f>
        <v xml:space="preserve"> </v>
      </c>
      <c r="F952" s="46">
        <f>IFERROR(VLOOKUP($E965,'BASE DE DATOS'!$A:$I,3,0),0)</f>
        <v>0</v>
      </c>
      <c r="G952" s="46">
        <f>IFERROR(VLOOKUP($E952,'BASE DE DATOS'!$A:$I,3,0),0)</f>
        <v>0</v>
      </c>
      <c r="H952" s="46">
        <f>IFERROR(VLOOKUP($E952,'BASE DE DATOS'!$A:$I,3,0),0)</f>
        <v>0</v>
      </c>
      <c r="I952" s="46">
        <f>IFERROR(VLOOKUP($E952,'BASE DE DATOS'!$A:$I,3,0),0)</f>
        <v>0</v>
      </c>
      <c r="J952" s="46">
        <f>IFERROR(VLOOKUP($E952,'BASE DE DATOS'!$A:$I,3,0),0)</f>
        <v>0</v>
      </c>
      <c r="K952" s="46">
        <f>IFERROR(VLOOKUP($E1211,'BASE DE DATOS'!$A:$I,3,0),0)</f>
        <v>0</v>
      </c>
      <c r="L952" s="46">
        <f>IFERROR(VLOOKUP($E952,'BASE DE DATOS'!$A:$I,3,0),0)</f>
        <v>0</v>
      </c>
    </row>
    <row r="953" spans="4:12" x14ac:dyDescent="0.25">
      <c r="D953" s="46" t="str">
        <f>IFERROR(VLOOKUP($E953,'BASE DE DATOS'!$A:$I,2,0)," ")</f>
        <v xml:space="preserve"> </v>
      </c>
      <c r="F953" s="46">
        <f>IFERROR(VLOOKUP($E966,'BASE DE DATOS'!$A:$I,3,0),0)</f>
        <v>0</v>
      </c>
      <c r="G953" s="46">
        <f>IFERROR(VLOOKUP($E953,'BASE DE DATOS'!$A:$I,3,0),0)</f>
        <v>0</v>
      </c>
      <c r="H953" s="46">
        <f>IFERROR(VLOOKUP($E953,'BASE DE DATOS'!$A:$I,3,0),0)</f>
        <v>0</v>
      </c>
      <c r="I953" s="46">
        <f>IFERROR(VLOOKUP($E953,'BASE DE DATOS'!$A:$I,3,0),0)</f>
        <v>0</v>
      </c>
      <c r="J953" s="46">
        <f>IFERROR(VLOOKUP($E953,'BASE DE DATOS'!$A:$I,3,0),0)</f>
        <v>0</v>
      </c>
      <c r="K953" s="46">
        <f>IFERROR(VLOOKUP($E1212,'BASE DE DATOS'!$A:$I,3,0),0)</f>
        <v>0</v>
      </c>
      <c r="L953" s="46">
        <f>IFERROR(VLOOKUP($E953,'BASE DE DATOS'!$A:$I,3,0),0)</f>
        <v>0</v>
      </c>
    </row>
    <row r="954" spans="4:12" x14ac:dyDescent="0.25">
      <c r="D954" s="46" t="str">
        <f>IFERROR(VLOOKUP($E954,'BASE DE DATOS'!$A:$I,2,0)," ")</f>
        <v xml:space="preserve"> </v>
      </c>
      <c r="F954" s="46">
        <f>IFERROR(VLOOKUP($E967,'BASE DE DATOS'!$A:$I,3,0),0)</f>
        <v>0</v>
      </c>
      <c r="G954" s="46">
        <f>IFERROR(VLOOKUP($E954,'BASE DE DATOS'!$A:$I,3,0),0)</f>
        <v>0</v>
      </c>
      <c r="H954" s="46">
        <f>IFERROR(VLOOKUP($E954,'BASE DE DATOS'!$A:$I,3,0),0)</f>
        <v>0</v>
      </c>
      <c r="I954" s="46">
        <f>IFERROR(VLOOKUP($E954,'BASE DE DATOS'!$A:$I,3,0),0)</f>
        <v>0</v>
      </c>
      <c r="J954" s="46">
        <f>IFERROR(VLOOKUP($E954,'BASE DE DATOS'!$A:$I,3,0),0)</f>
        <v>0</v>
      </c>
      <c r="K954" s="46">
        <f>IFERROR(VLOOKUP($E1213,'BASE DE DATOS'!$A:$I,3,0),0)</f>
        <v>0</v>
      </c>
      <c r="L954" s="46">
        <f>IFERROR(VLOOKUP($E954,'BASE DE DATOS'!$A:$I,3,0),0)</f>
        <v>0</v>
      </c>
    </row>
    <row r="955" spans="4:12" x14ac:dyDescent="0.25">
      <c r="D955" s="46" t="str">
        <f>IFERROR(VLOOKUP($E955,'BASE DE DATOS'!$A:$I,2,0)," ")</f>
        <v xml:space="preserve"> </v>
      </c>
      <c r="F955" s="46">
        <f>IFERROR(VLOOKUP($E968,'BASE DE DATOS'!$A:$I,3,0),0)</f>
        <v>0</v>
      </c>
      <c r="G955" s="46">
        <f>IFERROR(VLOOKUP($E955,'BASE DE DATOS'!$A:$I,3,0),0)</f>
        <v>0</v>
      </c>
      <c r="H955" s="46">
        <f>IFERROR(VLOOKUP($E955,'BASE DE DATOS'!$A:$I,3,0),0)</f>
        <v>0</v>
      </c>
      <c r="I955" s="46">
        <f>IFERROR(VLOOKUP($E955,'BASE DE DATOS'!$A:$I,3,0),0)</f>
        <v>0</v>
      </c>
      <c r="J955" s="46">
        <f>IFERROR(VLOOKUP($E955,'BASE DE DATOS'!$A:$I,3,0),0)</f>
        <v>0</v>
      </c>
      <c r="K955" s="46">
        <f>IFERROR(VLOOKUP($E1214,'BASE DE DATOS'!$A:$I,3,0),0)</f>
        <v>0</v>
      </c>
      <c r="L955" s="46">
        <f>IFERROR(VLOOKUP($E955,'BASE DE DATOS'!$A:$I,3,0),0)</f>
        <v>0</v>
      </c>
    </row>
    <row r="956" spans="4:12" x14ac:dyDescent="0.25">
      <c r="D956" s="46" t="str">
        <f>IFERROR(VLOOKUP($E956,'BASE DE DATOS'!$A:$I,2,0)," ")</f>
        <v xml:space="preserve"> </v>
      </c>
      <c r="F956" s="46">
        <f>IFERROR(VLOOKUP($E969,'BASE DE DATOS'!$A:$I,3,0),0)</f>
        <v>0</v>
      </c>
      <c r="G956" s="46">
        <f>IFERROR(VLOOKUP($E956,'BASE DE DATOS'!$A:$I,3,0),0)</f>
        <v>0</v>
      </c>
      <c r="H956" s="46">
        <f>IFERROR(VLOOKUP($E956,'BASE DE DATOS'!$A:$I,3,0),0)</f>
        <v>0</v>
      </c>
      <c r="I956" s="46">
        <f>IFERROR(VLOOKUP($E956,'BASE DE DATOS'!$A:$I,3,0),0)</f>
        <v>0</v>
      </c>
      <c r="J956" s="46">
        <f>IFERROR(VLOOKUP($E956,'BASE DE DATOS'!$A:$I,3,0),0)</f>
        <v>0</v>
      </c>
      <c r="K956" s="46">
        <f>IFERROR(VLOOKUP($E1215,'BASE DE DATOS'!$A:$I,3,0),0)</f>
        <v>0</v>
      </c>
      <c r="L956" s="46">
        <f>IFERROR(VLOOKUP($E956,'BASE DE DATOS'!$A:$I,3,0),0)</f>
        <v>0</v>
      </c>
    </row>
    <row r="957" spans="4:12" x14ac:dyDescent="0.25">
      <c r="D957" s="46" t="str">
        <f>IFERROR(VLOOKUP($E957,'BASE DE DATOS'!$A:$I,2,0)," ")</f>
        <v xml:space="preserve"> </v>
      </c>
      <c r="F957" s="46">
        <f>IFERROR(VLOOKUP($E970,'BASE DE DATOS'!$A:$I,3,0),0)</f>
        <v>0</v>
      </c>
      <c r="G957" s="46">
        <f>IFERROR(VLOOKUP($E957,'BASE DE DATOS'!$A:$I,3,0),0)</f>
        <v>0</v>
      </c>
      <c r="H957" s="46">
        <f>IFERROR(VLOOKUP($E957,'BASE DE DATOS'!$A:$I,3,0),0)</f>
        <v>0</v>
      </c>
      <c r="I957" s="46">
        <f>IFERROR(VLOOKUP($E957,'BASE DE DATOS'!$A:$I,3,0),0)</f>
        <v>0</v>
      </c>
      <c r="J957" s="46">
        <f>IFERROR(VLOOKUP($E957,'BASE DE DATOS'!$A:$I,3,0),0)</f>
        <v>0</v>
      </c>
      <c r="K957" s="46">
        <f>IFERROR(VLOOKUP($E1216,'BASE DE DATOS'!$A:$I,3,0),0)</f>
        <v>0</v>
      </c>
      <c r="L957" s="46">
        <f>IFERROR(VLOOKUP($E957,'BASE DE DATOS'!$A:$I,3,0),0)</f>
        <v>0</v>
      </c>
    </row>
    <row r="958" spans="4:12" x14ac:dyDescent="0.25">
      <c r="D958" s="46" t="str">
        <f>IFERROR(VLOOKUP($E958,'BASE DE DATOS'!$A:$I,2,0)," ")</f>
        <v xml:space="preserve"> </v>
      </c>
      <c r="F958" s="46">
        <f>IFERROR(VLOOKUP($E971,'BASE DE DATOS'!$A:$I,3,0),0)</f>
        <v>0</v>
      </c>
      <c r="G958" s="46">
        <f>IFERROR(VLOOKUP($E958,'BASE DE DATOS'!$A:$I,3,0),0)</f>
        <v>0</v>
      </c>
      <c r="H958" s="46">
        <f>IFERROR(VLOOKUP($E958,'BASE DE DATOS'!$A:$I,3,0),0)</f>
        <v>0</v>
      </c>
      <c r="I958" s="46">
        <f>IFERROR(VLOOKUP($E958,'BASE DE DATOS'!$A:$I,3,0),0)</f>
        <v>0</v>
      </c>
      <c r="J958" s="46">
        <f>IFERROR(VLOOKUP($E958,'BASE DE DATOS'!$A:$I,3,0),0)</f>
        <v>0</v>
      </c>
      <c r="K958" s="46">
        <f>IFERROR(VLOOKUP($E1217,'BASE DE DATOS'!$A:$I,3,0),0)</f>
        <v>0</v>
      </c>
      <c r="L958" s="46">
        <f>IFERROR(VLOOKUP($E958,'BASE DE DATOS'!$A:$I,3,0),0)</f>
        <v>0</v>
      </c>
    </row>
    <row r="959" spans="4:12" x14ac:dyDescent="0.25">
      <c r="D959" s="46" t="str">
        <f>IFERROR(VLOOKUP($E959,'BASE DE DATOS'!$A:$I,2,0)," ")</f>
        <v xml:space="preserve"> </v>
      </c>
      <c r="F959" s="46">
        <f>IFERROR(VLOOKUP($E972,'BASE DE DATOS'!$A:$I,3,0),0)</f>
        <v>0</v>
      </c>
      <c r="G959" s="46">
        <f>IFERROR(VLOOKUP($E959,'BASE DE DATOS'!$A:$I,3,0),0)</f>
        <v>0</v>
      </c>
      <c r="H959" s="46">
        <f>IFERROR(VLOOKUP($E959,'BASE DE DATOS'!$A:$I,3,0),0)</f>
        <v>0</v>
      </c>
      <c r="I959" s="46">
        <f>IFERROR(VLOOKUP($E959,'BASE DE DATOS'!$A:$I,3,0),0)</f>
        <v>0</v>
      </c>
      <c r="J959" s="46">
        <f>IFERROR(VLOOKUP($E959,'BASE DE DATOS'!$A:$I,3,0),0)</f>
        <v>0</v>
      </c>
      <c r="K959" s="46">
        <f>IFERROR(VLOOKUP($E1218,'BASE DE DATOS'!$A:$I,3,0),0)</f>
        <v>0</v>
      </c>
      <c r="L959" s="46">
        <f>IFERROR(VLOOKUP($E959,'BASE DE DATOS'!$A:$I,3,0),0)</f>
        <v>0</v>
      </c>
    </row>
    <row r="960" spans="4:12" x14ac:dyDescent="0.25">
      <c r="D960" s="46" t="str">
        <f>IFERROR(VLOOKUP($E960,'BASE DE DATOS'!$A:$I,2,0)," ")</f>
        <v xml:space="preserve"> </v>
      </c>
      <c r="F960" s="46">
        <f>IFERROR(VLOOKUP($E973,'BASE DE DATOS'!$A:$I,3,0),0)</f>
        <v>0</v>
      </c>
      <c r="G960" s="46">
        <f>IFERROR(VLOOKUP($E960,'BASE DE DATOS'!$A:$I,3,0),0)</f>
        <v>0</v>
      </c>
      <c r="H960" s="46">
        <f>IFERROR(VLOOKUP($E960,'BASE DE DATOS'!$A:$I,3,0),0)</f>
        <v>0</v>
      </c>
      <c r="I960" s="46">
        <f>IFERROR(VLOOKUP($E960,'BASE DE DATOS'!$A:$I,3,0),0)</f>
        <v>0</v>
      </c>
      <c r="J960" s="46">
        <f>IFERROR(VLOOKUP($E960,'BASE DE DATOS'!$A:$I,3,0),0)</f>
        <v>0</v>
      </c>
      <c r="K960" s="46">
        <f>IFERROR(VLOOKUP($E1219,'BASE DE DATOS'!$A:$I,3,0),0)</f>
        <v>0</v>
      </c>
      <c r="L960" s="46">
        <f>IFERROR(VLOOKUP($E960,'BASE DE DATOS'!$A:$I,3,0),0)</f>
        <v>0</v>
      </c>
    </row>
    <row r="961" spans="4:12" x14ac:dyDescent="0.25">
      <c r="D961" s="46" t="str">
        <f>IFERROR(VLOOKUP($E961,'BASE DE DATOS'!$A:$I,2,0)," ")</f>
        <v xml:space="preserve"> </v>
      </c>
      <c r="F961" s="46">
        <f>IFERROR(VLOOKUP($E974,'BASE DE DATOS'!$A:$I,3,0),0)</f>
        <v>0</v>
      </c>
      <c r="G961" s="46">
        <f>IFERROR(VLOOKUP($E961,'BASE DE DATOS'!$A:$I,3,0),0)</f>
        <v>0</v>
      </c>
      <c r="H961" s="46">
        <f>IFERROR(VLOOKUP($E961,'BASE DE DATOS'!$A:$I,3,0),0)</f>
        <v>0</v>
      </c>
      <c r="I961" s="46">
        <f>IFERROR(VLOOKUP($E961,'BASE DE DATOS'!$A:$I,3,0),0)</f>
        <v>0</v>
      </c>
      <c r="J961" s="46">
        <f>IFERROR(VLOOKUP($E961,'BASE DE DATOS'!$A:$I,3,0),0)</f>
        <v>0</v>
      </c>
      <c r="K961" s="46">
        <f>IFERROR(VLOOKUP($E1220,'BASE DE DATOS'!$A:$I,3,0),0)</f>
        <v>0</v>
      </c>
      <c r="L961" s="46">
        <f>IFERROR(VLOOKUP($E961,'BASE DE DATOS'!$A:$I,3,0),0)</f>
        <v>0</v>
      </c>
    </row>
    <row r="962" spans="4:12" x14ac:dyDescent="0.25">
      <c r="D962" s="46" t="str">
        <f>IFERROR(VLOOKUP($E962,'BASE DE DATOS'!$A:$I,2,0)," ")</f>
        <v xml:space="preserve"> </v>
      </c>
      <c r="F962" s="46">
        <f>IFERROR(VLOOKUP($E975,'BASE DE DATOS'!$A:$I,3,0),0)</f>
        <v>0</v>
      </c>
      <c r="G962" s="46">
        <f>IFERROR(VLOOKUP($E962,'BASE DE DATOS'!$A:$I,3,0),0)</f>
        <v>0</v>
      </c>
      <c r="H962" s="46">
        <f>IFERROR(VLOOKUP($E962,'BASE DE DATOS'!$A:$I,3,0),0)</f>
        <v>0</v>
      </c>
      <c r="I962" s="46">
        <f>IFERROR(VLOOKUP($E962,'BASE DE DATOS'!$A:$I,3,0),0)</f>
        <v>0</v>
      </c>
      <c r="J962" s="46">
        <f>IFERROR(VLOOKUP($E962,'BASE DE DATOS'!$A:$I,3,0),0)</f>
        <v>0</v>
      </c>
      <c r="K962" s="46">
        <f>IFERROR(VLOOKUP($E1221,'BASE DE DATOS'!$A:$I,3,0),0)</f>
        <v>0</v>
      </c>
      <c r="L962" s="46">
        <f>IFERROR(VLOOKUP($E962,'BASE DE DATOS'!$A:$I,3,0),0)</f>
        <v>0</v>
      </c>
    </row>
    <row r="963" spans="4:12" x14ac:dyDescent="0.25">
      <c r="D963" s="46" t="str">
        <f>IFERROR(VLOOKUP($E963,'BASE DE DATOS'!$A:$I,2,0)," ")</f>
        <v xml:space="preserve"> </v>
      </c>
      <c r="F963" s="46">
        <f>IFERROR(VLOOKUP($E976,'BASE DE DATOS'!$A:$I,3,0),0)</f>
        <v>0</v>
      </c>
      <c r="G963" s="46">
        <f>IFERROR(VLOOKUP($E963,'BASE DE DATOS'!$A:$I,3,0),0)</f>
        <v>0</v>
      </c>
      <c r="H963" s="46">
        <f>IFERROR(VLOOKUP($E963,'BASE DE DATOS'!$A:$I,3,0),0)</f>
        <v>0</v>
      </c>
      <c r="I963" s="46">
        <f>IFERROR(VLOOKUP($E963,'BASE DE DATOS'!$A:$I,3,0),0)</f>
        <v>0</v>
      </c>
      <c r="J963" s="46">
        <f>IFERROR(VLOOKUP($E963,'BASE DE DATOS'!$A:$I,3,0),0)</f>
        <v>0</v>
      </c>
      <c r="K963" s="46">
        <f>IFERROR(VLOOKUP($E1222,'BASE DE DATOS'!$A:$I,3,0),0)</f>
        <v>0</v>
      </c>
      <c r="L963" s="46">
        <f>IFERROR(VLOOKUP($E963,'BASE DE DATOS'!$A:$I,3,0),0)</f>
        <v>0</v>
      </c>
    </row>
    <row r="964" spans="4:12" x14ac:dyDescent="0.25">
      <c r="D964" s="46" t="str">
        <f>IFERROR(VLOOKUP($E964,'BASE DE DATOS'!$A:$I,2,0)," ")</f>
        <v xml:space="preserve"> </v>
      </c>
      <c r="F964" s="46">
        <f>IFERROR(VLOOKUP($E977,'BASE DE DATOS'!$A:$I,3,0),0)</f>
        <v>0</v>
      </c>
      <c r="G964" s="46">
        <f>IFERROR(VLOOKUP($E964,'BASE DE DATOS'!$A:$I,3,0),0)</f>
        <v>0</v>
      </c>
      <c r="H964" s="46">
        <f>IFERROR(VLOOKUP($E964,'BASE DE DATOS'!$A:$I,3,0),0)</f>
        <v>0</v>
      </c>
      <c r="I964" s="46">
        <f>IFERROR(VLOOKUP($E964,'BASE DE DATOS'!$A:$I,3,0),0)</f>
        <v>0</v>
      </c>
      <c r="J964" s="46">
        <f>IFERROR(VLOOKUP($E964,'BASE DE DATOS'!$A:$I,3,0),0)</f>
        <v>0</v>
      </c>
      <c r="K964" s="46">
        <f>IFERROR(VLOOKUP($E1223,'BASE DE DATOS'!$A:$I,3,0),0)</f>
        <v>0</v>
      </c>
      <c r="L964" s="46">
        <f>IFERROR(VLOOKUP($E964,'BASE DE DATOS'!$A:$I,3,0),0)</f>
        <v>0</v>
      </c>
    </row>
    <row r="965" spans="4:12" x14ac:dyDescent="0.25">
      <c r="D965" s="46" t="str">
        <f>IFERROR(VLOOKUP($E965,'BASE DE DATOS'!$A:$I,2,0)," ")</f>
        <v xml:space="preserve"> </v>
      </c>
      <c r="F965" s="46">
        <f>IFERROR(VLOOKUP($E978,'BASE DE DATOS'!$A:$I,3,0),0)</f>
        <v>0</v>
      </c>
      <c r="G965" s="46">
        <f>IFERROR(VLOOKUP($E965,'BASE DE DATOS'!$A:$I,3,0),0)</f>
        <v>0</v>
      </c>
      <c r="H965" s="46">
        <f>IFERROR(VLOOKUP($E965,'BASE DE DATOS'!$A:$I,3,0),0)</f>
        <v>0</v>
      </c>
      <c r="I965" s="46">
        <f>IFERROR(VLOOKUP($E965,'BASE DE DATOS'!$A:$I,3,0),0)</f>
        <v>0</v>
      </c>
      <c r="J965" s="46">
        <f>IFERROR(VLOOKUP($E965,'BASE DE DATOS'!$A:$I,3,0),0)</f>
        <v>0</v>
      </c>
      <c r="K965" s="46">
        <f>IFERROR(VLOOKUP($E1224,'BASE DE DATOS'!$A:$I,3,0),0)</f>
        <v>0</v>
      </c>
      <c r="L965" s="46">
        <f>IFERROR(VLOOKUP($E965,'BASE DE DATOS'!$A:$I,3,0),0)</f>
        <v>0</v>
      </c>
    </row>
    <row r="966" spans="4:12" x14ac:dyDescent="0.25">
      <c r="D966" s="46" t="str">
        <f>IFERROR(VLOOKUP($E966,'BASE DE DATOS'!$A:$I,2,0)," ")</f>
        <v xml:space="preserve"> </v>
      </c>
      <c r="F966" s="46">
        <f>IFERROR(VLOOKUP($E979,'BASE DE DATOS'!$A:$I,3,0),0)</f>
        <v>0</v>
      </c>
      <c r="G966" s="46">
        <f>IFERROR(VLOOKUP($E966,'BASE DE DATOS'!$A:$I,3,0),0)</f>
        <v>0</v>
      </c>
      <c r="H966" s="46">
        <f>IFERROR(VLOOKUP($E966,'BASE DE DATOS'!$A:$I,3,0),0)</f>
        <v>0</v>
      </c>
      <c r="I966" s="46">
        <f>IFERROR(VLOOKUP($E966,'BASE DE DATOS'!$A:$I,3,0),0)</f>
        <v>0</v>
      </c>
      <c r="J966" s="46">
        <f>IFERROR(VLOOKUP($E966,'BASE DE DATOS'!$A:$I,3,0),0)</f>
        <v>0</v>
      </c>
      <c r="K966" s="46">
        <f>IFERROR(VLOOKUP($E1225,'BASE DE DATOS'!$A:$I,3,0),0)</f>
        <v>0</v>
      </c>
      <c r="L966" s="46">
        <f>IFERROR(VLOOKUP($E966,'BASE DE DATOS'!$A:$I,3,0),0)</f>
        <v>0</v>
      </c>
    </row>
    <row r="967" spans="4:12" x14ac:dyDescent="0.25">
      <c r="D967" s="46" t="str">
        <f>IFERROR(VLOOKUP($E967,'BASE DE DATOS'!$A:$I,2,0)," ")</f>
        <v xml:space="preserve"> </v>
      </c>
      <c r="F967" s="46">
        <f>IFERROR(VLOOKUP($E980,'BASE DE DATOS'!$A:$I,3,0),0)</f>
        <v>0</v>
      </c>
      <c r="G967" s="46">
        <f>IFERROR(VLOOKUP($E967,'BASE DE DATOS'!$A:$I,3,0),0)</f>
        <v>0</v>
      </c>
      <c r="H967" s="46">
        <f>IFERROR(VLOOKUP($E967,'BASE DE DATOS'!$A:$I,3,0),0)</f>
        <v>0</v>
      </c>
      <c r="I967" s="46">
        <f>IFERROR(VLOOKUP($E967,'BASE DE DATOS'!$A:$I,3,0),0)</f>
        <v>0</v>
      </c>
      <c r="J967" s="46">
        <f>IFERROR(VLOOKUP($E967,'BASE DE DATOS'!$A:$I,3,0),0)</f>
        <v>0</v>
      </c>
      <c r="K967" s="46">
        <f>IFERROR(VLOOKUP($E1226,'BASE DE DATOS'!$A:$I,3,0),0)</f>
        <v>0</v>
      </c>
      <c r="L967" s="46">
        <f>IFERROR(VLOOKUP($E967,'BASE DE DATOS'!$A:$I,3,0),0)</f>
        <v>0</v>
      </c>
    </row>
    <row r="968" spans="4:12" x14ac:dyDescent="0.25">
      <c r="D968" s="46" t="str">
        <f>IFERROR(VLOOKUP($E968,'BASE DE DATOS'!$A:$I,2,0)," ")</f>
        <v xml:space="preserve"> </v>
      </c>
      <c r="F968" s="46">
        <f>IFERROR(VLOOKUP($E981,'BASE DE DATOS'!$A:$I,3,0),0)</f>
        <v>0</v>
      </c>
      <c r="G968" s="46">
        <f>IFERROR(VLOOKUP($E968,'BASE DE DATOS'!$A:$I,3,0),0)</f>
        <v>0</v>
      </c>
      <c r="H968" s="46">
        <f>IFERROR(VLOOKUP($E968,'BASE DE DATOS'!$A:$I,3,0),0)</f>
        <v>0</v>
      </c>
      <c r="I968" s="46">
        <f>IFERROR(VLOOKUP($E968,'BASE DE DATOS'!$A:$I,3,0),0)</f>
        <v>0</v>
      </c>
      <c r="J968" s="46">
        <f>IFERROR(VLOOKUP($E968,'BASE DE DATOS'!$A:$I,3,0),0)</f>
        <v>0</v>
      </c>
      <c r="K968" s="46">
        <f>IFERROR(VLOOKUP($E1227,'BASE DE DATOS'!$A:$I,3,0),0)</f>
        <v>0</v>
      </c>
      <c r="L968" s="46">
        <f>IFERROR(VLOOKUP($E968,'BASE DE DATOS'!$A:$I,3,0),0)</f>
        <v>0</v>
      </c>
    </row>
    <row r="969" spans="4:12" x14ac:dyDescent="0.25">
      <c r="D969" s="46" t="str">
        <f>IFERROR(VLOOKUP($E969,'BASE DE DATOS'!$A:$I,2,0)," ")</f>
        <v xml:space="preserve"> </v>
      </c>
      <c r="F969" s="46">
        <f>IFERROR(VLOOKUP($E982,'BASE DE DATOS'!$A:$I,3,0),0)</f>
        <v>0</v>
      </c>
      <c r="G969" s="46">
        <f>IFERROR(VLOOKUP($E969,'BASE DE DATOS'!$A:$I,3,0),0)</f>
        <v>0</v>
      </c>
      <c r="H969" s="46">
        <f>IFERROR(VLOOKUP($E969,'BASE DE DATOS'!$A:$I,3,0),0)</f>
        <v>0</v>
      </c>
      <c r="I969" s="46">
        <f>IFERROR(VLOOKUP($E969,'BASE DE DATOS'!$A:$I,3,0),0)</f>
        <v>0</v>
      </c>
      <c r="J969" s="46">
        <f>IFERROR(VLOOKUP($E969,'BASE DE DATOS'!$A:$I,3,0),0)</f>
        <v>0</v>
      </c>
      <c r="K969" s="46">
        <f>IFERROR(VLOOKUP($E1228,'BASE DE DATOS'!$A:$I,3,0),0)</f>
        <v>0</v>
      </c>
      <c r="L969" s="46">
        <f>IFERROR(VLOOKUP($E969,'BASE DE DATOS'!$A:$I,3,0),0)</f>
        <v>0</v>
      </c>
    </row>
    <row r="970" spans="4:12" x14ac:dyDescent="0.25">
      <c r="D970" s="46" t="str">
        <f>IFERROR(VLOOKUP($E970,'BASE DE DATOS'!$A:$I,2,0)," ")</f>
        <v xml:space="preserve"> </v>
      </c>
      <c r="F970" s="46">
        <f>IFERROR(VLOOKUP($E983,'BASE DE DATOS'!$A:$I,3,0),0)</f>
        <v>0</v>
      </c>
      <c r="G970" s="46">
        <f>IFERROR(VLOOKUP($E970,'BASE DE DATOS'!$A:$I,3,0),0)</f>
        <v>0</v>
      </c>
      <c r="H970" s="46">
        <f>IFERROR(VLOOKUP($E970,'BASE DE DATOS'!$A:$I,3,0),0)</f>
        <v>0</v>
      </c>
      <c r="I970" s="46">
        <f>IFERROR(VLOOKUP($E970,'BASE DE DATOS'!$A:$I,3,0),0)</f>
        <v>0</v>
      </c>
      <c r="J970" s="46">
        <f>IFERROR(VLOOKUP($E970,'BASE DE DATOS'!$A:$I,3,0),0)</f>
        <v>0</v>
      </c>
      <c r="K970" s="46">
        <f>IFERROR(VLOOKUP($E1229,'BASE DE DATOS'!$A:$I,3,0),0)</f>
        <v>0</v>
      </c>
      <c r="L970" s="46">
        <f>IFERROR(VLOOKUP($E970,'BASE DE DATOS'!$A:$I,3,0),0)</f>
        <v>0</v>
      </c>
    </row>
    <row r="971" spans="4:12" x14ac:dyDescent="0.25">
      <c r="D971" s="46" t="str">
        <f>IFERROR(VLOOKUP($E971,'BASE DE DATOS'!$A:$I,2,0)," ")</f>
        <v xml:space="preserve"> </v>
      </c>
      <c r="F971" s="46">
        <f>IFERROR(VLOOKUP($E984,'BASE DE DATOS'!$A:$I,3,0),0)</f>
        <v>0</v>
      </c>
      <c r="G971" s="46">
        <f>IFERROR(VLOOKUP($E971,'BASE DE DATOS'!$A:$I,3,0),0)</f>
        <v>0</v>
      </c>
      <c r="H971" s="46">
        <f>IFERROR(VLOOKUP($E971,'BASE DE DATOS'!$A:$I,3,0),0)</f>
        <v>0</v>
      </c>
      <c r="I971" s="46">
        <f>IFERROR(VLOOKUP($E971,'BASE DE DATOS'!$A:$I,3,0),0)</f>
        <v>0</v>
      </c>
      <c r="J971" s="46">
        <f>IFERROR(VLOOKUP($E971,'BASE DE DATOS'!$A:$I,3,0),0)</f>
        <v>0</v>
      </c>
      <c r="K971" s="46">
        <f>IFERROR(VLOOKUP($E1230,'BASE DE DATOS'!$A:$I,3,0),0)</f>
        <v>0</v>
      </c>
      <c r="L971" s="46">
        <f>IFERROR(VLOOKUP($E971,'BASE DE DATOS'!$A:$I,3,0),0)</f>
        <v>0</v>
      </c>
    </row>
    <row r="972" spans="4:12" x14ac:dyDescent="0.25">
      <c r="D972" s="46" t="str">
        <f>IFERROR(VLOOKUP($E972,'BASE DE DATOS'!$A:$I,2,0)," ")</f>
        <v xml:space="preserve"> </v>
      </c>
      <c r="F972" s="46">
        <f>IFERROR(VLOOKUP($E985,'BASE DE DATOS'!$A:$I,3,0),0)</f>
        <v>0</v>
      </c>
      <c r="G972" s="46">
        <f>IFERROR(VLOOKUP($E972,'BASE DE DATOS'!$A:$I,3,0),0)</f>
        <v>0</v>
      </c>
      <c r="H972" s="46">
        <f>IFERROR(VLOOKUP($E972,'BASE DE DATOS'!$A:$I,3,0),0)</f>
        <v>0</v>
      </c>
      <c r="I972" s="46">
        <f>IFERROR(VLOOKUP($E972,'BASE DE DATOS'!$A:$I,3,0),0)</f>
        <v>0</v>
      </c>
      <c r="J972" s="46">
        <f>IFERROR(VLOOKUP($E972,'BASE DE DATOS'!$A:$I,3,0),0)</f>
        <v>0</v>
      </c>
      <c r="K972" s="46">
        <f>IFERROR(VLOOKUP($E1231,'BASE DE DATOS'!$A:$I,3,0),0)</f>
        <v>0</v>
      </c>
      <c r="L972" s="46">
        <f>IFERROR(VLOOKUP($E972,'BASE DE DATOS'!$A:$I,3,0),0)</f>
        <v>0</v>
      </c>
    </row>
    <row r="973" spans="4:12" x14ac:dyDescent="0.25">
      <c r="D973" s="46" t="str">
        <f>IFERROR(VLOOKUP($E973,'BASE DE DATOS'!$A:$I,2,0)," ")</f>
        <v xml:space="preserve"> </v>
      </c>
      <c r="F973" s="46">
        <f>IFERROR(VLOOKUP($E986,'BASE DE DATOS'!$A:$I,3,0),0)</f>
        <v>0</v>
      </c>
      <c r="G973" s="46">
        <f>IFERROR(VLOOKUP($E973,'BASE DE DATOS'!$A:$I,3,0),0)</f>
        <v>0</v>
      </c>
      <c r="H973" s="46">
        <f>IFERROR(VLOOKUP($E973,'BASE DE DATOS'!$A:$I,3,0),0)</f>
        <v>0</v>
      </c>
      <c r="I973" s="46">
        <f>IFERROR(VLOOKUP($E973,'BASE DE DATOS'!$A:$I,3,0),0)</f>
        <v>0</v>
      </c>
      <c r="J973" s="46">
        <f>IFERROR(VLOOKUP($E973,'BASE DE DATOS'!$A:$I,3,0),0)</f>
        <v>0</v>
      </c>
      <c r="K973" s="46">
        <f>IFERROR(VLOOKUP($E1232,'BASE DE DATOS'!$A:$I,3,0),0)</f>
        <v>0</v>
      </c>
      <c r="L973" s="46">
        <f>IFERROR(VLOOKUP($E973,'BASE DE DATOS'!$A:$I,3,0),0)</f>
        <v>0</v>
      </c>
    </row>
    <row r="974" spans="4:12" x14ac:dyDescent="0.25">
      <c r="D974" s="46" t="str">
        <f>IFERROR(VLOOKUP($E974,'BASE DE DATOS'!$A:$I,2,0)," ")</f>
        <v xml:space="preserve"> </v>
      </c>
      <c r="F974" s="46">
        <f>IFERROR(VLOOKUP($E987,'BASE DE DATOS'!$A:$I,3,0),0)</f>
        <v>0</v>
      </c>
      <c r="G974" s="46">
        <f>IFERROR(VLOOKUP($E974,'BASE DE DATOS'!$A:$I,3,0),0)</f>
        <v>0</v>
      </c>
      <c r="H974" s="46">
        <f>IFERROR(VLOOKUP($E974,'BASE DE DATOS'!$A:$I,3,0),0)</f>
        <v>0</v>
      </c>
      <c r="I974" s="46">
        <f>IFERROR(VLOOKUP($E974,'BASE DE DATOS'!$A:$I,3,0),0)</f>
        <v>0</v>
      </c>
      <c r="J974" s="46">
        <f>IFERROR(VLOOKUP($E974,'BASE DE DATOS'!$A:$I,3,0),0)</f>
        <v>0</v>
      </c>
      <c r="K974" s="46">
        <f>IFERROR(VLOOKUP($E1233,'BASE DE DATOS'!$A:$I,3,0),0)</f>
        <v>0</v>
      </c>
      <c r="L974" s="46">
        <f>IFERROR(VLOOKUP($E974,'BASE DE DATOS'!$A:$I,3,0),0)</f>
        <v>0</v>
      </c>
    </row>
    <row r="975" spans="4:12" x14ac:dyDescent="0.25">
      <c r="D975" s="46" t="str">
        <f>IFERROR(VLOOKUP($E975,'BASE DE DATOS'!$A:$I,2,0)," ")</f>
        <v xml:space="preserve"> </v>
      </c>
      <c r="F975" s="46">
        <f>IFERROR(VLOOKUP($E988,'BASE DE DATOS'!$A:$I,3,0),0)</f>
        <v>0</v>
      </c>
      <c r="G975" s="46">
        <f>IFERROR(VLOOKUP($E975,'BASE DE DATOS'!$A:$I,3,0),0)</f>
        <v>0</v>
      </c>
      <c r="H975" s="46">
        <f>IFERROR(VLOOKUP($E975,'BASE DE DATOS'!$A:$I,3,0),0)</f>
        <v>0</v>
      </c>
      <c r="I975" s="46">
        <f>IFERROR(VLOOKUP($E975,'BASE DE DATOS'!$A:$I,3,0),0)</f>
        <v>0</v>
      </c>
      <c r="J975" s="46">
        <f>IFERROR(VLOOKUP($E975,'BASE DE DATOS'!$A:$I,3,0),0)</f>
        <v>0</v>
      </c>
      <c r="K975" s="46">
        <f>IFERROR(VLOOKUP($E1234,'BASE DE DATOS'!$A:$I,3,0),0)</f>
        <v>0</v>
      </c>
      <c r="L975" s="46">
        <f>IFERROR(VLOOKUP($E975,'BASE DE DATOS'!$A:$I,3,0),0)</f>
        <v>0</v>
      </c>
    </row>
    <row r="976" spans="4:12" x14ac:dyDescent="0.25">
      <c r="D976" s="46" t="str">
        <f>IFERROR(VLOOKUP($E976,'BASE DE DATOS'!$A:$I,2,0)," ")</f>
        <v xml:space="preserve"> </v>
      </c>
      <c r="F976" s="46">
        <f>IFERROR(VLOOKUP($E989,'BASE DE DATOS'!$A:$I,3,0),0)</f>
        <v>0</v>
      </c>
      <c r="G976" s="46">
        <f>IFERROR(VLOOKUP($E976,'BASE DE DATOS'!$A:$I,3,0),0)</f>
        <v>0</v>
      </c>
      <c r="H976" s="46">
        <f>IFERROR(VLOOKUP($E976,'BASE DE DATOS'!$A:$I,3,0),0)</f>
        <v>0</v>
      </c>
      <c r="I976" s="46">
        <f>IFERROR(VLOOKUP($E976,'BASE DE DATOS'!$A:$I,3,0),0)</f>
        <v>0</v>
      </c>
      <c r="J976" s="46">
        <f>IFERROR(VLOOKUP($E976,'BASE DE DATOS'!$A:$I,3,0),0)</f>
        <v>0</v>
      </c>
      <c r="K976" s="46">
        <f>IFERROR(VLOOKUP($E1235,'BASE DE DATOS'!$A:$I,3,0),0)</f>
        <v>0</v>
      </c>
      <c r="L976" s="46">
        <f>IFERROR(VLOOKUP($E976,'BASE DE DATOS'!$A:$I,3,0),0)</f>
        <v>0</v>
      </c>
    </row>
    <row r="977" spans="4:12" x14ac:dyDescent="0.25">
      <c r="D977" s="46" t="str">
        <f>IFERROR(VLOOKUP($E977,'BASE DE DATOS'!$A:$I,2,0)," ")</f>
        <v xml:space="preserve"> </v>
      </c>
      <c r="F977" s="46">
        <f>IFERROR(VLOOKUP($E990,'BASE DE DATOS'!$A:$I,3,0),0)</f>
        <v>0</v>
      </c>
      <c r="G977" s="46">
        <f>IFERROR(VLOOKUP($E977,'BASE DE DATOS'!$A:$I,3,0),0)</f>
        <v>0</v>
      </c>
      <c r="H977" s="46">
        <f>IFERROR(VLOOKUP($E977,'BASE DE DATOS'!$A:$I,3,0),0)</f>
        <v>0</v>
      </c>
      <c r="I977" s="46">
        <f>IFERROR(VLOOKUP($E977,'BASE DE DATOS'!$A:$I,3,0),0)</f>
        <v>0</v>
      </c>
      <c r="J977" s="46">
        <f>IFERROR(VLOOKUP($E977,'BASE DE DATOS'!$A:$I,3,0),0)</f>
        <v>0</v>
      </c>
      <c r="K977" s="46">
        <f>IFERROR(VLOOKUP($E1236,'BASE DE DATOS'!$A:$I,3,0),0)</f>
        <v>0</v>
      </c>
      <c r="L977" s="46">
        <f>IFERROR(VLOOKUP($E977,'BASE DE DATOS'!$A:$I,3,0),0)</f>
        <v>0</v>
      </c>
    </row>
    <row r="978" spans="4:12" x14ac:dyDescent="0.25">
      <c r="D978" s="46" t="str">
        <f>IFERROR(VLOOKUP($E978,'BASE DE DATOS'!$A:$I,2,0)," ")</f>
        <v xml:space="preserve"> </v>
      </c>
      <c r="F978" s="46">
        <f>IFERROR(VLOOKUP($E991,'BASE DE DATOS'!$A:$I,3,0),0)</f>
        <v>0</v>
      </c>
      <c r="G978" s="46">
        <f>IFERROR(VLOOKUP($E978,'BASE DE DATOS'!$A:$I,3,0),0)</f>
        <v>0</v>
      </c>
      <c r="H978" s="46">
        <f>IFERROR(VLOOKUP($E978,'BASE DE DATOS'!$A:$I,3,0),0)</f>
        <v>0</v>
      </c>
      <c r="I978" s="46">
        <f>IFERROR(VLOOKUP($E978,'BASE DE DATOS'!$A:$I,3,0),0)</f>
        <v>0</v>
      </c>
      <c r="J978" s="46">
        <f>IFERROR(VLOOKUP($E978,'BASE DE DATOS'!$A:$I,3,0),0)</f>
        <v>0</v>
      </c>
      <c r="K978" s="46">
        <f>IFERROR(VLOOKUP($E1237,'BASE DE DATOS'!$A:$I,3,0),0)</f>
        <v>0</v>
      </c>
      <c r="L978" s="46">
        <f>IFERROR(VLOOKUP($E978,'BASE DE DATOS'!$A:$I,3,0),0)</f>
        <v>0</v>
      </c>
    </row>
    <row r="979" spans="4:12" x14ac:dyDescent="0.25">
      <c r="D979" s="46" t="str">
        <f>IFERROR(VLOOKUP($E979,'BASE DE DATOS'!$A:$I,2,0)," ")</f>
        <v xml:space="preserve"> </v>
      </c>
      <c r="F979" s="46">
        <f>IFERROR(VLOOKUP($E992,'BASE DE DATOS'!$A:$I,3,0),0)</f>
        <v>0</v>
      </c>
      <c r="G979" s="46">
        <f>IFERROR(VLOOKUP($E979,'BASE DE DATOS'!$A:$I,3,0),0)</f>
        <v>0</v>
      </c>
      <c r="H979" s="46">
        <f>IFERROR(VLOOKUP($E979,'BASE DE DATOS'!$A:$I,3,0),0)</f>
        <v>0</v>
      </c>
      <c r="I979" s="46">
        <f>IFERROR(VLOOKUP($E979,'BASE DE DATOS'!$A:$I,3,0),0)</f>
        <v>0</v>
      </c>
      <c r="J979" s="46">
        <f>IFERROR(VLOOKUP($E979,'BASE DE DATOS'!$A:$I,3,0),0)</f>
        <v>0</v>
      </c>
      <c r="K979" s="46">
        <f>IFERROR(VLOOKUP($E1238,'BASE DE DATOS'!$A:$I,3,0),0)</f>
        <v>0</v>
      </c>
      <c r="L979" s="46">
        <f>IFERROR(VLOOKUP($E979,'BASE DE DATOS'!$A:$I,3,0),0)</f>
        <v>0</v>
      </c>
    </row>
    <row r="980" spans="4:12" x14ac:dyDescent="0.25">
      <c r="D980" s="46" t="str">
        <f>IFERROR(VLOOKUP($E980,'BASE DE DATOS'!$A:$I,2,0)," ")</f>
        <v xml:space="preserve"> </v>
      </c>
      <c r="F980" s="46">
        <f>IFERROR(VLOOKUP($E993,'BASE DE DATOS'!$A:$I,3,0),0)</f>
        <v>0</v>
      </c>
      <c r="G980" s="46">
        <f>IFERROR(VLOOKUP($E980,'BASE DE DATOS'!$A:$I,3,0),0)</f>
        <v>0</v>
      </c>
      <c r="H980" s="46">
        <f>IFERROR(VLOOKUP($E980,'BASE DE DATOS'!$A:$I,3,0),0)</f>
        <v>0</v>
      </c>
      <c r="I980" s="46">
        <f>IFERROR(VLOOKUP($E980,'BASE DE DATOS'!$A:$I,3,0),0)</f>
        <v>0</v>
      </c>
      <c r="J980" s="46">
        <f>IFERROR(VLOOKUP($E980,'BASE DE DATOS'!$A:$I,3,0),0)</f>
        <v>0</v>
      </c>
      <c r="K980" s="46">
        <f>IFERROR(VLOOKUP($E1239,'BASE DE DATOS'!$A:$I,3,0),0)</f>
        <v>0</v>
      </c>
      <c r="L980" s="46">
        <f>IFERROR(VLOOKUP($E980,'BASE DE DATOS'!$A:$I,3,0),0)</f>
        <v>0</v>
      </c>
    </row>
    <row r="981" spans="4:12" x14ac:dyDescent="0.25">
      <c r="D981" s="46" t="str">
        <f>IFERROR(VLOOKUP($E981,'BASE DE DATOS'!$A:$I,2,0)," ")</f>
        <v xml:space="preserve"> </v>
      </c>
      <c r="F981" s="46">
        <f>IFERROR(VLOOKUP($E994,'BASE DE DATOS'!$A:$I,3,0),0)</f>
        <v>0</v>
      </c>
      <c r="G981" s="46">
        <f>IFERROR(VLOOKUP($E981,'BASE DE DATOS'!$A:$I,3,0),0)</f>
        <v>0</v>
      </c>
      <c r="H981" s="46">
        <f>IFERROR(VLOOKUP($E981,'BASE DE DATOS'!$A:$I,3,0),0)</f>
        <v>0</v>
      </c>
      <c r="I981" s="46">
        <f>IFERROR(VLOOKUP($E981,'BASE DE DATOS'!$A:$I,3,0),0)</f>
        <v>0</v>
      </c>
      <c r="J981" s="46">
        <f>IFERROR(VLOOKUP($E981,'BASE DE DATOS'!$A:$I,3,0),0)</f>
        <v>0</v>
      </c>
      <c r="K981" s="46">
        <f>IFERROR(VLOOKUP($E1240,'BASE DE DATOS'!$A:$I,3,0),0)</f>
        <v>0</v>
      </c>
      <c r="L981" s="46">
        <f>IFERROR(VLOOKUP($E981,'BASE DE DATOS'!$A:$I,3,0),0)</f>
        <v>0</v>
      </c>
    </row>
    <row r="982" spans="4:12" x14ac:dyDescent="0.25">
      <c r="D982" s="46" t="str">
        <f>IFERROR(VLOOKUP($E982,'BASE DE DATOS'!$A:$I,2,0)," ")</f>
        <v xml:space="preserve"> </v>
      </c>
      <c r="F982" s="46">
        <f>IFERROR(VLOOKUP($E995,'BASE DE DATOS'!$A:$I,3,0),0)</f>
        <v>0</v>
      </c>
      <c r="G982" s="46">
        <f>IFERROR(VLOOKUP($E982,'BASE DE DATOS'!$A:$I,3,0),0)</f>
        <v>0</v>
      </c>
      <c r="H982" s="46">
        <f>IFERROR(VLOOKUP($E982,'BASE DE DATOS'!$A:$I,3,0),0)</f>
        <v>0</v>
      </c>
      <c r="I982" s="46">
        <f>IFERROR(VLOOKUP($E982,'BASE DE DATOS'!$A:$I,3,0),0)</f>
        <v>0</v>
      </c>
      <c r="J982" s="46">
        <f>IFERROR(VLOOKUP($E982,'BASE DE DATOS'!$A:$I,3,0),0)</f>
        <v>0</v>
      </c>
      <c r="K982" s="46">
        <f>IFERROR(VLOOKUP($E1241,'BASE DE DATOS'!$A:$I,3,0),0)</f>
        <v>0</v>
      </c>
      <c r="L982" s="46">
        <f>IFERROR(VLOOKUP($E982,'BASE DE DATOS'!$A:$I,3,0),0)</f>
        <v>0</v>
      </c>
    </row>
    <row r="983" spans="4:12" x14ac:dyDescent="0.25">
      <c r="D983" s="46" t="str">
        <f>IFERROR(VLOOKUP($E983,'BASE DE DATOS'!$A:$I,2,0)," ")</f>
        <v xml:space="preserve"> </v>
      </c>
      <c r="F983" s="46">
        <f>IFERROR(VLOOKUP($E996,'BASE DE DATOS'!$A:$I,3,0),0)</f>
        <v>0</v>
      </c>
      <c r="G983" s="46">
        <f>IFERROR(VLOOKUP($E983,'BASE DE DATOS'!$A:$I,3,0),0)</f>
        <v>0</v>
      </c>
      <c r="H983" s="46">
        <f>IFERROR(VLOOKUP($E983,'BASE DE DATOS'!$A:$I,3,0),0)</f>
        <v>0</v>
      </c>
      <c r="I983" s="46">
        <f>IFERROR(VLOOKUP($E983,'BASE DE DATOS'!$A:$I,3,0),0)</f>
        <v>0</v>
      </c>
      <c r="J983" s="46">
        <f>IFERROR(VLOOKUP($E983,'BASE DE DATOS'!$A:$I,3,0),0)</f>
        <v>0</v>
      </c>
      <c r="K983" s="46">
        <f>IFERROR(VLOOKUP($E1242,'BASE DE DATOS'!$A:$I,3,0),0)</f>
        <v>0</v>
      </c>
      <c r="L983" s="46">
        <f>IFERROR(VLOOKUP($E983,'BASE DE DATOS'!$A:$I,3,0),0)</f>
        <v>0</v>
      </c>
    </row>
    <row r="984" spans="4:12" x14ac:dyDescent="0.25">
      <c r="D984" s="46" t="str">
        <f>IFERROR(VLOOKUP($E984,'BASE DE DATOS'!$A:$I,2,0)," ")</f>
        <v xml:space="preserve"> </v>
      </c>
      <c r="F984" s="46">
        <f>IFERROR(VLOOKUP($E997,'BASE DE DATOS'!$A:$I,3,0),0)</f>
        <v>0</v>
      </c>
      <c r="G984" s="46">
        <f>IFERROR(VLOOKUP($E984,'BASE DE DATOS'!$A:$I,3,0),0)</f>
        <v>0</v>
      </c>
      <c r="H984" s="46">
        <f>IFERROR(VLOOKUP($E984,'BASE DE DATOS'!$A:$I,3,0),0)</f>
        <v>0</v>
      </c>
      <c r="I984" s="46">
        <f>IFERROR(VLOOKUP($E984,'BASE DE DATOS'!$A:$I,3,0),0)</f>
        <v>0</v>
      </c>
      <c r="J984" s="46">
        <f>IFERROR(VLOOKUP($E984,'BASE DE DATOS'!$A:$I,3,0),0)</f>
        <v>0</v>
      </c>
      <c r="K984" s="46">
        <f>IFERROR(VLOOKUP($E1243,'BASE DE DATOS'!$A:$I,3,0),0)</f>
        <v>0</v>
      </c>
      <c r="L984" s="46">
        <f>IFERROR(VLOOKUP($E984,'BASE DE DATOS'!$A:$I,3,0),0)</f>
        <v>0</v>
      </c>
    </row>
    <row r="985" spans="4:12" x14ac:dyDescent="0.25">
      <c r="D985" s="46" t="str">
        <f>IFERROR(VLOOKUP($E985,'BASE DE DATOS'!$A:$I,2,0)," ")</f>
        <v xml:space="preserve"> </v>
      </c>
      <c r="F985" s="46">
        <f>IFERROR(VLOOKUP($E998,'BASE DE DATOS'!$A:$I,3,0),0)</f>
        <v>0</v>
      </c>
      <c r="G985" s="46">
        <f>IFERROR(VLOOKUP($E985,'BASE DE DATOS'!$A:$I,3,0),0)</f>
        <v>0</v>
      </c>
      <c r="H985" s="46">
        <f>IFERROR(VLOOKUP($E985,'BASE DE DATOS'!$A:$I,3,0),0)</f>
        <v>0</v>
      </c>
      <c r="I985" s="46">
        <f>IFERROR(VLOOKUP($E985,'BASE DE DATOS'!$A:$I,3,0),0)</f>
        <v>0</v>
      </c>
      <c r="J985" s="46">
        <f>IFERROR(VLOOKUP($E985,'BASE DE DATOS'!$A:$I,3,0),0)</f>
        <v>0</v>
      </c>
      <c r="K985" s="46">
        <f>IFERROR(VLOOKUP($E1244,'BASE DE DATOS'!$A:$I,3,0),0)</f>
        <v>0</v>
      </c>
      <c r="L985" s="46">
        <f>IFERROR(VLOOKUP($E985,'BASE DE DATOS'!$A:$I,3,0),0)</f>
        <v>0</v>
      </c>
    </row>
    <row r="986" spans="4:12" x14ac:dyDescent="0.25">
      <c r="D986" s="46" t="str">
        <f>IFERROR(VLOOKUP($E986,'BASE DE DATOS'!$A:$I,2,0)," ")</f>
        <v xml:space="preserve"> </v>
      </c>
      <c r="F986" s="46">
        <f>IFERROR(VLOOKUP($E999,'BASE DE DATOS'!$A:$I,3,0),0)</f>
        <v>0</v>
      </c>
      <c r="G986" s="46">
        <f>IFERROR(VLOOKUP($E986,'BASE DE DATOS'!$A:$I,3,0),0)</f>
        <v>0</v>
      </c>
      <c r="H986" s="46">
        <f>IFERROR(VLOOKUP($E986,'BASE DE DATOS'!$A:$I,3,0),0)</f>
        <v>0</v>
      </c>
      <c r="I986" s="46">
        <f>IFERROR(VLOOKUP($E986,'BASE DE DATOS'!$A:$I,3,0),0)</f>
        <v>0</v>
      </c>
      <c r="J986" s="46">
        <f>IFERROR(VLOOKUP($E986,'BASE DE DATOS'!$A:$I,3,0),0)</f>
        <v>0</v>
      </c>
      <c r="K986" s="46">
        <f>IFERROR(VLOOKUP($E1245,'BASE DE DATOS'!$A:$I,3,0),0)</f>
        <v>0</v>
      </c>
      <c r="L986" s="46">
        <f>IFERROR(VLOOKUP($E986,'BASE DE DATOS'!$A:$I,3,0),0)</f>
        <v>0</v>
      </c>
    </row>
    <row r="987" spans="4:12" x14ac:dyDescent="0.25">
      <c r="D987" s="46" t="str">
        <f>IFERROR(VLOOKUP($E987,'BASE DE DATOS'!$A:$I,2,0)," ")</f>
        <v xml:space="preserve"> </v>
      </c>
      <c r="F987" s="46">
        <f>IFERROR(VLOOKUP($E1000,'BASE DE DATOS'!$A:$I,3,0),0)</f>
        <v>0</v>
      </c>
      <c r="G987" s="46">
        <f>IFERROR(VLOOKUP($E987,'BASE DE DATOS'!$A:$I,3,0),0)</f>
        <v>0</v>
      </c>
      <c r="H987" s="46">
        <f>IFERROR(VLOOKUP($E987,'BASE DE DATOS'!$A:$I,3,0),0)</f>
        <v>0</v>
      </c>
      <c r="I987" s="46">
        <f>IFERROR(VLOOKUP($E987,'BASE DE DATOS'!$A:$I,3,0),0)</f>
        <v>0</v>
      </c>
      <c r="J987" s="46">
        <f>IFERROR(VLOOKUP($E987,'BASE DE DATOS'!$A:$I,3,0),0)</f>
        <v>0</v>
      </c>
      <c r="K987" s="46">
        <f>IFERROR(VLOOKUP($E1246,'BASE DE DATOS'!$A:$I,3,0),0)</f>
        <v>0</v>
      </c>
      <c r="L987" s="46">
        <f>IFERROR(VLOOKUP($E987,'BASE DE DATOS'!$A:$I,3,0),0)</f>
        <v>0</v>
      </c>
    </row>
    <row r="988" spans="4:12" x14ac:dyDescent="0.25">
      <c r="D988" s="46" t="str">
        <f>IFERROR(VLOOKUP($E988,'BASE DE DATOS'!$A:$I,2,0)," ")</f>
        <v xml:space="preserve"> </v>
      </c>
      <c r="F988" s="46">
        <f>IFERROR(VLOOKUP($E1001,'BASE DE DATOS'!$A:$I,3,0),0)</f>
        <v>0</v>
      </c>
      <c r="G988" s="46">
        <f>IFERROR(VLOOKUP($E988,'BASE DE DATOS'!$A:$I,3,0),0)</f>
        <v>0</v>
      </c>
      <c r="H988" s="46">
        <f>IFERROR(VLOOKUP($E988,'BASE DE DATOS'!$A:$I,3,0),0)</f>
        <v>0</v>
      </c>
      <c r="I988" s="46">
        <f>IFERROR(VLOOKUP($E988,'BASE DE DATOS'!$A:$I,3,0),0)</f>
        <v>0</v>
      </c>
      <c r="J988" s="46">
        <f>IFERROR(VLOOKUP($E988,'BASE DE DATOS'!$A:$I,3,0),0)</f>
        <v>0</v>
      </c>
      <c r="K988" s="46">
        <f>IFERROR(VLOOKUP($E1247,'BASE DE DATOS'!$A:$I,3,0),0)</f>
        <v>0</v>
      </c>
      <c r="L988" s="46">
        <f>IFERROR(VLOOKUP($E988,'BASE DE DATOS'!$A:$I,3,0),0)</f>
        <v>0</v>
      </c>
    </row>
    <row r="989" spans="4:12" x14ac:dyDescent="0.25">
      <c r="D989" s="46" t="str">
        <f>IFERROR(VLOOKUP($E989,'BASE DE DATOS'!$A:$I,2,0)," ")</f>
        <v xml:space="preserve"> </v>
      </c>
      <c r="F989" s="46">
        <f>IFERROR(VLOOKUP($E1002,'BASE DE DATOS'!$A:$I,3,0),0)</f>
        <v>0</v>
      </c>
      <c r="G989" s="46">
        <f>IFERROR(VLOOKUP($E989,'BASE DE DATOS'!$A:$I,3,0),0)</f>
        <v>0</v>
      </c>
      <c r="H989" s="46">
        <f>IFERROR(VLOOKUP($E989,'BASE DE DATOS'!$A:$I,3,0),0)</f>
        <v>0</v>
      </c>
      <c r="I989" s="46">
        <f>IFERROR(VLOOKUP($E989,'BASE DE DATOS'!$A:$I,3,0),0)</f>
        <v>0</v>
      </c>
      <c r="J989" s="46">
        <f>IFERROR(VLOOKUP($E989,'BASE DE DATOS'!$A:$I,3,0),0)</f>
        <v>0</v>
      </c>
      <c r="K989" s="46">
        <f>IFERROR(VLOOKUP($E1248,'BASE DE DATOS'!$A:$I,3,0),0)</f>
        <v>0</v>
      </c>
      <c r="L989" s="46">
        <f>IFERROR(VLOOKUP($E989,'BASE DE DATOS'!$A:$I,3,0),0)</f>
        <v>0</v>
      </c>
    </row>
    <row r="990" spans="4:12" x14ac:dyDescent="0.25">
      <c r="D990" s="46" t="str">
        <f>IFERROR(VLOOKUP($E990,'BASE DE DATOS'!$A:$I,2,0)," ")</f>
        <v xml:space="preserve"> </v>
      </c>
      <c r="F990" s="46">
        <f>IFERROR(VLOOKUP($E1003,'BASE DE DATOS'!$A:$I,3,0),0)</f>
        <v>0</v>
      </c>
      <c r="G990" s="46">
        <f>IFERROR(VLOOKUP($E990,'BASE DE DATOS'!$A:$I,3,0),0)</f>
        <v>0</v>
      </c>
      <c r="H990" s="46">
        <f>IFERROR(VLOOKUP($E990,'BASE DE DATOS'!$A:$I,3,0),0)</f>
        <v>0</v>
      </c>
      <c r="I990" s="46">
        <f>IFERROR(VLOOKUP($E990,'BASE DE DATOS'!$A:$I,3,0),0)</f>
        <v>0</v>
      </c>
      <c r="J990" s="46">
        <f>IFERROR(VLOOKUP($E990,'BASE DE DATOS'!$A:$I,3,0),0)</f>
        <v>0</v>
      </c>
      <c r="K990" s="46">
        <f>IFERROR(VLOOKUP($E1249,'BASE DE DATOS'!$A:$I,3,0),0)</f>
        <v>0</v>
      </c>
      <c r="L990" s="46">
        <f>IFERROR(VLOOKUP($E990,'BASE DE DATOS'!$A:$I,3,0),0)</f>
        <v>0</v>
      </c>
    </row>
    <row r="991" spans="4:12" x14ac:dyDescent="0.25">
      <c r="D991" s="46" t="str">
        <f>IFERROR(VLOOKUP($E991,'BASE DE DATOS'!$A:$I,2,0)," ")</f>
        <v xml:space="preserve"> </v>
      </c>
      <c r="F991" s="46">
        <f>IFERROR(VLOOKUP($E1004,'BASE DE DATOS'!$A:$I,3,0),0)</f>
        <v>0</v>
      </c>
      <c r="G991" s="46">
        <f>IFERROR(VLOOKUP($E991,'BASE DE DATOS'!$A:$I,3,0),0)</f>
        <v>0</v>
      </c>
      <c r="H991" s="46">
        <f>IFERROR(VLOOKUP($E991,'BASE DE DATOS'!$A:$I,3,0),0)</f>
        <v>0</v>
      </c>
      <c r="I991" s="46">
        <f>IFERROR(VLOOKUP($E991,'BASE DE DATOS'!$A:$I,3,0),0)</f>
        <v>0</v>
      </c>
      <c r="J991" s="46">
        <f>IFERROR(VLOOKUP($E991,'BASE DE DATOS'!$A:$I,3,0),0)</f>
        <v>0</v>
      </c>
      <c r="K991" s="46">
        <f>IFERROR(VLOOKUP($E1250,'BASE DE DATOS'!$A:$I,3,0),0)</f>
        <v>0</v>
      </c>
      <c r="L991" s="46">
        <f>IFERROR(VLOOKUP($E991,'BASE DE DATOS'!$A:$I,3,0),0)</f>
        <v>0</v>
      </c>
    </row>
    <row r="992" spans="4:12" x14ac:dyDescent="0.25">
      <c r="D992" s="46" t="str">
        <f>IFERROR(VLOOKUP($E992,'BASE DE DATOS'!$A:$I,2,0)," ")</f>
        <v xml:space="preserve"> </v>
      </c>
      <c r="F992" s="46">
        <f>IFERROR(VLOOKUP($E1005,'BASE DE DATOS'!$A:$I,3,0),0)</f>
        <v>0</v>
      </c>
      <c r="G992" s="46">
        <f>IFERROR(VLOOKUP($E992,'BASE DE DATOS'!$A:$I,3,0),0)</f>
        <v>0</v>
      </c>
      <c r="H992" s="46">
        <f>IFERROR(VLOOKUP($E992,'BASE DE DATOS'!$A:$I,3,0),0)</f>
        <v>0</v>
      </c>
      <c r="I992" s="46">
        <f>IFERROR(VLOOKUP($E992,'BASE DE DATOS'!$A:$I,3,0),0)</f>
        <v>0</v>
      </c>
      <c r="J992" s="46">
        <f>IFERROR(VLOOKUP($E992,'BASE DE DATOS'!$A:$I,3,0),0)</f>
        <v>0</v>
      </c>
      <c r="K992" s="46">
        <f>IFERROR(VLOOKUP($E1251,'BASE DE DATOS'!$A:$I,3,0),0)</f>
        <v>0</v>
      </c>
      <c r="L992" s="46">
        <f>IFERROR(VLOOKUP($E992,'BASE DE DATOS'!$A:$I,3,0),0)</f>
        <v>0</v>
      </c>
    </row>
    <row r="993" spans="4:12" x14ac:dyDescent="0.25">
      <c r="D993" s="46" t="str">
        <f>IFERROR(VLOOKUP($E993,'BASE DE DATOS'!$A:$I,2,0)," ")</f>
        <v xml:space="preserve"> </v>
      </c>
      <c r="F993" s="46">
        <f>IFERROR(VLOOKUP($E1006,'BASE DE DATOS'!$A:$I,3,0),0)</f>
        <v>0</v>
      </c>
      <c r="G993" s="46">
        <f>IFERROR(VLOOKUP($E993,'BASE DE DATOS'!$A:$I,3,0),0)</f>
        <v>0</v>
      </c>
      <c r="H993" s="46">
        <f>IFERROR(VLOOKUP($E993,'BASE DE DATOS'!$A:$I,3,0),0)</f>
        <v>0</v>
      </c>
      <c r="I993" s="46">
        <f>IFERROR(VLOOKUP($E993,'BASE DE DATOS'!$A:$I,3,0),0)</f>
        <v>0</v>
      </c>
      <c r="J993" s="46">
        <f>IFERROR(VLOOKUP($E993,'BASE DE DATOS'!$A:$I,3,0),0)</f>
        <v>0</v>
      </c>
      <c r="K993" s="46">
        <f>IFERROR(VLOOKUP($E1252,'BASE DE DATOS'!$A:$I,3,0),0)</f>
        <v>0</v>
      </c>
      <c r="L993" s="46">
        <f>IFERROR(VLOOKUP($E993,'BASE DE DATOS'!$A:$I,3,0),0)</f>
        <v>0</v>
      </c>
    </row>
    <row r="994" spans="4:12" x14ac:dyDescent="0.25">
      <c r="D994" s="46" t="str">
        <f>IFERROR(VLOOKUP($E994,'BASE DE DATOS'!$A:$I,2,0)," ")</f>
        <v xml:space="preserve"> </v>
      </c>
      <c r="F994" s="46">
        <f>IFERROR(VLOOKUP($E1007,'BASE DE DATOS'!$A:$I,3,0),0)</f>
        <v>0</v>
      </c>
      <c r="G994" s="46">
        <f>IFERROR(VLOOKUP($E994,'BASE DE DATOS'!$A:$I,3,0),0)</f>
        <v>0</v>
      </c>
      <c r="H994" s="46">
        <f>IFERROR(VLOOKUP($E994,'BASE DE DATOS'!$A:$I,3,0),0)</f>
        <v>0</v>
      </c>
      <c r="I994" s="46">
        <f>IFERROR(VLOOKUP($E994,'BASE DE DATOS'!$A:$I,3,0),0)</f>
        <v>0</v>
      </c>
      <c r="J994" s="46">
        <f>IFERROR(VLOOKUP($E994,'BASE DE DATOS'!$A:$I,3,0),0)</f>
        <v>0</v>
      </c>
      <c r="K994" s="46">
        <f>IFERROR(VLOOKUP($E1253,'BASE DE DATOS'!$A:$I,3,0),0)</f>
        <v>0</v>
      </c>
      <c r="L994" s="46">
        <f>IFERROR(VLOOKUP($E994,'BASE DE DATOS'!$A:$I,3,0),0)</f>
        <v>0</v>
      </c>
    </row>
    <row r="995" spans="4:12" x14ac:dyDescent="0.25">
      <c r="D995" s="46" t="str">
        <f>IFERROR(VLOOKUP($E995,'BASE DE DATOS'!$A:$I,2,0)," ")</f>
        <v xml:space="preserve"> </v>
      </c>
      <c r="F995" s="46">
        <f>IFERROR(VLOOKUP($E1008,'BASE DE DATOS'!$A:$I,3,0),0)</f>
        <v>0</v>
      </c>
      <c r="G995" s="46">
        <f>IFERROR(VLOOKUP($E995,'BASE DE DATOS'!$A:$I,3,0),0)</f>
        <v>0</v>
      </c>
      <c r="H995" s="46">
        <f>IFERROR(VLOOKUP($E995,'BASE DE DATOS'!$A:$I,3,0),0)</f>
        <v>0</v>
      </c>
      <c r="I995" s="46">
        <f>IFERROR(VLOOKUP($E995,'BASE DE DATOS'!$A:$I,3,0),0)</f>
        <v>0</v>
      </c>
      <c r="J995" s="46">
        <f>IFERROR(VLOOKUP($E995,'BASE DE DATOS'!$A:$I,3,0),0)</f>
        <v>0</v>
      </c>
      <c r="K995" s="46">
        <f>IFERROR(VLOOKUP($E1254,'BASE DE DATOS'!$A:$I,3,0),0)</f>
        <v>0</v>
      </c>
      <c r="L995" s="46">
        <f>IFERROR(VLOOKUP($E995,'BASE DE DATOS'!$A:$I,3,0),0)</f>
        <v>0</v>
      </c>
    </row>
    <row r="996" spans="4:12" x14ac:dyDescent="0.25">
      <c r="D996" s="46" t="str">
        <f>IFERROR(VLOOKUP($E996,'BASE DE DATOS'!$A:$I,2,0)," ")</f>
        <v xml:space="preserve"> </v>
      </c>
      <c r="F996" s="46">
        <f>IFERROR(VLOOKUP($E1009,'BASE DE DATOS'!$A:$I,3,0),0)</f>
        <v>0</v>
      </c>
      <c r="G996" s="46">
        <f>IFERROR(VLOOKUP($E996,'BASE DE DATOS'!$A:$I,3,0),0)</f>
        <v>0</v>
      </c>
      <c r="H996" s="46">
        <f>IFERROR(VLOOKUP($E996,'BASE DE DATOS'!$A:$I,3,0),0)</f>
        <v>0</v>
      </c>
      <c r="I996" s="46">
        <f>IFERROR(VLOOKUP($E996,'BASE DE DATOS'!$A:$I,3,0),0)</f>
        <v>0</v>
      </c>
      <c r="J996" s="46">
        <f>IFERROR(VLOOKUP($E996,'BASE DE DATOS'!$A:$I,3,0),0)</f>
        <v>0</v>
      </c>
      <c r="K996" s="46">
        <f>IFERROR(VLOOKUP($E1255,'BASE DE DATOS'!$A:$I,3,0),0)</f>
        <v>0</v>
      </c>
      <c r="L996" s="46">
        <f>IFERROR(VLOOKUP($E996,'BASE DE DATOS'!$A:$I,3,0),0)</f>
        <v>0</v>
      </c>
    </row>
    <row r="997" spans="4:12" x14ac:dyDescent="0.25">
      <c r="D997" s="46" t="str">
        <f>IFERROR(VLOOKUP($E997,'BASE DE DATOS'!$A:$I,2,0)," ")</f>
        <v xml:space="preserve"> </v>
      </c>
      <c r="F997" s="46">
        <f>IFERROR(VLOOKUP($E1010,'BASE DE DATOS'!$A:$I,3,0),0)</f>
        <v>0</v>
      </c>
      <c r="G997" s="46">
        <f>IFERROR(VLOOKUP($E997,'BASE DE DATOS'!$A:$I,3,0),0)</f>
        <v>0</v>
      </c>
      <c r="H997" s="46">
        <f>IFERROR(VLOOKUP($E997,'BASE DE DATOS'!$A:$I,3,0),0)</f>
        <v>0</v>
      </c>
      <c r="I997" s="46">
        <f>IFERROR(VLOOKUP($E997,'BASE DE DATOS'!$A:$I,3,0),0)</f>
        <v>0</v>
      </c>
      <c r="J997" s="46">
        <f>IFERROR(VLOOKUP($E997,'BASE DE DATOS'!$A:$I,3,0),0)</f>
        <v>0</v>
      </c>
      <c r="K997" s="46">
        <f>IFERROR(VLOOKUP($E1256,'BASE DE DATOS'!$A:$I,3,0),0)</f>
        <v>0</v>
      </c>
      <c r="L997" s="46">
        <f>IFERROR(VLOOKUP($E997,'BASE DE DATOS'!$A:$I,3,0),0)</f>
        <v>0</v>
      </c>
    </row>
    <row r="998" spans="4:12" x14ac:dyDescent="0.25">
      <c r="D998" s="46" t="str">
        <f>IFERROR(VLOOKUP($E998,'BASE DE DATOS'!$A:$I,2,0)," ")</f>
        <v xml:space="preserve"> </v>
      </c>
      <c r="F998" s="46">
        <f>IFERROR(VLOOKUP($E1011,'BASE DE DATOS'!$A:$I,3,0),0)</f>
        <v>0</v>
      </c>
      <c r="G998" s="46">
        <f>IFERROR(VLOOKUP($E998,'BASE DE DATOS'!$A:$I,3,0),0)</f>
        <v>0</v>
      </c>
      <c r="H998" s="46">
        <f>IFERROR(VLOOKUP($E998,'BASE DE DATOS'!$A:$I,3,0),0)</f>
        <v>0</v>
      </c>
      <c r="I998" s="46">
        <f>IFERROR(VLOOKUP($E998,'BASE DE DATOS'!$A:$I,3,0),0)</f>
        <v>0</v>
      </c>
      <c r="J998" s="46">
        <f>IFERROR(VLOOKUP($E998,'BASE DE DATOS'!$A:$I,3,0),0)</f>
        <v>0</v>
      </c>
      <c r="K998" s="46">
        <f>IFERROR(VLOOKUP($E1257,'BASE DE DATOS'!$A:$I,3,0),0)</f>
        <v>0</v>
      </c>
      <c r="L998" s="46">
        <f>IFERROR(VLOOKUP($E998,'BASE DE DATOS'!$A:$I,3,0),0)</f>
        <v>0</v>
      </c>
    </row>
    <row r="999" spans="4:12" x14ac:dyDescent="0.25">
      <c r="D999" s="46" t="str">
        <f>IFERROR(VLOOKUP($E999,'BASE DE DATOS'!$A:$I,2,0)," ")</f>
        <v xml:space="preserve"> </v>
      </c>
      <c r="F999" s="46">
        <f>IFERROR(VLOOKUP($E1012,'BASE DE DATOS'!$A:$I,3,0),0)</f>
        <v>0</v>
      </c>
      <c r="G999" s="46">
        <f>IFERROR(VLOOKUP($E999,'BASE DE DATOS'!$A:$I,3,0),0)</f>
        <v>0</v>
      </c>
      <c r="H999" s="46">
        <f>IFERROR(VLOOKUP($E999,'BASE DE DATOS'!$A:$I,3,0),0)</f>
        <v>0</v>
      </c>
      <c r="I999" s="46">
        <f>IFERROR(VLOOKUP($E999,'BASE DE DATOS'!$A:$I,3,0),0)</f>
        <v>0</v>
      </c>
      <c r="J999" s="46">
        <f>IFERROR(VLOOKUP($E999,'BASE DE DATOS'!$A:$I,3,0),0)</f>
        <v>0</v>
      </c>
      <c r="K999" s="46">
        <f>IFERROR(VLOOKUP($E1258,'BASE DE DATOS'!$A:$I,3,0),0)</f>
        <v>0</v>
      </c>
      <c r="L999" s="46">
        <f>IFERROR(VLOOKUP($E999,'BASE DE DATOS'!$A:$I,3,0),0)</f>
        <v>0</v>
      </c>
    </row>
    <row r="1000" spans="4:12" x14ac:dyDescent="0.25">
      <c r="D1000" s="46" t="str">
        <f>IFERROR(VLOOKUP($E1000,'BASE DE DATOS'!$A:$I,2,0)," ")</f>
        <v xml:space="preserve"> </v>
      </c>
      <c r="F1000" s="46">
        <f>IFERROR(VLOOKUP($E1013,'BASE DE DATOS'!$A:$I,3,0),0)</f>
        <v>0</v>
      </c>
      <c r="G1000" s="46">
        <f>IFERROR(VLOOKUP($E1000,'BASE DE DATOS'!$A:$I,3,0),0)</f>
        <v>0</v>
      </c>
      <c r="H1000" s="46">
        <f>IFERROR(VLOOKUP($E1000,'BASE DE DATOS'!$A:$I,3,0),0)</f>
        <v>0</v>
      </c>
      <c r="I1000" s="46">
        <f>IFERROR(VLOOKUP($E1000,'BASE DE DATOS'!$A:$I,3,0),0)</f>
        <v>0</v>
      </c>
      <c r="J1000" s="46">
        <f>IFERROR(VLOOKUP($E1000,'BASE DE DATOS'!$A:$I,3,0),0)</f>
        <v>0</v>
      </c>
      <c r="K1000" s="46">
        <f>IFERROR(VLOOKUP($E1259,'BASE DE DATOS'!$A:$I,3,0),0)</f>
        <v>0</v>
      </c>
      <c r="L1000" s="46">
        <f>IFERROR(VLOOKUP($E1000,'BASE DE DATOS'!$A:$I,3,0),0)</f>
        <v>0</v>
      </c>
    </row>
    <row r="1001" spans="4:12" x14ac:dyDescent="0.25">
      <c r="D1001" s="46" t="str">
        <f>IFERROR(VLOOKUP($E1001,'BASE DE DATOS'!$A:$I,2,0)," ")</f>
        <v xml:space="preserve"> </v>
      </c>
      <c r="F1001" s="46">
        <f>IFERROR(VLOOKUP($E1014,'BASE DE DATOS'!$A:$I,3,0),0)</f>
        <v>0</v>
      </c>
      <c r="G1001" s="46">
        <f>IFERROR(VLOOKUP($E1001,'BASE DE DATOS'!$A:$I,3,0),0)</f>
        <v>0</v>
      </c>
      <c r="H1001" s="46">
        <f>IFERROR(VLOOKUP($E1001,'BASE DE DATOS'!$A:$I,3,0),0)</f>
        <v>0</v>
      </c>
      <c r="I1001" s="46">
        <f>IFERROR(VLOOKUP($E1001,'BASE DE DATOS'!$A:$I,3,0),0)</f>
        <v>0</v>
      </c>
      <c r="J1001" s="46">
        <f>IFERROR(VLOOKUP($E1001,'BASE DE DATOS'!$A:$I,3,0),0)</f>
        <v>0</v>
      </c>
      <c r="K1001" s="46">
        <f>IFERROR(VLOOKUP($E1260,'BASE DE DATOS'!$A:$I,3,0),0)</f>
        <v>0</v>
      </c>
      <c r="L1001" s="46">
        <f>IFERROR(VLOOKUP($E1001,'BASE DE DATOS'!$A:$I,3,0),0)</f>
        <v>0</v>
      </c>
    </row>
    <row r="1002" spans="4:12" x14ac:dyDescent="0.25">
      <c r="D1002" s="46" t="str">
        <f>IFERROR(VLOOKUP($E1002,'BASE DE DATOS'!$A:$I,2,0)," ")</f>
        <v xml:space="preserve"> </v>
      </c>
      <c r="F1002" s="46">
        <f>IFERROR(VLOOKUP($E1015,'BASE DE DATOS'!$A:$I,3,0),0)</f>
        <v>0</v>
      </c>
      <c r="G1002" s="46">
        <f>IFERROR(VLOOKUP($E1002,'BASE DE DATOS'!$A:$I,3,0),0)</f>
        <v>0</v>
      </c>
      <c r="H1002" s="46">
        <f>IFERROR(VLOOKUP($E1002,'BASE DE DATOS'!$A:$I,3,0),0)</f>
        <v>0</v>
      </c>
      <c r="I1002" s="46">
        <f>IFERROR(VLOOKUP($E1002,'BASE DE DATOS'!$A:$I,3,0),0)</f>
        <v>0</v>
      </c>
      <c r="J1002" s="46">
        <f>IFERROR(VLOOKUP($E1002,'BASE DE DATOS'!$A:$I,3,0),0)</f>
        <v>0</v>
      </c>
      <c r="K1002" s="46">
        <f>IFERROR(VLOOKUP($E1261,'BASE DE DATOS'!$A:$I,3,0),0)</f>
        <v>0</v>
      </c>
      <c r="L1002" s="46">
        <f>IFERROR(VLOOKUP($E1002,'BASE DE DATOS'!$A:$I,3,0),0)</f>
        <v>0</v>
      </c>
    </row>
    <row r="1003" spans="4:12" x14ac:dyDescent="0.25">
      <c r="D1003" s="46" t="str">
        <f>IFERROR(VLOOKUP($E1003,'BASE DE DATOS'!$A:$I,2,0)," ")</f>
        <v xml:space="preserve"> </v>
      </c>
      <c r="F1003" s="46">
        <f>IFERROR(VLOOKUP($E1016,'BASE DE DATOS'!$A:$I,3,0),0)</f>
        <v>0</v>
      </c>
      <c r="G1003" s="46">
        <f>IFERROR(VLOOKUP($E1003,'BASE DE DATOS'!$A:$I,3,0),0)</f>
        <v>0</v>
      </c>
      <c r="H1003" s="46">
        <f>IFERROR(VLOOKUP($E1003,'BASE DE DATOS'!$A:$I,3,0),0)</f>
        <v>0</v>
      </c>
      <c r="I1003" s="46">
        <f>IFERROR(VLOOKUP($E1003,'BASE DE DATOS'!$A:$I,3,0),0)</f>
        <v>0</v>
      </c>
      <c r="J1003" s="46">
        <f>IFERROR(VLOOKUP($E1003,'BASE DE DATOS'!$A:$I,3,0),0)</f>
        <v>0</v>
      </c>
      <c r="K1003" s="46">
        <f>IFERROR(VLOOKUP($E1262,'BASE DE DATOS'!$A:$I,3,0),0)</f>
        <v>0</v>
      </c>
      <c r="L1003" s="46">
        <f>IFERROR(VLOOKUP($E1003,'BASE DE DATOS'!$A:$I,3,0),0)</f>
        <v>0</v>
      </c>
    </row>
    <row r="1004" spans="4:12" x14ac:dyDescent="0.25">
      <c r="D1004" s="46" t="str">
        <f>IFERROR(VLOOKUP($E1004,'BASE DE DATOS'!$A:$I,2,0)," ")</f>
        <v xml:space="preserve"> </v>
      </c>
      <c r="F1004" s="46">
        <f>IFERROR(VLOOKUP($E1017,'BASE DE DATOS'!$A:$I,3,0),0)</f>
        <v>0</v>
      </c>
      <c r="G1004" s="46">
        <f>IFERROR(VLOOKUP($E1004,'BASE DE DATOS'!$A:$I,3,0),0)</f>
        <v>0</v>
      </c>
      <c r="H1004" s="46">
        <f>IFERROR(VLOOKUP($E1004,'BASE DE DATOS'!$A:$I,3,0),0)</f>
        <v>0</v>
      </c>
      <c r="I1004" s="46">
        <f>IFERROR(VLOOKUP($E1004,'BASE DE DATOS'!$A:$I,3,0),0)</f>
        <v>0</v>
      </c>
      <c r="J1004" s="46">
        <f>IFERROR(VLOOKUP($E1004,'BASE DE DATOS'!$A:$I,3,0),0)</f>
        <v>0</v>
      </c>
      <c r="K1004" s="46">
        <f>IFERROR(VLOOKUP($E1263,'BASE DE DATOS'!$A:$I,3,0),0)</f>
        <v>0</v>
      </c>
      <c r="L1004" s="46">
        <f>IFERROR(VLOOKUP($E1004,'BASE DE DATOS'!$A:$I,3,0),0)</f>
        <v>0</v>
      </c>
    </row>
    <row r="1005" spans="4:12" x14ac:dyDescent="0.25">
      <c r="D1005" s="46" t="str">
        <f>IFERROR(VLOOKUP($E1005,'BASE DE DATOS'!$A:$I,2,0)," ")</f>
        <v xml:space="preserve"> </v>
      </c>
      <c r="F1005" s="46">
        <f>IFERROR(VLOOKUP($E1018,'BASE DE DATOS'!$A:$I,3,0),0)</f>
        <v>0</v>
      </c>
      <c r="G1005" s="46">
        <f>IFERROR(VLOOKUP($E1005,'BASE DE DATOS'!$A:$I,3,0),0)</f>
        <v>0</v>
      </c>
      <c r="H1005" s="46">
        <f>IFERROR(VLOOKUP($E1005,'BASE DE DATOS'!$A:$I,3,0),0)</f>
        <v>0</v>
      </c>
      <c r="I1005" s="46">
        <f>IFERROR(VLOOKUP($E1005,'BASE DE DATOS'!$A:$I,3,0),0)</f>
        <v>0</v>
      </c>
      <c r="J1005" s="46">
        <f>IFERROR(VLOOKUP($E1005,'BASE DE DATOS'!$A:$I,3,0),0)</f>
        <v>0</v>
      </c>
      <c r="K1005" s="46">
        <f>IFERROR(VLOOKUP($E1264,'BASE DE DATOS'!$A:$I,3,0),0)</f>
        <v>0</v>
      </c>
      <c r="L1005" s="46">
        <f>IFERROR(VLOOKUP($E1005,'BASE DE DATOS'!$A:$I,3,0),0)</f>
        <v>0</v>
      </c>
    </row>
    <row r="1006" spans="4:12" x14ac:dyDescent="0.25">
      <c r="D1006" s="46" t="str">
        <f>IFERROR(VLOOKUP($E1006,'BASE DE DATOS'!$A:$I,2,0)," ")</f>
        <v xml:space="preserve"> </v>
      </c>
      <c r="F1006" s="46">
        <f>IFERROR(VLOOKUP($E1019,'BASE DE DATOS'!$A:$I,3,0),0)</f>
        <v>0</v>
      </c>
      <c r="G1006" s="46">
        <f>IFERROR(VLOOKUP($E1006,'BASE DE DATOS'!$A:$I,3,0),0)</f>
        <v>0</v>
      </c>
      <c r="H1006" s="46">
        <f>IFERROR(VLOOKUP($E1006,'BASE DE DATOS'!$A:$I,3,0),0)</f>
        <v>0</v>
      </c>
      <c r="I1006" s="46">
        <f>IFERROR(VLOOKUP($E1006,'BASE DE DATOS'!$A:$I,3,0),0)</f>
        <v>0</v>
      </c>
      <c r="J1006" s="46">
        <f>IFERROR(VLOOKUP($E1006,'BASE DE DATOS'!$A:$I,3,0),0)</f>
        <v>0</v>
      </c>
      <c r="K1006" s="46">
        <f>IFERROR(VLOOKUP($E1265,'BASE DE DATOS'!$A:$I,3,0),0)</f>
        <v>0</v>
      </c>
      <c r="L1006" s="46">
        <f>IFERROR(VLOOKUP($E1006,'BASE DE DATOS'!$A:$I,3,0),0)</f>
        <v>0</v>
      </c>
    </row>
    <row r="1007" spans="4:12" x14ac:dyDescent="0.25">
      <c r="D1007" s="46" t="str">
        <f>IFERROR(VLOOKUP($E1007,'BASE DE DATOS'!$A:$I,2,0)," ")</f>
        <v xml:space="preserve"> </v>
      </c>
      <c r="F1007" s="46">
        <f>IFERROR(VLOOKUP($E1020,'BASE DE DATOS'!$A:$I,3,0),0)</f>
        <v>0</v>
      </c>
      <c r="G1007" s="46">
        <f>IFERROR(VLOOKUP($E1007,'BASE DE DATOS'!$A:$I,3,0),0)</f>
        <v>0</v>
      </c>
      <c r="H1007" s="46">
        <f>IFERROR(VLOOKUP($E1007,'BASE DE DATOS'!$A:$I,3,0),0)</f>
        <v>0</v>
      </c>
      <c r="I1007" s="46">
        <f>IFERROR(VLOOKUP($E1007,'BASE DE DATOS'!$A:$I,3,0),0)</f>
        <v>0</v>
      </c>
      <c r="J1007" s="46">
        <f>IFERROR(VLOOKUP($E1007,'BASE DE DATOS'!$A:$I,3,0),0)</f>
        <v>0</v>
      </c>
      <c r="K1007" s="46">
        <f>IFERROR(VLOOKUP($E1266,'BASE DE DATOS'!$A:$I,3,0),0)</f>
        <v>0</v>
      </c>
      <c r="L1007" s="46">
        <f>IFERROR(VLOOKUP($E1007,'BASE DE DATOS'!$A:$I,3,0),0)</f>
        <v>0</v>
      </c>
    </row>
    <row r="1008" spans="4:12" x14ac:dyDescent="0.25">
      <c r="D1008" s="46" t="str">
        <f>IFERROR(VLOOKUP($E1008,'BASE DE DATOS'!$A:$I,2,0)," ")</f>
        <v xml:space="preserve"> </v>
      </c>
      <c r="F1008" s="46">
        <f>IFERROR(VLOOKUP($E1021,'BASE DE DATOS'!$A:$I,3,0),0)</f>
        <v>0</v>
      </c>
      <c r="G1008" s="46">
        <f>IFERROR(VLOOKUP($E1008,'BASE DE DATOS'!$A:$I,3,0),0)</f>
        <v>0</v>
      </c>
      <c r="H1008" s="46">
        <f>IFERROR(VLOOKUP($E1008,'BASE DE DATOS'!$A:$I,3,0),0)</f>
        <v>0</v>
      </c>
      <c r="I1008" s="46">
        <f>IFERROR(VLOOKUP($E1008,'BASE DE DATOS'!$A:$I,3,0),0)</f>
        <v>0</v>
      </c>
      <c r="J1008" s="46">
        <f>IFERROR(VLOOKUP($E1008,'BASE DE DATOS'!$A:$I,3,0),0)</f>
        <v>0</v>
      </c>
      <c r="K1008" s="46">
        <f>IFERROR(VLOOKUP($E1267,'BASE DE DATOS'!$A:$I,3,0),0)</f>
        <v>0</v>
      </c>
      <c r="L1008" s="46">
        <f>IFERROR(VLOOKUP($E1008,'BASE DE DATOS'!$A:$I,3,0),0)</f>
        <v>0</v>
      </c>
    </row>
    <row r="1009" spans="4:12" x14ac:dyDescent="0.25">
      <c r="D1009" s="46" t="str">
        <f>IFERROR(VLOOKUP($E1009,'BASE DE DATOS'!$A:$I,2,0)," ")</f>
        <v xml:space="preserve"> </v>
      </c>
      <c r="F1009" s="46">
        <f>IFERROR(VLOOKUP($E1022,'BASE DE DATOS'!$A:$I,3,0),0)</f>
        <v>0</v>
      </c>
      <c r="G1009" s="46">
        <f>IFERROR(VLOOKUP($E1009,'BASE DE DATOS'!$A:$I,3,0),0)</f>
        <v>0</v>
      </c>
      <c r="H1009" s="46">
        <f>IFERROR(VLOOKUP($E1009,'BASE DE DATOS'!$A:$I,3,0),0)</f>
        <v>0</v>
      </c>
      <c r="I1009" s="46">
        <f>IFERROR(VLOOKUP($E1009,'BASE DE DATOS'!$A:$I,3,0),0)</f>
        <v>0</v>
      </c>
      <c r="J1009" s="46">
        <f>IFERROR(VLOOKUP($E1009,'BASE DE DATOS'!$A:$I,3,0),0)</f>
        <v>0</v>
      </c>
      <c r="K1009" s="46">
        <f>IFERROR(VLOOKUP($E1268,'BASE DE DATOS'!$A:$I,3,0),0)</f>
        <v>0</v>
      </c>
      <c r="L1009" s="46">
        <f>IFERROR(VLOOKUP($E1009,'BASE DE DATOS'!$A:$I,3,0),0)</f>
        <v>0</v>
      </c>
    </row>
    <row r="1010" spans="4:12" x14ac:dyDescent="0.25">
      <c r="D1010" s="46" t="str">
        <f>IFERROR(VLOOKUP($E1010,'BASE DE DATOS'!$A:$I,2,0)," ")</f>
        <v xml:space="preserve"> </v>
      </c>
      <c r="F1010" s="46">
        <f>IFERROR(VLOOKUP($E1023,'BASE DE DATOS'!$A:$I,3,0),0)</f>
        <v>0</v>
      </c>
      <c r="G1010" s="46">
        <f>IFERROR(VLOOKUP($E1010,'BASE DE DATOS'!$A:$I,3,0),0)</f>
        <v>0</v>
      </c>
      <c r="H1010" s="46">
        <f>IFERROR(VLOOKUP($E1010,'BASE DE DATOS'!$A:$I,3,0),0)</f>
        <v>0</v>
      </c>
      <c r="I1010" s="46">
        <f>IFERROR(VLOOKUP($E1010,'BASE DE DATOS'!$A:$I,3,0),0)</f>
        <v>0</v>
      </c>
      <c r="J1010" s="46">
        <f>IFERROR(VLOOKUP($E1010,'BASE DE DATOS'!$A:$I,3,0),0)</f>
        <v>0</v>
      </c>
      <c r="K1010" s="46">
        <f>IFERROR(VLOOKUP($E1269,'BASE DE DATOS'!$A:$I,3,0),0)</f>
        <v>0</v>
      </c>
      <c r="L1010" s="46">
        <f>IFERROR(VLOOKUP($E1010,'BASE DE DATOS'!$A:$I,3,0),0)</f>
        <v>0</v>
      </c>
    </row>
    <row r="1011" spans="4:12" x14ac:dyDescent="0.25">
      <c r="D1011" s="46" t="str">
        <f>IFERROR(VLOOKUP($E1011,'BASE DE DATOS'!$A:$I,2,0)," ")</f>
        <v xml:space="preserve"> </v>
      </c>
      <c r="F1011" s="46">
        <f>IFERROR(VLOOKUP($E1024,'BASE DE DATOS'!$A:$I,3,0),0)</f>
        <v>0</v>
      </c>
      <c r="G1011" s="46">
        <f>IFERROR(VLOOKUP($E1011,'BASE DE DATOS'!$A:$I,3,0),0)</f>
        <v>0</v>
      </c>
      <c r="H1011" s="46">
        <f>IFERROR(VLOOKUP($E1011,'BASE DE DATOS'!$A:$I,3,0),0)</f>
        <v>0</v>
      </c>
      <c r="I1011" s="46">
        <f>IFERROR(VLOOKUP($E1011,'BASE DE DATOS'!$A:$I,3,0),0)</f>
        <v>0</v>
      </c>
      <c r="J1011" s="46">
        <f>IFERROR(VLOOKUP($E1011,'BASE DE DATOS'!$A:$I,3,0),0)</f>
        <v>0</v>
      </c>
      <c r="K1011" s="46">
        <f>IFERROR(VLOOKUP($E1270,'BASE DE DATOS'!$A:$I,3,0),0)</f>
        <v>0</v>
      </c>
      <c r="L1011" s="46">
        <f>IFERROR(VLOOKUP($E1011,'BASE DE DATOS'!$A:$I,3,0),0)</f>
        <v>0</v>
      </c>
    </row>
    <row r="1012" spans="4:12" x14ac:dyDescent="0.25">
      <c r="D1012" s="46" t="str">
        <f>IFERROR(VLOOKUP($E1012,'BASE DE DATOS'!$A:$I,2,0)," ")</f>
        <v xml:space="preserve"> </v>
      </c>
      <c r="F1012" s="46">
        <f>IFERROR(VLOOKUP($E1025,'BASE DE DATOS'!$A:$I,3,0),0)</f>
        <v>0</v>
      </c>
      <c r="G1012" s="46">
        <f>IFERROR(VLOOKUP($E1012,'BASE DE DATOS'!$A:$I,3,0),0)</f>
        <v>0</v>
      </c>
      <c r="H1012" s="46">
        <f>IFERROR(VLOOKUP($E1012,'BASE DE DATOS'!$A:$I,3,0),0)</f>
        <v>0</v>
      </c>
      <c r="I1012" s="46">
        <f>IFERROR(VLOOKUP($E1012,'BASE DE DATOS'!$A:$I,3,0),0)</f>
        <v>0</v>
      </c>
      <c r="J1012" s="46">
        <f>IFERROR(VLOOKUP($E1012,'BASE DE DATOS'!$A:$I,3,0),0)</f>
        <v>0</v>
      </c>
      <c r="K1012" s="46">
        <f>IFERROR(VLOOKUP($E1271,'BASE DE DATOS'!$A:$I,3,0),0)</f>
        <v>0</v>
      </c>
      <c r="L1012" s="46">
        <f>IFERROR(VLOOKUP($E1012,'BASE DE DATOS'!$A:$I,3,0),0)</f>
        <v>0</v>
      </c>
    </row>
    <row r="1013" spans="4:12" x14ac:dyDescent="0.25">
      <c r="D1013" s="46" t="str">
        <f>IFERROR(VLOOKUP($E1013,'BASE DE DATOS'!$A:$I,2,0)," ")</f>
        <v xml:space="preserve"> </v>
      </c>
      <c r="F1013" s="46">
        <f>IFERROR(VLOOKUP($E1026,'BASE DE DATOS'!$A:$I,3,0),0)</f>
        <v>0</v>
      </c>
      <c r="G1013" s="46">
        <f>IFERROR(VLOOKUP($E1013,'BASE DE DATOS'!$A:$I,3,0),0)</f>
        <v>0</v>
      </c>
      <c r="H1013" s="46">
        <f>IFERROR(VLOOKUP($E1013,'BASE DE DATOS'!$A:$I,3,0),0)</f>
        <v>0</v>
      </c>
      <c r="I1013" s="46">
        <f>IFERROR(VLOOKUP($E1013,'BASE DE DATOS'!$A:$I,3,0),0)</f>
        <v>0</v>
      </c>
      <c r="J1013" s="46">
        <f>IFERROR(VLOOKUP($E1013,'BASE DE DATOS'!$A:$I,3,0),0)</f>
        <v>0</v>
      </c>
      <c r="K1013" s="46">
        <f>IFERROR(VLOOKUP($E1272,'BASE DE DATOS'!$A:$I,3,0),0)</f>
        <v>0</v>
      </c>
      <c r="L1013" s="46">
        <f>IFERROR(VLOOKUP($E1013,'BASE DE DATOS'!$A:$I,3,0),0)</f>
        <v>0</v>
      </c>
    </row>
    <row r="1014" spans="4:12" x14ac:dyDescent="0.25">
      <c r="D1014" s="46" t="str">
        <f>IFERROR(VLOOKUP($E1014,'BASE DE DATOS'!$A:$I,2,0)," ")</f>
        <v xml:space="preserve"> </v>
      </c>
      <c r="F1014" s="46">
        <f>IFERROR(VLOOKUP($E1027,'BASE DE DATOS'!$A:$I,3,0),0)</f>
        <v>0</v>
      </c>
      <c r="G1014" s="46">
        <f>IFERROR(VLOOKUP($E1014,'BASE DE DATOS'!$A:$I,3,0),0)</f>
        <v>0</v>
      </c>
      <c r="H1014" s="46">
        <f>IFERROR(VLOOKUP($E1014,'BASE DE DATOS'!$A:$I,3,0),0)</f>
        <v>0</v>
      </c>
      <c r="I1014" s="46">
        <f>IFERROR(VLOOKUP($E1014,'BASE DE DATOS'!$A:$I,3,0),0)</f>
        <v>0</v>
      </c>
      <c r="J1014" s="46">
        <f>IFERROR(VLOOKUP($E1014,'BASE DE DATOS'!$A:$I,3,0),0)</f>
        <v>0</v>
      </c>
      <c r="K1014" s="46">
        <f>IFERROR(VLOOKUP($E1273,'BASE DE DATOS'!$A:$I,3,0),0)</f>
        <v>0</v>
      </c>
      <c r="L1014" s="46">
        <f>IFERROR(VLOOKUP($E1014,'BASE DE DATOS'!$A:$I,3,0),0)</f>
        <v>0</v>
      </c>
    </row>
    <row r="1015" spans="4:12" x14ac:dyDescent="0.25">
      <c r="D1015" s="46" t="str">
        <f>IFERROR(VLOOKUP($E1015,'BASE DE DATOS'!$A:$I,2,0)," ")</f>
        <v xml:space="preserve"> </v>
      </c>
      <c r="F1015" s="46">
        <f>IFERROR(VLOOKUP($E1028,'BASE DE DATOS'!$A:$I,3,0),0)</f>
        <v>0</v>
      </c>
      <c r="G1015" s="46">
        <f>IFERROR(VLOOKUP($E1015,'BASE DE DATOS'!$A:$I,3,0),0)</f>
        <v>0</v>
      </c>
      <c r="H1015" s="46">
        <f>IFERROR(VLOOKUP($E1015,'BASE DE DATOS'!$A:$I,3,0),0)</f>
        <v>0</v>
      </c>
      <c r="I1015" s="46">
        <f>IFERROR(VLOOKUP($E1015,'BASE DE DATOS'!$A:$I,3,0),0)</f>
        <v>0</v>
      </c>
      <c r="J1015" s="46">
        <f>IFERROR(VLOOKUP($E1015,'BASE DE DATOS'!$A:$I,3,0),0)</f>
        <v>0</v>
      </c>
      <c r="K1015" s="46">
        <f>IFERROR(VLOOKUP($E1274,'BASE DE DATOS'!$A:$I,3,0),0)</f>
        <v>0</v>
      </c>
      <c r="L1015" s="46">
        <f>IFERROR(VLOOKUP($E1015,'BASE DE DATOS'!$A:$I,3,0),0)</f>
        <v>0</v>
      </c>
    </row>
    <row r="1016" spans="4:12" x14ac:dyDescent="0.25">
      <c r="D1016" s="46" t="str">
        <f>IFERROR(VLOOKUP($E1016,'BASE DE DATOS'!$A:$I,2,0)," ")</f>
        <v xml:space="preserve"> </v>
      </c>
      <c r="F1016" s="46">
        <f>IFERROR(VLOOKUP($E1029,'BASE DE DATOS'!$A:$I,3,0),0)</f>
        <v>0</v>
      </c>
      <c r="G1016" s="46">
        <f>IFERROR(VLOOKUP($E1016,'BASE DE DATOS'!$A:$I,3,0),0)</f>
        <v>0</v>
      </c>
      <c r="H1016" s="46">
        <f>IFERROR(VLOOKUP($E1016,'BASE DE DATOS'!$A:$I,3,0),0)</f>
        <v>0</v>
      </c>
      <c r="I1016" s="46">
        <f>IFERROR(VLOOKUP($E1016,'BASE DE DATOS'!$A:$I,3,0),0)</f>
        <v>0</v>
      </c>
      <c r="J1016" s="46">
        <f>IFERROR(VLOOKUP($E1016,'BASE DE DATOS'!$A:$I,3,0),0)</f>
        <v>0</v>
      </c>
      <c r="K1016" s="46">
        <f>IFERROR(VLOOKUP($E1275,'BASE DE DATOS'!$A:$I,3,0),0)</f>
        <v>0</v>
      </c>
      <c r="L1016" s="46">
        <f>IFERROR(VLOOKUP($E1016,'BASE DE DATOS'!$A:$I,3,0),0)</f>
        <v>0</v>
      </c>
    </row>
    <row r="1017" spans="4:12" x14ac:dyDescent="0.25">
      <c r="D1017" s="46" t="str">
        <f>IFERROR(VLOOKUP($E1017,'BASE DE DATOS'!$A:$I,2,0)," ")</f>
        <v xml:space="preserve"> </v>
      </c>
      <c r="F1017" s="46">
        <f>IFERROR(VLOOKUP($E1030,'BASE DE DATOS'!$A:$I,3,0),0)</f>
        <v>0</v>
      </c>
      <c r="G1017" s="46">
        <f>IFERROR(VLOOKUP($E1017,'BASE DE DATOS'!$A:$I,3,0),0)</f>
        <v>0</v>
      </c>
      <c r="H1017" s="46">
        <f>IFERROR(VLOOKUP($E1017,'BASE DE DATOS'!$A:$I,3,0),0)</f>
        <v>0</v>
      </c>
      <c r="I1017" s="46">
        <f>IFERROR(VLOOKUP($E1017,'BASE DE DATOS'!$A:$I,3,0),0)</f>
        <v>0</v>
      </c>
      <c r="J1017" s="46">
        <f>IFERROR(VLOOKUP($E1017,'BASE DE DATOS'!$A:$I,3,0),0)</f>
        <v>0</v>
      </c>
      <c r="K1017" s="46">
        <f>IFERROR(VLOOKUP($E1276,'BASE DE DATOS'!$A:$I,3,0),0)</f>
        <v>0</v>
      </c>
      <c r="L1017" s="46">
        <f>IFERROR(VLOOKUP($E1017,'BASE DE DATOS'!$A:$I,3,0),0)</f>
        <v>0</v>
      </c>
    </row>
    <row r="1018" spans="4:12" x14ac:dyDescent="0.25">
      <c r="D1018" s="46" t="str">
        <f>IFERROR(VLOOKUP($E1018,'BASE DE DATOS'!$A:$I,2,0)," ")</f>
        <v xml:space="preserve"> </v>
      </c>
      <c r="F1018" s="46">
        <f>IFERROR(VLOOKUP($E1031,'BASE DE DATOS'!$A:$I,3,0),0)</f>
        <v>0</v>
      </c>
      <c r="G1018" s="46">
        <f>IFERROR(VLOOKUP($E1018,'BASE DE DATOS'!$A:$I,3,0),0)</f>
        <v>0</v>
      </c>
      <c r="H1018" s="46">
        <f>IFERROR(VLOOKUP($E1018,'BASE DE DATOS'!$A:$I,3,0),0)</f>
        <v>0</v>
      </c>
      <c r="I1018" s="46">
        <f>IFERROR(VLOOKUP($E1018,'BASE DE DATOS'!$A:$I,3,0),0)</f>
        <v>0</v>
      </c>
      <c r="J1018" s="46">
        <f>IFERROR(VLOOKUP($E1018,'BASE DE DATOS'!$A:$I,3,0),0)</f>
        <v>0</v>
      </c>
      <c r="K1018" s="46">
        <f>IFERROR(VLOOKUP($E1277,'BASE DE DATOS'!$A:$I,3,0),0)</f>
        <v>0</v>
      </c>
      <c r="L1018" s="46">
        <f>IFERROR(VLOOKUP($E1018,'BASE DE DATOS'!$A:$I,3,0),0)</f>
        <v>0</v>
      </c>
    </row>
    <row r="1019" spans="4:12" x14ac:dyDescent="0.25">
      <c r="D1019" s="46" t="str">
        <f>IFERROR(VLOOKUP($E1019,'BASE DE DATOS'!$A:$I,2,0)," ")</f>
        <v xml:space="preserve"> </v>
      </c>
      <c r="F1019" s="46">
        <f>IFERROR(VLOOKUP($E1032,'BASE DE DATOS'!$A:$I,3,0),0)</f>
        <v>0</v>
      </c>
      <c r="G1019" s="46">
        <f>IFERROR(VLOOKUP($E1019,'BASE DE DATOS'!$A:$I,3,0),0)</f>
        <v>0</v>
      </c>
      <c r="H1019" s="46">
        <f>IFERROR(VLOOKUP($E1019,'BASE DE DATOS'!$A:$I,3,0),0)</f>
        <v>0</v>
      </c>
      <c r="I1019" s="46">
        <f>IFERROR(VLOOKUP($E1019,'BASE DE DATOS'!$A:$I,3,0),0)</f>
        <v>0</v>
      </c>
      <c r="J1019" s="46">
        <f>IFERROR(VLOOKUP($E1019,'BASE DE DATOS'!$A:$I,3,0),0)</f>
        <v>0</v>
      </c>
      <c r="K1019" s="46">
        <f>IFERROR(VLOOKUP($E1278,'BASE DE DATOS'!$A:$I,3,0),0)</f>
        <v>0</v>
      </c>
      <c r="L1019" s="46">
        <f>IFERROR(VLOOKUP($E1019,'BASE DE DATOS'!$A:$I,3,0),0)</f>
        <v>0</v>
      </c>
    </row>
    <row r="1020" spans="4:12" x14ac:dyDescent="0.25">
      <c r="D1020" s="46" t="str">
        <f>IFERROR(VLOOKUP($E1020,'BASE DE DATOS'!$A:$I,2,0)," ")</f>
        <v xml:space="preserve"> </v>
      </c>
      <c r="F1020" s="46">
        <f>IFERROR(VLOOKUP($E1033,'BASE DE DATOS'!$A:$I,3,0),0)</f>
        <v>0</v>
      </c>
      <c r="G1020" s="46">
        <f>IFERROR(VLOOKUP($E1020,'BASE DE DATOS'!$A:$I,3,0),0)</f>
        <v>0</v>
      </c>
      <c r="H1020" s="46">
        <f>IFERROR(VLOOKUP($E1020,'BASE DE DATOS'!$A:$I,3,0),0)</f>
        <v>0</v>
      </c>
      <c r="I1020" s="46">
        <f>IFERROR(VLOOKUP($E1020,'BASE DE DATOS'!$A:$I,3,0),0)</f>
        <v>0</v>
      </c>
      <c r="J1020" s="46">
        <f>IFERROR(VLOOKUP($E1020,'BASE DE DATOS'!$A:$I,3,0),0)</f>
        <v>0</v>
      </c>
      <c r="K1020" s="46">
        <f>IFERROR(VLOOKUP($E1279,'BASE DE DATOS'!$A:$I,3,0),0)</f>
        <v>0</v>
      </c>
      <c r="L1020" s="46">
        <f>IFERROR(VLOOKUP($E1020,'BASE DE DATOS'!$A:$I,3,0),0)</f>
        <v>0</v>
      </c>
    </row>
    <row r="1021" spans="4:12" x14ac:dyDescent="0.25">
      <c r="D1021" s="46" t="str">
        <f>IFERROR(VLOOKUP($E1021,'BASE DE DATOS'!$A:$I,2,0)," ")</f>
        <v xml:space="preserve"> </v>
      </c>
      <c r="F1021" s="46">
        <f>IFERROR(VLOOKUP($E1034,'BASE DE DATOS'!$A:$I,3,0),0)</f>
        <v>0</v>
      </c>
      <c r="G1021" s="46">
        <f>IFERROR(VLOOKUP($E1021,'BASE DE DATOS'!$A:$I,3,0),0)</f>
        <v>0</v>
      </c>
      <c r="H1021" s="46">
        <f>IFERROR(VLOOKUP($E1021,'BASE DE DATOS'!$A:$I,3,0),0)</f>
        <v>0</v>
      </c>
      <c r="I1021" s="46">
        <f>IFERROR(VLOOKUP($E1021,'BASE DE DATOS'!$A:$I,3,0),0)</f>
        <v>0</v>
      </c>
      <c r="J1021" s="46">
        <f>IFERROR(VLOOKUP($E1021,'BASE DE DATOS'!$A:$I,3,0),0)</f>
        <v>0</v>
      </c>
      <c r="K1021" s="46">
        <f>IFERROR(VLOOKUP($E1280,'BASE DE DATOS'!$A:$I,3,0),0)</f>
        <v>0</v>
      </c>
      <c r="L1021" s="46">
        <f>IFERROR(VLOOKUP($E1021,'BASE DE DATOS'!$A:$I,3,0),0)</f>
        <v>0</v>
      </c>
    </row>
    <row r="1022" spans="4:12" x14ac:dyDescent="0.25">
      <c r="D1022" s="46" t="str">
        <f>IFERROR(VLOOKUP($E1022,'BASE DE DATOS'!$A:$I,2,0)," ")</f>
        <v xml:space="preserve"> </v>
      </c>
      <c r="F1022" s="46">
        <f>IFERROR(VLOOKUP($E1035,'BASE DE DATOS'!$A:$I,3,0),0)</f>
        <v>0</v>
      </c>
      <c r="G1022" s="46">
        <f>IFERROR(VLOOKUP($E1022,'BASE DE DATOS'!$A:$I,3,0),0)</f>
        <v>0</v>
      </c>
      <c r="H1022" s="46">
        <f>IFERROR(VLOOKUP($E1022,'BASE DE DATOS'!$A:$I,3,0),0)</f>
        <v>0</v>
      </c>
      <c r="I1022" s="46">
        <f>IFERROR(VLOOKUP($E1022,'BASE DE DATOS'!$A:$I,3,0),0)</f>
        <v>0</v>
      </c>
      <c r="J1022" s="46">
        <f>IFERROR(VLOOKUP($E1022,'BASE DE DATOS'!$A:$I,3,0),0)</f>
        <v>0</v>
      </c>
      <c r="K1022" s="46">
        <f>IFERROR(VLOOKUP($E1281,'BASE DE DATOS'!$A:$I,3,0),0)</f>
        <v>0</v>
      </c>
      <c r="L1022" s="46">
        <f>IFERROR(VLOOKUP($E1022,'BASE DE DATOS'!$A:$I,3,0),0)</f>
        <v>0</v>
      </c>
    </row>
    <row r="1023" spans="4:12" x14ac:dyDescent="0.25">
      <c r="D1023" s="46" t="str">
        <f>IFERROR(VLOOKUP($E1023,'BASE DE DATOS'!$A:$I,2,0)," ")</f>
        <v xml:space="preserve"> </v>
      </c>
      <c r="F1023" s="46">
        <f>IFERROR(VLOOKUP($E1036,'BASE DE DATOS'!$A:$I,3,0),0)</f>
        <v>0</v>
      </c>
      <c r="G1023" s="46">
        <f>IFERROR(VLOOKUP($E1023,'BASE DE DATOS'!$A:$I,3,0),0)</f>
        <v>0</v>
      </c>
      <c r="H1023" s="46">
        <f>IFERROR(VLOOKUP($E1023,'BASE DE DATOS'!$A:$I,3,0),0)</f>
        <v>0</v>
      </c>
      <c r="I1023" s="46">
        <f>IFERROR(VLOOKUP($E1023,'BASE DE DATOS'!$A:$I,3,0),0)</f>
        <v>0</v>
      </c>
      <c r="J1023" s="46">
        <f>IFERROR(VLOOKUP($E1023,'BASE DE DATOS'!$A:$I,3,0),0)</f>
        <v>0</v>
      </c>
      <c r="K1023" s="46">
        <f>IFERROR(VLOOKUP($E1282,'BASE DE DATOS'!$A:$I,3,0),0)</f>
        <v>0</v>
      </c>
      <c r="L1023" s="46">
        <f>IFERROR(VLOOKUP($E1023,'BASE DE DATOS'!$A:$I,3,0),0)</f>
        <v>0</v>
      </c>
    </row>
    <row r="1024" spans="4:12" x14ac:dyDescent="0.25">
      <c r="D1024" s="46" t="str">
        <f>IFERROR(VLOOKUP($E1024,'BASE DE DATOS'!$A:$I,2,0)," ")</f>
        <v xml:space="preserve"> </v>
      </c>
      <c r="F1024" s="46">
        <f>IFERROR(VLOOKUP($E1037,'BASE DE DATOS'!$A:$I,3,0),0)</f>
        <v>0</v>
      </c>
      <c r="G1024" s="46">
        <f>IFERROR(VLOOKUP($E1024,'BASE DE DATOS'!$A:$I,3,0),0)</f>
        <v>0</v>
      </c>
      <c r="H1024" s="46">
        <f>IFERROR(VLOOKUP($E1024,'BASE DE DATOS'!$A:$I,3,0),0)</f>
        <v>0</v>
      </c>
      <c r="I1024" s="46">
        <f>IFERROR(VLOOKUP($E1024,'BASE DE DATOS'!$A:$I,3,0),0)</f>
        <v>0</v>
      </c>
      <c r="J1024" s="46">
        <f>IFERROR(VLOOKUP($E1024,'BASE DE DATOS'!$A:$I,3,0),0)</f>
        <v>0</v>
      </c>
      <c r="K1024" s="46">
        <f>IFERROR(VLOOKUP($E1283,'BASE DE DATOS'!$A:$I,3,0),0)</f>
        <v>0</v>
      </c>
      <c r="L1024" s="46">
        <f>IFERROR(VLOOKUP($E1024,'BASE DE DATOS'!$A:$I,3,0),0)</f>
        <v>0</v>
      </c>
    </row>
    <row r="1025" spans="4:12" x14ac:dyDescent="0.25">
      <c r="D1025" s="46" t="str">
        <f>IFERROR(VLOOKUP($E1025,'BASE DE DATOS'!$A:$I,2,0)," ")</f>
        <v xml:space="preserve"> </v>
      </c>
      <c r="F1025" s="46">
        <f>IFERROR(VLOOKUP($E1038,'BASE DE DATOS'!$A:$I,3,0),0)</f>
        <v>0</v>
      </c>
      <c r="G1025" s="46">
        <f>IFERROR(VLOOKUP($E1025,'BASE DE DATOS'!$A:$I,3,0),0)</f>
        <v>0</v>
      </c>
      <c r="H1025" s="46">
        <f>IFERROR(VLOOKUP($E1025,'BASE DE DATOS'!$A:$I,3,0),0)</f>
        <v>0</v>
      </c>
      <c r="I1025" s="46">
        <f>IFERROR(VLOOKUP($E1025,'BASE DE DATOS'!$A:$I,3,0),0)</f>
        <v>0</v>
      </c>
      <c r="J1025" s="46">
        <f>IFERROR(VLOOKUP($E1025,'BASE DE DATOS'!$A:$I,3,0),0)</f>
        <v>0</v>
      </c>
      <c r="K1025" s="46">
        <f>IFERROR(VLOOKUP($E1284,'BASE DE DATOS'!$A:$I,3,0),0)</f>
        <v>0</v>
      </c>
      <c r="L1025" s="46">
        <f>IFERROR(VLOOKUP($E1025,'BASE DE DATOS'!$A:$I,3,0),0)</f>
        <v>0</v>
      </c>
    </row>
    <row r="1026" spans="4:12" x14ac:dyDescent="0.25">
      <c r="D1026" s="46" t="str">
        <f>IFERROR(VLOOKUP($E1026,'BASE DE DATOS'!$A:$I,2,0)," ")</f>
        <v xml:space="preserve"> </v>
      </c>
      <c r="F1026" s="46">
        <f>IFERROR(VLOOKUP($E1039,'BASE DE DATOS'!$A:$I,3,0),0)</f>
        <v>0</v>
      </c>
      <c r="G1026" s="46">
        <f>IFERROR(VLOOKUP($E1026,'BASE DE DATOS'!$A:$I,3,0),0)</f>
        <v>0</v>
      </c>
      <c r="H1026" s="46">
        <f>IFERROR(VLOOKUP($E1026,'BASE DE DATOS'!$A:$I,3,0),0)</f>
        <v>0</v>
      </c>
      <c r="I1026" s="46">
        <f>IFERROR(VLOOKUP($E1026,'BASE DE DATOS'!$A:$I,3,0),0)</f>
        <v>0</v>
      </c>
      <c r="J1026" s="46">
        <f>IFERROR(VLOOKUP($E1026,'BASE DE DATOS'!$A:$I,3,0),0)</f>
        <v>0</v>
      </c>
      <c r="K1026" s="46">
        <f>IFERROR(VLOOKUP($E1285,'BASE DE DATOS'!$A:$I,3,0),0)</f>
        <v>0</v>
      </c>
      <c r="L1026" s="46">
        <f>IFERROR(VLOOKUP($E1026,'BASE DE DATOS'!$A:$I,3,0),0)</f>
        <v>0</v>
      </c>
    </row>
    <row r="1027" spans="4:12" x14ac:dyDescent="0.25">
      <c r="D1027" s="46" t="str">
        <f>IFERROR(VLOOKUP($E1027,'BASE DE DATOS'!$A:$I,2,0)," ")</f>
        <v xml:space="preserve"> </v>
      </c>
      <c r="F1027" s="46">
        <f>IFERROR(VLOOKUP($E1040,'BASE DE DATOS'!$A:$I,3,0),0)</f>
        <v>0</v>
      </c>
      <c r="G1027" s="46">
        <f>IFERROR(VLOOKUP($E1027,'BASE DE DATOS'!$A:$I,3,0),0)</f>
        <v>0</v>
      </c>
      <c r="H1027" s="46">
        <f>IFERROR(VLOOKUP($E1027,'BASE DE DATOS'!$A:$I,3,0),0)</f>
        <v>0</v>
      </c>
      <c r="I1027" s="46">
        <f>IFERROR(VLOOKUP($E1027,'BASE DE DATOS'!$A:$I,3,0),0)</f>
        <v>0</v>
      </c>
      <c r="J1027" s="46">
        <f>IFERROR(VLOOKUP($E1027,'BASE DE DATOS'!$A:$I,3,0),0)</f>
        <v>0</v>
      </c>
      <c r="K1027" s="46">
        <f>IFERROR(VLOOKUP($E1286,'BASE DE DATOS'!$A:$I,3,0),0)</f>
        <v>0</v>
      </c>
      <c r="L1027" s="46">
        <f>IFERROR(VLOOKUP($E1027,'BASE DE DATOS'!$A:$I,3,0),0)</f>
        <v>0</v>
      </c>
    </row>
    <row r="1028" spans="4:12" x14ac:dyDescent="0.25">
      <c r="D1028" s="46" t="str">
        <f>IFERROR(VLOOKUP($E1028,'BASE DE DATOS'!$A:$I,2,0)," ")</f>
        <v xml:space="preserve"> </v>
      </c>
      <c r="F1028" s="46">
        <f>IFERROR(VLOOKUP($E1041,'BASE DE DATOS'!$A:$I,3,0),0)</f>
        <v>0</v>
      </c>
      <c r="G1028" s="46">
        <f>IFERROR(VLOOKUP($E1028,'BASE DE DATOS'!$A:$I,3,0),0)</f>
        <v>0</v>
      </c>
      <c r="H1028" s="46">
        <f>IFERROR(VLOOKUP($E1028,'BASE DE DATOS'!$A:$I,3,0),0)</f>
        <v>0</v>
      </c>
      <c r="I1028" s="46">
        <f>IFERROR(VLOOKUP($E1028,'BASE DE DATOS'!$A:$I,3,0),0)</f>
        <v>0</v>
      </c>
      <c r="J1028" s="46">
        <f>IFERROR(VLOOKUP($E1028,'BASE DE DATOS'!$A:$I,3,0),0)</f>
        <v>0</v>
      </c>
      <c r="K1028" s="46">
        <f>IFERROR(VLOOKUP($E1287,'BASE DE DATOS'!$A:$I,3,0),0)</f>
        <v>0</v>
      </c>
      <c r="L1028" s="46">
        <f>IFERROR(VLOOKUP($E1028,'BASE DE DATOS'!$A:$I,3,0),0)</f>
        <v>0</v>
      </c>
    </row>
    <row r="1029" spans="4:12" x14ac:dyDescent="0.25">
      <c r="D1029" s="46" t="str">
        <f>IFERROR(VLOOKUP($E1029,'BASE DE DATOS'!$A:$I,2,0)," ")</f>
        <v xml:space="preserve"> </v>
      </c>
      <c r="F1029" s="46">
        <f>IFERROR(VLOOKUP($E1042,'BASE DE DATOS'!$A:$I,3,0),0)</f>
        <v>0</v>
      </c>
      <c r="G1029" s="46">
        <f>IFERROR(VLOOKUP($E1029,'BASE DE DATOS'!$A:$I,3,0),0)</f>
        <v>0</v>
      </c>
      <c r="H1029" s="46">
        <f>IFERROR(VLOOKUP($E1029,'BASE DE DATOS'!$A:$I,3,0),0)</f>
        <v>0</v>
      </c>
      <c r="I1029" s="46">
        <f>IFERROR(VLOOKUP($E1029,'BASE DE DATOS'!$A:$I,3,0),0)</f>
        <v>0</v>
      </c>
      <c r="J1029" s="46">
        <f>IFERROR(VLOOKUP($E1029,'BASE DE DATOS'!$A:$I,3,0),0)</f>
        <v>0</v>
      </c>
      <c r="K1029" s="46">
        <f>IFERROR(VLOOKUP($E1288,'BASE DE DATOS'!$A:$I,3,0),0)</f>
        <v>0</v>
      </c>
      <c r="L1029" s="46">
        <f>IFERROR(VLOOKUP($E1029,'BASE DE DATOS'!$A:$I,3,0),0)</f>
        <v>0</v>
      </c>
    </row>
    <row r="1030" spans="4:12" x14ac:dyDescent="0.25">
      <c r="D1030" s="46" t="str">
        <f>IFERROR(VLOOKUP($E1030,'BASE DE DATOS'!$A:$I,2,0)," ")</f>
        <v xml:space="preserve"> </v>
      </c>
      <c r="F1030" s="46">
        <f>IFERROR(VLOOKUP($E1043,'BASE DE DATOS'!$A:$I,3,0),0)</f>
        <v>0</v>
      </c>
      <c r="G1030" s="46">
        <f>IFERROR(VLOOKUP($E1030,'BASE DE DATOS'!$A:$I,3,0),0)</f>
        <v>0</v>
      </c>
      <c r="H1030" s="46">
        <f>IFERROR(VLOOKUP($E1030,'BASE DE DATOS'!$A:$I,3,0),0)</f>
        <v>0</v>
      </c>
      <c r="I1030" s="46">
        <f>IFERROR(VLOOKUP($E1030,'BASE DE DATOS'!$A:$I,3,0),0)</f>
        <v>0</v>
      </c>
      <c r="J1030" s="46">
        <f>IFERROR(VLOOKUP($E1030,'BASE DE DATOS'!$A:$I,3,0),0)</f>
        <v>0</v>
      </c>
      <c r="K1030" s="46">
        <f>IFERROR(VLOOKUP($E1289,'BASE DE DATOS'!$A:$I,3,0),0)</f>
        <v>0</v>
      </c>
      <c r="L1030" s="46">
        <f>IFERROR(VLOOKUP($E1030,'BASE DE DATOS'!$A:$I,3,0),0)</f>
        <v>0</v>
      </c>
    </row>
    <row r="1031" spans="4:12" x14ac:dyDescent="0.25">
      <c r="D1031" s="46" t="str">
        <f>IFERROR(VLOOKUP($E1031,'BASE DE DATOS'!$A:$I,2,0)," ")</f>
        <v xml:space="preserve"> </v>
      </c>
      <c r="F1031" s="46">
        <f>IFERROR(VLOOKUP($E1044,'BASE DE DATOS'!$A:$I,3,0),0)</f>
        <v>0</v>
      </c>
      <c r="G1031" s="46">
        <f>IFERROR(VLOOKUP($E1031,'BASE DE DATOS'!$A:$I,3,0),0)</f>
        <v>0</v>
      </c>
      <c r="H1031" s="46">
        <f>IFERROR(VLOOKUP($E1031,'BASE DE DATOS'!$A:$I,3,0),0)</f>
        <v>0</v>
      </c>
      <c r="I1031" s="46">
        <f>IFERROR(VLOOKUP($E1031,'BASE DE DATOS'!$A:$I,3,0),0)</f>
        <v>0</v>
      </c>
      <c r="J1031" s="46">
        <f>IFERROR(VLOOKUP($E1031,'BASE DE DATOS'!$A:$I,3,0),0)</f>
        <v>0</v>
      </c>
      <c r="K1031" s="46">
        <f>IFERROR(VLOOKUP($E1290,'BASE DE DATOS'!$A:$I,3,0),0)</f>
        <v>0</v>
      </c>
      <c r="L1031" s="46">
        <f>IFERROR(VLOOKUP($E1031,'BASE DE DATOS'!$A:$I,3,0),0)</f>
        <v>0</v>
      </c>
    </row>
    <row r="1032" spans="4:12" x14ac:dyDescent="0.25">
      <c r="D1032" s="46" t="str">
        <f>IFERROR(VLOOKUP($E1032,'BASE DE DATOS'!$A:$I,2,0)," ")</f>
        <v xml:space="preserve"> </v>
      </c>
      <c r="F1032" s="46">
        <f>IFERROR(VLOOKUP($E1045,'BASE DE DATOS'!$A:$I,3,0),0)</f>
        <v>0</v>
      </c>
      <c r="G1032" s="46">
        <f>IFERROR(VLOOKUP($E1032,'BASE DE DATOS'!$A:$I,3,0),0)</f>
        <v>0</v>
      </c>
      <c r="H1032" s="46">
        <f>IFERROR(VLOOKUP($E1032,'BASE DE DATOS'!$A:$I,3,0),0)</f>
        <v>0</v>
      </c>
      <c r="I1032" s="46">
        <f>IFERROR(VLOOKUP($E1032,'BASE DE DATOS'!$A:$I,3,0),0)</f>
        <v>0</v>
      </c>
      <c r="J1032" s="46">
        <f>IFERROR(VLOOKUP($E1032,'BASE DE DATOS'!$A:$I,3,0),0)</f>
        <v>0</v>
      </c>
      <c r="K1032" s="46">
        <f>IFERROR(VLOOKUP($E1291,'BASE DE DATOS'!$A:$I,3,0),0)</f>
        <v>0</v>
      </c>
      <c r="L1032" s="46">
        <f>IFERROR(VLOOKUP($E1032,'BASE DE DATOS'!$A:$I,3,0),0)</f>
        <v>0</v>
      </c>
    </row>
    <row r="1033" spans="4:12" x14ac:dyDescent="0.25">
      <c r="D1033" s="46" t="str">
        <f>IFERROR(VLOOKUP($E1033,'BASE DE DATOS'!$A:$I,2,0)," ")</f>
        <v xml:space="preserve"> </v>
      </c>
      <c r="F1033" s="46">
        <f>IFERROR(VLOOKUP($E1046,'BASE DE DATOS'!$A:$I,3,0),0)</f>
        <v>0</v>
      </c>
      <c r="G1033" s="46">
        <f>IFERROR(VLOOKUP($E1033,'BASE DE DATOS'!$A:$I,3,0),0)</f>
        <v>0</v>
      </c>
      <c r="H1033" s="46">
        <f>IFERROR(VLOOKUP($E1033,'BASE DE DATOS'!$A:$I,3,0),0)</f>
        <v>0</v>
      </c>
      <c r="I1033" s="46">
        <f>IFERROR(VLOOKUP($E1033,'BASE DE DATOS'!$A:$I,3,0),0)</f>
        <v>0</v>
      </c>
      <c r="J1033" s="46">
        <f>IFERROR(VLOOKUP($E1033,'BASE DE DATOS'!$A:$I,3,0),0)</f>
        <v>0</v>
      </c>
      <c r="K1033" s="46">
        <f>IFERROR(VLOOKUP($E1292,'BASE DE DATOS'!$A:$I,3,0),0)</f>
        <v>0</v>
      </c>
      <c r="L1033" s="46">
        <f>IFERROR(VLOOKUP($E1033,'BASE DE DATOS'!$A:$I,3,0),0)</f>
        <v>0</v>
      </c>
    </row>
    <row r="1034" spans="4:12" x14ac:dyDescent="0.25">
      <c r="D1034" s="46" t="str">
        <f>IFERROR(VLOOKUP($E1034,'BASE DE DATOS'!$A:$I,2,0)," ")</f>
        <v xml:space="preserve"> </v>
      </c>
      <c r="F1034" s="46">
        <f>IFERROR(VLOOKUP($E1047,'BASE DE DATOS'!$A:$I,3,0),0)</f>
        <v>0</v>
      </c>
      <c r="G1034" s="46">
        <f>IFERROR(VLOOKUP($E1034,'BASE DE DATOS'!$A:$I,3,0),0)</f>
        <v>0</v>
      </c>
      <c r="H1034" s="46">
        <f>IFERROR(VLOOKUP($E1034,'BASE DE DATOS'!$A:$I,3,0),0)</f>
        <v>0</v>
      </c>
      <c r="I1034" s="46">
        <f>IFERROR(VLOOKUP($E1034,'BASE DE DATOS'!$A:$I,3,0),0)</f>
        <v>0</v>
      </c>
      <c r="J1034" s="46">
        <f>IFERROR(VLOOKUP($E1034,'BASE DE DATOS'!$A:$I,3,0),0)</f>
        <v>0</v>
      </c>
      <c r="K1034" s="46">
        <f>IFERROR(VLOOKUP($E1293,'BASE DE DATOS'!$A:$I,3,0),0)</f>
        <v>0</v>
      </c>
      <c r="L1034" s="46">
        <f>IFERROR(VLOOKUP($E1034,'BASE DE DATOS'!$A:$I,3,0),0)</f>
        <v>0</v>
      </c>
    </row>
    <row r="1035" spans="4:12" x14ac:dyDescent="0.25">
      <c r="D1035" s="46" t="str">
        <f>IFERROR(VLOOKUP($E1035,'BASE DE DATOS'!$A:$I,2,0)," ")</f>
        <v xml:space="preserve"> </v>
      </c>
      <c r="F1035" s="46">
        <f>IFERROR(VLOOKUP($E1048,'BASE DE DATOS'!$A:$I,3,0),0)</f>
        <v>0</v>
      </c>
      <c r="G1035" s="46">
        <f>IFERROR(VLOOKUP($E1035,'BASE DE DATOS'!$A:$I,3,0),0)</f>
        <v>0</v>
      </c>
      <c r="H1035" s="46">
        <f>IFERROR(VLOOKUP($E1035,'BASE DE DATOS'!$A:$I,3,0),0)</f>
        <v>0</v>
      </c>
      <c r="I1035" s="46">
        <f>IFERROR(VLOOKUP($E1035,'BASE DE DATOS'!$A:$I,3,0),0)</f>
        <v>0</v>
      </c>
      <c r="J1035" s="46">
        <f>IFERROR(VLOOKUP($E1035,'BASE DE DATOS'!$A:$I,3,0),0)</f>
        <v>0</v>
      </c>
      <c r="K1035" s="46">
        <f>IFERROR(VLOOKUP($E1294,'BASE DE DATOS'!$A:$I,3,0),0)</f>
        <v>0</v>
      </c>
      <c r="L1035" s="46">
        <f>IFERROR(VLOOKUP($E1035,'BASE DE DATOS'!$A:$I,3,0),0)</f>
        <v>0</v>
      </c>
    </row>
    <row r="1036" spans="4:12" x14ac:dyDescent="0.25">
      <c r="D1036" s="46" t="str">
        <f>IFERROR(VLOOKUP($E1036,'BASE DE DATOS'!$A:$I,2,0)," ")</f>
        <v xml:space="preserve"> </v>
      </c>
      <c r="F1036" s="46">
        <f>IFERROR(VLOOKUP($E1049,'BASE DE DATOS'!$A:$I,3,0),0)</f>
        <v>0</v>
      </c>
      <c r="G1036" s="46">
        <f>IFERROR(VLOOKUP($E1036,'BASE DE DATOS'!$A:$I,3,0),0)</f>
        <v>0</v>
      </c>
      <c r="H1036" s="46">
        <f>IFERROR(VLOOKUP($E1036,'BASE DE DATOS'!$A:$I,3,0),0)</f>
        <v>0</v>
      </c>
      <c r="I1036" s="46">
        <f>IFERROR(VLOOKUP($E1036,'BASE DE DATOS'!$A:$I,3,0),0)</f>
        <v>0</v>
      </c>
      <c r="J1036" s="46">
        <f>IFERROR(VLOOKUP($E1036,'BASE DE DATOS'!$A:$I,3,0),0)</f>
        <v>0</v>
      </c>
      <c r="K1036" s="46">
        <f>IFERROR(VLOOKUP($E1295,'BASE DE DATOS'!$A:$I,3,0),0)</f>
        <v>0</v>
      </c>
      <c r="L1036" s="46">
        <f>IFERROR(VLOOKUP($E1036,'BASE DE DATOS'!$A:$I,3,0),0)</f>
        <v>0</v>
      </c>
    </row>
    <row r="1037" spans="4:12" x14ac:dyDescent="0.25">
      <c r="D1037" s="46" t="str">
        <f>IFERROR(VLOOKUP($E1037,'BASE DE DATOS'!$A:$I,2,0)," ")</f>
        <v xml:space="preserve"> </v>
      </c>
      <c r="F1037" s="46">
        <f>IFERROR(VLOOKUP($E1050,'BASE DE DATOS'!$A:$I,3,0),0)</f>
        <v>0</v>
      </c>
      <c r="G1037" s="46">
        <f>IFERROR(VLOOKUP($E1037,'BASE DE DATOS'!$A:$I,3,0),0)</f>
        <v>0</v>
      </c>
      <c r="H1037" s="46">
        <f>IFERROR(VLOOKUP($E1037,'BASE DE DATOS'!$A:$I,3,0),0)</f>
        <v>0</v>
      </c>
      <c r="I1037" s="46">
        <f>IFERROR(VLOOKUP($E1037,'BASE DE DATOS'!$A:$I,3,0),0)</f>
        <v>0</v>
      </c>
      <c r="J1037" s="46">
        <f>IFERROR(VLOOKUP($E1037,'BASE DE DATOS'!$A:$I,3,0),0)</f>
        <v>0</v>
      </c>
      <c r="K1037" s="46">
        <f>IFERROR(VLOOKUP($E1296,'BASE DE DATOS'!$A:$I,3,0),0)</f>
        <v>0</v>
      </c>
      <c r="L1037" s="46">
        <f>IFERROR(VLOOKUP($E1037,'BASE DE DATOS'!$A:$I,3,0),0)</f>
        <v>0</v>
      </c>
    </row>
    <row r="1038" spans="4:12" x14ac:dyDescent="0.25">
      <c r="D1038" s="46" t="str">
        <f>IFERROR(VLOOKUP($E1038,'BASE DE DATOS'!$A:$I,2,0)," ")</f>
        <v xml:space="preserve"> </v>
      </c>
      <c r="F1038" s="46">
        <f>IFERROR(VLOOKUP($E1051,'BASE DE DATOS'!$A:$I,3,0),0)</f>
        <v>0</v>
      </c>
      <c r="G1038" s="46">
        <f>IFERROR(VLOOKUP($E1038,'BASE DE DATOS'!$A:$I,3,0),0)</f>
        <v>0</v>
      </c>
      <c r="H1038" s="46">
        <f>IFERROR(VLOOKUP($E1038,'BASE DE DATOS'!$A:$I,3,0),0)</f>
        <v>0</v>
      </c>
      <c r="I1038" s="46">
        <f>IFERROR(VLOOKUP($E1038,'BASE DE DATOS'!$A:$I,3,0),0)</f>
        <v>0</v>
      </c>
      <c r="J1038" s="46">
        <f>IFERROR(VLOOKUP($E1038,'BASE DE DATOS'!$A:$I,3,0),0)</f>
        <v>0</v>
      </c>
      <c r="K1038" s="46">
        <f>IFERROR(VLOOKUP($E1297,'BASE DE DATOS'!$A:$I,3,0),0)</f>
        <v>0</v>
      </c>
      <c r="L1038" s="46">
        <f>IFERROR(VLOOKUP($E1038,'BASE DE DATOS'!$A:$I,3,0),0)</f>
        <v>0</v>
      </c>
    </row>
    <row r="1039" spans="4:12" x14ac:dyDescent="0.25">
      <c r="D1039" s="46" t="str">
        <f>IFERROR(VLOOKUP($E1039,'BASE DE DATOS'!$A:$I,2,0)," ")</f>
        <v xml:space="preserve"> </v>
      </c>
      <c r="F1039" s="46">
        <f>IFERROR(VLOOKUP($E1052,'BASE DE DATOS'!$A:$I,3,0),0)</f>
        <v>0</v>
      </c>
      <c r="G1039" s="46">
        <f>IFERROR(VLOOKUP($E1039,'BASE DE DATOS'!$A:$I,3,0),0)</f>
        <v>0</v>
      </c>
      <c r="H1039" s="46">
        <f>IFERROR(VLOOKUP($E1039,'BASE DE DATOS'!$A:$I,3,0),0)</f>
        <v>0</v>
      </c>
      <c r="I1039" s="46">
        <f>IFERROR(VLOOKUP($E1039,'BASE DE DATOS'!$A:$I,3,0),0)</f>
        <v>0</v>
      </c>
      <c r="J1039" s="46">
        <f>IFERROR(VLOOKUP($E1039,'BASE DE DATOS'!$A:$I,3,0),0)</f>
        <v>0</v>
      </c>
      <c r="K1039" s="46">
        <f>IFERROR(VLOOKUP($E1298,'BASE DE DATOS'!$A:$I,3,0),0)</f>
        <v>0</v>
      </c>
      <c r="L1039" s="46">
        <f>IFERROR(VLOOKUP($E1039,'BASE DE DATOS'!$A:$I,3,0),0)</f>
        <v>0</v>
      </c>
    </row>
    <row r="1040" spans="4:12" x14ac:dyDescent="0.25">
      <c r="D1040" s="46" t="str">
        <f>IFERROR(VLOOKUP($E1040,'BASE DE DATOS'!$A:$I,2,0)," ")</f>
        <v xml:space="preserve"> </v>
      </c>
      <c r="F1040" s="46">
        <f>IFERROR(VLOOKUP($E1053,'BASE DE DATOS'!$A:$I,3,0),0)</f>
        <v>0</v>
      </c>
      <c r="G1040" s="46">
        <f>IFERROR(VLOOKUP($E1040,'BASE DE DATOS'!$A:$I,3,0),0)</f>
        <v>0</v>
      </c>
      <c r="H1040" s="46">
        <f>IFERROR(VLOOKUP($E1040,'BASE DE DATOS'!$A:$I,3,0),0)</f>
        <v>0</v>
      </c>
      <c r="I1040" s="46">
        <f>IFERROR(VLOOKUP($E1040,'BASE DE DATOS'!$A:$I,3,0),0)</f>
        <v>0</v>
      </c>
      <c r="J1040" s="46">
        <f>IFERROR(VLOOKUP($E1040,'BASE DE DATOS'!$A:$I,3,0),0)</f>
        <v>0</v>
      </c>
      <c r="K1040" s="46">
        <f>IFERROR(VLOOKUP($E1299,'BASE DE DATOS'!$A:$I,3,0),0)</f>
        <v>0</v>
      </c>
      <c r="L1040" s="46">
        <f>IFERROR(VLOOKUP($E1040,'BASE DE DATOS'!$A:$I,3,0),0)</f>
        <v>0</v>
      </c>
    </row>
    <row r="1041" spans="4:12" x14ac:dyDescent="0.25">
      <c r="D1041" s="46" t="str">
        <f>IFERROR(VLOOKUP($E1041,'BASE DE DATOS'!$A:$I,2,0)," ")</f>
        <v xml:space="preserve"> </v>
      </c>
      <c r="F1041" s="46">
        <f>IFERROR(VLOOKUP($E1054,'BASE DE DATOS'!$A:$I,3,0),0)</f>
        <v>0</v>
      </c>
      <c r="G1041" s="46">
        <f>IFERROR(VLOOKUP($E1041,'BASE DE DATOS'!$A:$I,3,0),0)</f>
        <v>0</v>
      </c>
      <c r="H1041" s="46">
        <f>IFERROR(VLOOKUP($E1041,'BASE DE DATOS'!$A:$I,3,0),0)</f>
        <v>0</v>
      </c>
      <c r="I1041" s="46">
        <f>IFERROR(VLOOKUP($E1041,'BASE DE DATOS'!$A:$I,3,0),0)</f>
        <v>0</v>
      </c>
      <c r="J1041" s="46">
        <f>IFERROR(VLOOKUP($E1041,'BASE DE DATOS'!$A:$I,3,0),0)</f>
        <v>0</v>
      </c>
      <c r="K1041" s="46">
        <f>IFERROR(VLOOKUP($E1300,'BASE DE DATOS'!$A:$I,3,0),0)</f>
        <v>0</v>
      </c>
      <c r="L1041" s="46">
        <f>IFERROR(VLOOKUP($E1041,'BASE DE DATOS'!$A:$I,3,0),0)</f>
        <v>0</v>
      </c>
    </row>
    <row r="1042" spans="4:12" x14ac:dyDescent="0.25">
      <c r="D1042" s="46" t="str">
        <f>IFERROR(VLOOKUP($E1042,'BASE DE DATOS'!$A:$I,2,0)," ")</f>
        <v xml:space="preserve"> </v>
      </c>
      <c r="F1042" s="46">
        <f>IFERROR(VLOOKUP($E1055,'BASE DE DATOS'!$A:$I,3,0),0)</f>
        <v>0</v>
      </c>
      <c r="G1042" s="46">
        <f>IFERROR(VLOOKUP($E1042,'BASE DE DATOS'!$A:$I,3,0),0)</f>
        <v>0</v>
      </c>
      <c r="H1042" s="46">
        <f>IFERROR(VLOOKUP($E1042,'BASE DE DATOS'!$A:$I,3,0),0)</f>
        <v>0</v>
      </c>
      <c r="I1042" s="46">
        <f>IFERROR(VLOOKUP($E1042,'BASE DE DATOS'!$A:$I,3,0),0)</f>
        <v>0</v>
      </c>
      <c r="J1042" s="46">
        <f>IFERROR(VLOOKUP($E1042,'BASE DE DATOS'!$A:$I,3,0),0)</f>
        <v>0</v>
      </c>
      <c r="K1042" s="46">
        <f>IFERROR(VLOOKUP($E1301,'BASE DE DATOS'!$A:$I,3,0),0)</f>
        <v>0</v>
      </c>
      <c r="L1042" s="46">
        <f>IFERROR(VLOOKUP($E1042,'BASE DE DATOS'!$A:$I,3,0),0)</f>
        <v>0</v>
      </c>
    </row>
    <row r="1043" spans="4:12" x14ac:dyDescent="0.25">
      <c r="D1043" s="46" t="str">
        <f>IFERROR(VLOOKUP($E1043,'BASE DE DATOS'!$A:$I,2,0)," ")</f>
        <v xml:space="preserve"> </v>
      </c>
      <c r="F1043" s="46">
        <f>IFERROR(VLOOKUP($E1056,'BASE DE DATOS'!$A:$I,3,0),0)</f>
        <v>0</v>
      </c>
      <c r="G1043" s="46">
        <f>IFERROR(VLOOKUP($E1043,'BASE DE DATOS'!$A:$I,3,0),0)</f>
        <v>0</v>
      </c>
      <c r="H1043" s="46">
        <f>IFERROR(VLOOKUP($E1043,'BASE DE DATOS'!$A:$I,3,0),0)</f>
        <v>0</v>
      </c>
      <c r="I1043" s="46">
        <f>IFERROR(VLOOKUP($E1043,'BASE DE DATOS'!$A:$I,3,0),0)</f>
        <v>0</v>
      </c>
      <c r="J1043" s="46">
        <f>IFERROR(VLOOKUP($E1043,'BASE DE DATOS'!$A:$I,3,0),0)</f>
        <v>0</v>
      </c>
      <c r="K1043" s="46">
        <f>IFERROR(VLOOKUP($E1302,'BASE DE DATOS'!$A:$I,3,0),0)</f>
        <v>0</v>
      </c>
      <c r="L1043" s="46">
        <f>IFERROR(VLOOKUP($E1043,'BASE DE DATOS'!$A:$I,3,0),0)</f>
        <v>0</v>
      </c>
    </row>
    <row r="1044" spans="4:12" x14ac:dyDescent="0.25">
      <c r="D1044" s="46" t="str">
        <f>IFERROR(VLOOKUP($E1044,'BASE DE DATOS'!$A:$I,2,0)," ")</f>
        <v xml:space="preserve"> </v>
      </c>
      <c r="F1044" s="46">
        <f>IFERROR(VLOOKUP($E1057,'BASE DE DATOS'!$A:$I,3,0),0)</f>
        <v>0</v>
      </c>
      <c r="G1044" s="46">
        <f>IFERROR(VLOOKUP($E1044,'BASE DE DATOS'!$A:$I,3,0),0)</f>
        <v>0</v>
      </c>
      <c r="H1044" s="46">
        <f>IFERROR(VLOOKUP($E1044,'BASE DE DATOS'!$A:$I,3,0),0)</f>
        <v>0</v>
      </c>
      <c r="I1044" s="46">
        <f>IFERROR(VLOOKUP($E1044,'BASE DE DATOS'!$A:$I,3,0),0)</f>
        <v>0</v>
      </c>
      <c r="J1044" s="46">
        <f>IFERROR(VLOOKUP($E1044,'BASE DE DATOS'!$A:$I,3,0),0)</f>
        <v>0</v>
      </c>
      <c r="K1044" s="46">
        <f>IFERROR(VLOOKUP($E1303,'BASE DE DATOS'!$A:$I,3,0),0)</f>
        <v>0</v>
      </c>
      <c r="L1044" s="46">
        <f>IFERROR(VLOOKUP($E1044,'BASE DE DATOS'!$A:$I,3,0),0)</f>
        <v>0</v>
      </c>
    </row>
    <row r="1045" spans="4:12" x14ac:dyDescent="0.25">
      <c r="D1045" s="46" t="str">
        <f>IFERROR(VLOOKUP($E1045,'BASE DE DATOS'!$A:$I,2,0)," ")</f>
        <v xml:space="preserve"> </v>
      </c>
      <c r="F1045" s="46">
        <f>IFERROR(VLOOKUP($E1058,'BASE DE DATOS'!$A:$I,3,0),0)</f>
        <v>0</v>
      </c>
      <c r="G1045" s="46">
        <f>IFERROR(VLOOKUP($E1045,'BASE DE DATOS'!$A:$I,3,0),0)</f>
        <v>0</v>
      </c>
      <c r="H1045" s="46">
        <f>IFERROR(VLOOKUP($E1045,'BASE DE DATOS'!$A:$I,3,0),0)</f>
        <v>0</v>
      </c>
      <c r="I1045" s="46">
        <f>IFERROR(VLOOKUP($E1045,'BASE DE DATOS'!$A:$I,3,0),0)</f>
        <v>0</v>
      </c>
      <c r="J1045" s="46">
        <f>IFERROR(VLOOKUP($E1045,'BASE DE DATOS'!$A:$I,3,0),0)</f>
        <v>0</v>
      </c>
      <c r="K1045" s="46">
        <f>IFERROR(VLOOKUP($E1304,'BASE DE DATOS'!$A:$I,3,0),0)</f>
        <v>0</v>
      </c>
      <c r="L1045" s="46">
        <f>IFERROR(VLOOKUP($E1045,'BASE DE DATOS'!$A:$I,3,0),0)</f>
        <v>0</v>
      </c>
    </row>
    <row r="1046" spans="4:12" x14ac:dyDescent="0.25">
      <c r="D1046" s="46" t="str">
        <f>IFERROR(VLOOKUP($E1046,'BASE DE DATOS'!$A:$I,2,0)," ")</f>
        <v xml:space="preserve"> </v>
      </c>
      <c r="F1046" s="46">
        <f>IFERROR(VLOOKUP($E1059,'BASE DE DATOS'!$A:$I,3,0),0)</f>
        <v>0</v>
      </c>
      <c r="G1046" s="46">
        <f>IFERROR(VLOOKUP($E1046,'BASE DE DATOS'!$A:$I,3,0),0)</f>
        <v>0</v>
      </c>
      <c r="H1046" s="46">
        <f>IFERROR(VLOOKUP($E1046,'BASE DE DATOS'!$A:$I,3,0),0)</f>
        <v>0</v>
      </c>
      <c r="I1046" s="46">
        <f>IFERROR(VLOOKUP($E1046,'BASE DE DATOS'!$A:$I,3,0),0)</f>
        <v>0</v>
      </c>
      <c r="J1046" s="46">
        <f>IFERROR(VLOOKUP($E1046,'BASE DE DATOS'!$A:$I,3,0),0)</f>
        <v>0</v>
      </c>
      <c r="K1046" s="46">
        <f>IFERROR(VLOOKUP($E1305,'BASE DE DATOS'!$A:$I,3,0),0)</f>
        <v>0</v>
      </c>
      <c r="L1046" s="46">
        <f>IFERROR(VLOOKUP($E1046,'BASE DE DATOS'!$A:$I,3,0),0)</f>
        <v>0</v>
      </c>
    </row>
    <row r="1047" spans="4:12" x14ac:dyDescent="0.25">
      <c r="D1047" s="46" t="str">
        <f>IFERROR(VLOOKUP($E1047,'BASE DE DATOS'!$A:$I,2,0)," ")</f>
        <v xml:space="preserve"> </v>
      </c>
      <c r="F1047" s="46">
        <f>IFERROR(VLOOKUP($E1060,'BASE DE DATOS'!$A:$I,3,0),0)</f>
        <v>0</v>
      </c>
      <c r="G1047" s="46">
        <f>IFERROR(VLOOKUP($E1047,'BASE DE DATOS'!$A:$I,3,0),0)</f>
        <v>0</v>
      </c>
      <c r="H1047" s="46">
        <f>IFERROR(VLOOKUP($E1047,'BASE DE DATOS'!$A:$I,3,0),0)</f>
        <v>0</v>
      </c>
      <c r="I1047" s="46">
        <f>IFERROR(VLOOKUP($E1047,'BASE DE DATOS'!$A:$I,3,0),0)</f>
        <v>0</v>
      </c>
      <c r="J1047" s="46">
        <f>IFERROR(VLOOKUP($E1047,'BASE DE DATOS'!$A:$I,3,0),0)</f>
        <v>0</v>
      </c>
      <c r="K1047" s="46">
        <f>IFERROR(VLOOKUP($E1306,'BASE DE DATOS'!$A:$I,3,0),0)</f>
        <v>0</v>
      </c>
      <c r="L1047" s="46">
        <f>IFERROR(VLOOKUP($E1047,'BASE DE DATOS'!$A:$I,3,0),0)</f>
        <v>0</v>
      </c>
    </row>
    <row r="1048" spans="4:12" x14ac:dyDescent="0.25">
      <c r="D1048" s="46" t="str">
        <f>IFERROR(VLOOKUP($E1048,'BASE DE DATOS'!$A:$I,2,0)," ")</f>
        <v xml:space="preserve"> </v>
      </c>
      <c r="F1048" s="46">
        <f>IFERROR(VLOOKUP($E1061,'BASE DE DATOS'!$A:$I,3,0),0)</f>
        <v>0</v>
      </c>
      <c r="G1048" s="46">
        <f>IFERROR(VLOOKUP($E1048,'BASE DE DATOS'!$A:$I,3,0),0)</f>
        <v>0</v>
      </c>
      <c r="H1048" s="46">
        <f>IFERROR(VLOOKUP($E1048,'BASE DE DATOS'!$A:$I,3,0),0)</f>
        <v>0</v>
      </c>
      <c r="I1048" s="46">
        <f>IFERROR(VLOOKUP($E1048,'BASE DE DATOS'!$A:$I,3,0),0)</f>
        <v>0</v>
      </c>
      <c r="J1048" s="46">
        <f>IFERROR(VLOOKUP($E1048,'BASE DE DATOS'!$A:$I,3,0),0)</f>
        <v>0</v>
      </c>
      <c r="K1048" s="46">
        <f>IFERROR(VLOOKUP($E1307,'BASE DE DATOS'!$A:$I,3,0),0)</f>
        <v>0</v>
      </c>
      <c r="L1048" s="46">
        <f>IFERROR(VLOOKUP($E1048,'BASE DE DATOS'!$A:$I,3,0),0)</f>
        <v>0</v>
      </c>
    </row>
    <row r="1049" spans="4:12" x14ac:dyDescent="0.25">
      <c r="D1049" s="46" t="str">
        <f>IFERROR(VLOOKUP($E1049,'BASE DE DATOS'!$A:$I,2,0)," ")</f>
        <v xml:space="preserve"> </v>
      </c>
      <c r="F1049" s="46">
        <f>IFERROR(VLOOKUP($E1062,'BASE DE DATOS'!$A:$I,3,0),0)</f>
        <v>0</v>
      </c>
      <c r="G1049" s="46">
        <f>IFERROR(VLOOKUP($E1049,'BASE DE DATOS'!$A:$I,3,0),0)</f>
        <v>0</v>
      </c>
      <c r="H1049" s="46">
        <f>IFERROR(VLOOKUP($E1049,'BASE DE DATOS'!$A:$I,3,0),0)</f>
        <v>0</v>
      </c>
      <c r="I1049" s="46">
        <f>IFERROR(VLOOKUP($E1049,'BASE DE DATOS'!$A:$I,3,0),0)</f>
        <v>0</v>
      </c>
      <c r="J1049" s="46">
        <f>IFERROR(VLOOKUP($E1049,'BASE DE DATOS'!$A:$I,3,0),0)</f>
        <v>0</v>
      </c>
      <c r="K1049" s="46">
        <f>IFERROR(VLOOKUP($E1308,'BASE DE DATOS'!$A:$I,3,0),0)</f>
        <v>0</v>
      </c>
      <c r="L1049" s="46">
        <f>IFERROR(VLOOKUP($E1049,'BASE DE DATOS'!$A:$I,3,0),0)</f>
        <v>0</v>
      </c>
    </row>
    <row r="1050" spans="4:12" x14ac:dyDescent="0.25">
      <c r="D1050" s="46" t="str">
        <f>IFERROR(VLOOKUP($E1050,'BASE DE DATOS'!$A:$I,2,0)," ")</f>
        <v xml:space="preserve"> </v>
      </c>
      <c r="F1050" s="46">
        <f>IFERROR(VLOOKUP($E1063,'BASE DE DATOS'!$A:$I,3,0),0)</f>
        <v>0</v>
      </c>
      <c r="G1050" s="46">
        <f>IFERROR(VLOOKUP($E1050,'BASE DE DATOS'!$A:$I,3,0),0)</f>
        <v>0</v>
      </c>
      <c r="H1050" s="46">
        <f>IFERROR(VLOOKUP($E1050,'BASE DE DATOS'!$A:$I,3,0),0)</f>
        <v>0</v>
      </c>
      <c r="I1050" s="46">
        <f>IFERROR(VLOOKUP($E1050,'BASE DE DATOS'!$A:$I,3,0),0)</f>
        <v>0</v>
      </c>
      <c r="J1050" s="46">
        <f>IFERROR(VLOOKUP($E1050,'BASE DE DATOS'!$A:$I,3,0),0)</f>
        <v>0</v>
      </c>
      <c r="K1050" s="46">
        <f>IFERROR(VLOOKUP($E1309,'BASE DE DATOS'!$A:$I,3,0),0)</f>
        <v>0</v>
      </c>
      <c r="L1050" s="46">
        <f>IFERROR(VLOOKUP($E1050,'BASE DE DATOS'!$A:$I,3,0),0)</f>
        <v>0</v>
      </c>
    </row>
    <row r="1051" spans="4:12" x14ac:dyDescent="0.25">
      <c r="D1051" s="46" t="str">
        <f>IFERROR(VLOOKUP($E1051,'BASE DE DATOS'!$A:$I,2,0)," ")</f>
        <v xml:space="preserve"> </v>
      </c>
      <c r="F1051" s="46">
        <f>IFERROR(VLOOKUP($E1064,'BASE DE DATOS'!$A:$I,3,0),0)</f>
        <v>0</v>
      </c>
      <c r="G1051" s="46">
        <f>IFERROR(VLOOKUP($E1051,'BASE DE DATOS'!$A:$I,3,0),0)</f>
        <v>0</v>
      </c>
      <c r="H1051" s="46">
        <f>IFERROR(VLOOKUP($E1051,'BASE DE DATOS'!$A:$I,3,0),0)</f>
        <v>0</v>
      </c>
      <c r="I1051" s="46">
        <f>IFERROR(VLOOKUP($E1051,'BASE DE DATOS'!$A:$I,3,0),0)</f>
        <v>0</v>
      </c>
      <c r="J1051" s="46">
        <f>IFERROR(VLOOKUP($E1051,'BASE DE DATOS'!$A:$I,3,0),0)</f>
        <v>0</v>
      </c>
      <c r="K1051" s="46">
        <f>IFERROR(VLOOKUP($E1310,'BASE DE DATOS'!$A:$I,3,0),0)</f>
        <v>0</v>
      </c>
      <c r="L1051" s="46">
        <f>IFERROR(VLOOKUP($E1051,'BASE DE DATOS'!$A:$I,3,0),0)</f>
        <v>0</v>
      </c>
    </row>
    <row r="1052" spans="4:12" x14ac:dyDescent="0.25">
      <c r="D1052" s="46" t="str">
        <f>IFERROR(VLOOKUP($E1052,'BASE DE DATOS'!$A:$I,2,0)," ")</f>
        <v xml:space="preserve"> </v>
      </c>
      <c r="F1052" s="46">
        <f>IFERROR(VLOOKUP($E1065,'BASE DE DATOS'!$A:$I,3,0),0)</f>
        <v>0</v>
      </c>
      <c r="G1052" s="46">
        <f>IFERROR(VLOOKUP($E1052,'BASE DE DATOS'!$A:$I,3,0),0)</f>
        <v>0</v>
      </c>
      <c r="H1052" s="46">
        <f>IFERROR(VLOOKUP($E1052,'BASE DE DATOS'!$A:$I,3,0),0)</f>
        <v>0</v>
      </c>
      <c r="I1052" s="46">
        <f>IFERROR(VLOOKUP($E1052,'BASE DE DATOS'!$A:$I,3,0),0)</f>
        <v>0</v>
      </c>
      <c r="J1052" s="46">
        <f>IFERROR(VLOOKUP($E1052,'BASE DE DATOS'!$A:$I,3,0),0)</f>
        <v>0</v>
      </c>
      <c r="K1052" s="46">
        <f>IFERROR(VLOOKUP($E1311,'BASE DE DATOS'!$A:$I,3,0),0)</f>
        <v>0</v>
      </c>
      <c r="L1052" s="46">
        <f>IFERROR(VLOOKUP($E1052,'BASE DE DATOS'!$A:$I,3,0),0)</f>
        <v>0</v>
      </c>
    </row>
    <row r="1053" spans="4:12" x14ac:dyDescent="0.25">
      <c r="D1053" s="46" t="str">
        <f>IFERROR(VLOOKUP($E1053,'BASE DE DATOS'!$A:$I,2,0)," ")</f>
        <v xml:space="preserve"> </v>
      </c>
      <c r="F1053" s="46">
        <f>IFERROR(VLOOKUP($E1066,'BASE DE DATOS'!$A:$I,3,0),0)</f>
        <v>0</v>
      </c>
      <c r="G1053" s="46">
        <f>IFERROR(VLOOKUP($E1053,'BASE DE DATOS'!$A:$I,3,0),0)</f>
        <v>0</v>
      </c>
      <c r="H1053" s="46">
        <f>IFERROR(VLOOKUP($E1053,'BASE DE DATOS'!$A:$I,3,0),0)</f>
        <v>0</v>
      </c>
      <c r="I1053" s="46">
        <f>IFERROR(VLOOKUP($E1053,'BASE DE DATOS'!$A:$I,3,0),0)</f>
        <v>0</v>
      </c>
      <c r="J1053" s="46">
        <f>IFERROR(VLOOKUP($E1053,'BASE DE DATOS'!$A:$I,3,0),0)</f>
        <v>0</v>
      </c>
      <c r="K1053" s="46">
        <f>IFERROR(VLOOKUP($E1312,'BASE DE DATOS'!$A:$I,3,0),0)</f>
        <v>0</v>
      </c>
      <c r="L1053" s="46">
        <f>IFERROR(VLOOKUP($E1053,'BASE DE DATOS'!$A:$I,3,0),0)</f>
        <v>0</v>
      </c>
    </row>
    <row r="1054" spans="4:12" x14ac:dyDescent="0.25">
      <c r="D1054" s="46" t="str">
        <f>IFERROR(VLOOKUP($E1054,'BASE DE DATOS'!$A:$I,2,0)," ")</f>
        <v xml:space="preserve"> </v>
      </c>
      <c r="F1054" s="46">
        <f>IFERROR(VLOOKUP($E1067,'BASE DE DATOS'!$A:$I,3,0),0)</f>
        <v>0</v>
      </c>
      <c r="G1054" s="46">
        <f>IFERROR(VLOOKUP($E1054,'BASE DE DATOS'!$A:$I,3,0),0)</f>
        <v>0</v>
      </c>
      <c r="H1054" s="46">
        <f>IFERROR(VLOOKUP($E1054,'BASE DE DATOS'!$A:$I,3,0),0)</f>
        <v>0</v>
      </c>
      <c r="I1054" s="46">
        <f>IFERROR(VLOOKUP($E1054,'BASE DE DATOS'!$A:$I,3,0),0)</f>
        <v>0</v>
      </c>
      <c r="J1054" s="46">
        <f>IFERROR(VLOOKUP($E1054,'BASE DE DATOS'!$A:$I,3,0),0)</f>
        <v>0</v>
      </c>
      <c r="K1054" s="46">
        <f>IFERROR(VLOOKUP($E1313,'BASE DE DATOS'!$A:$I,3,0),0)</f>
        <v>0</v>
      </c>
      <c r="L1054" s="46">
        <f>IFERROR(VLOOKUP($E1054,'BASE DE DATOS'!$A:$I,3,0),0)</f>
        <v>0</v>
      </c>
    </row>
    <row r="1055" spans="4:12" x14ac:dyDescent="0.25">
      <c r="D1055" s="46" t="str">
        <f>IFERROR(VLOOKUP($E1055,'BASE DE DATOS'!$A:$I,2,0)," ")</f>
        <v xml:space="preserve"> </v>
      </c>
      <c r="F1055" s="46">
        <f>IFERROR(VLOOKUP($E1068,'BASE DE DATOS'!$A:$I,3,0),0)</f>
        <v>0</v>
      </c>
      <c r="G1055" s="46">
        <f>IFERROR(VLOOKUP($E1055,'BASE DE DATOS'!$A:$I,3,0),0)</f>
        <v>0</v>
      </c>
      <c r="H1055" s="46">
        <f>IFERROR(VLOOKUP($E1055,'BASE DE DATOS'!$A:$I,3,0),0)</f>
        <v>0</v>
      </c>
      <c r="I1055" s="46">
        <f>IFERROR(VLOOKUP($E1055,'BASE DE DATOS'!$A:$I,3,0),0)</f>
        <v>0</v>
      </c>
      <c r="J1055" s="46">
        <f>IFERROR(VLOOKUP($E1055,'BASE DE DATOS'!$A:$I,3,0),0)</f>
        <v>0</v>
      </c>
      <c r="K1055" s="46">
        <f>IFERROR(VLOOKUP($E1314,'BASE DE DATOS'!$A:$I,3,0),0)</f>
        <v>0</v>
      </c>
      <c r="L1055" s="46">
        <f>IFERROR(VLOOKUP($E1055,'BASE DE DATOS'!$A:$I,3,0),0)</f>
        <v>0</v>
      </c>
    </row>
    <row r="1056" spans="4:12" x14ac:dyDescent="0.25">
      <c r="D1056" s="46" t="str">
        <f>IFERROR(VLOOKUP($E1056,'BASE DE DATOS'!$A:$I,2,0)," ")</f>
        <v xml:space="preserve"> </v>
      </c>
      <c r="F1056" s="46">
        <f>IFERROR(VLOOKUP($E1069,'BASE DE DATOS'!$A:$I,3,0),0)</f>
        <v>0</v>
      </c>
      <c r="G1056" s="46">
        <f>IFERROR(VLOOKUP($E1056,'BASE DE DATOS'!$A:$I,3,0),0)</f>
        <v>0</v>
      </c>
      <c r="H1056" s="46">
        <f>IFERROR(VLOOKUP($E1056,'BASE DE DATOS'!$A:$I,3,0),0)</f>
        <v>0</v>
      </c>
      <c r="I1056" s="46">
        <f>IFERROR(VLOOKUP($E1056,'BASE DE DATOS'!$A:$I,3,0),0)</f>
        <v>0</v>
      </c>
      <c r="J1056" s="46">
        <f>IFERROR(VLOOKUP($E1056,'BASE DE DATOS'!$A:$I,3,0),0)</f>
        <v>0</v>
      </c>
      <c r="K1056" s="46">
        <f>IFERROR(VLOOKUP($E1315,'BASE DE DATOS'!$A:$I,3,0),0)</f>
        <v>0</v>
      </c>
      <c r="L1056" s="46">
        <f>IFERROR(VLOOKUP($E1056,'BASE DE DATOS'!$A:$I,3,0),0)</f>
        <v>0</v>
      </c>
    </row>
    <row r="1057" spans="4:12" x14ac:dyDescent="0.25">
      <c r="D1057" s="46" t="str">
        <f>IFERROR(VLOOKUP($E1057,'BASE DE DATOS'!$A:$I,2,0)," ")</f>
        <v xml:space="preserve"> </v>
      </c>
      <c r="F1057" s="46">
        <f>IFERROR(VLOOKUP($E1070,'BASE DE DATOS'!$A:$I,3,0),0)</f>
        <v>0</v>
      </c>
      <c r="G1057" s="46">
        <f>IFERROR(VLOOKUP($E1057,'BASE DE DATOS'!$A:$I,3,0),0)</f>
        <v>0</v>
      </c>
      <c r="H1057" s="46">
        <f>IFERROR(VLOOKUP($E1057,'BASE DE DATOS'!$A:$I,3,0),0)</f>
        <v>0</v>
      </c>
      <c r="I1057" s="46">
        <f>IFERROR(VLOOKUP($E1057,'BASE DE DATOS'!$A:$I,3,0),0)</f>
        <v>0</v>
      </c>
      <c r="J1057" s="46">
        <f>IFERROR(VLOOKUP($E1057,'BASE DE DATOS'!$A:$I,3,0),0)</f>
        <v>0</v>
      </c>
      <c r="K1057" s="46">
        <f>IFERROR(VLOOKUP($E1316,'BASE DE DATOS'!$A:$I,3,0),0)</f>
        <v>0</v>
      </c>
      <c r="L1057" s="46">
        <f>IFERROR(VLOOKUP($E1057,'BASE DE DATOS'!$A:$I,3,0),0)</f>
        <v>0</v>
      </c>
    </row>
    <row r="1058" spans="4:12" x14ac:dyDescent="0.25">
      <c r="D1058" s="46" t="str">
        <f>IFERROR(VLOOKUP($E1058,'BASE DE DATOS'!$A:$I,2,0)," ")</f>
        <v xml:space="preserve"> </v>
      </c>
      <c r="F1058" s="46">
        <f>IFERROR(VLOOKUP($E1071,'BASE DE DATOS'!$A:$I,3,0),0)</f>
        <v>0</v>
      </c>
      <c r="G1058" s="46">
        <f>IFERROR(VLOOKUP($E1058,'BASE DE DATOS'!$A:$I,3,0),0)</f>
        <v>0</v>
      </c>
      <c r="H1058" s="46">
        <f>IFERROR(VLOOKUP($E1058,'BASE DE DATOS'!$A:$I,3,0),0)</f>
        <v>0</v>
      </c>
      <c r="I1058" s="46">
        <f>IFERROR(VLOOKUP($E1058,'BASE DE DATOS'!$A:$I,3,0),0)</f>
        <v>0</v>
      </c>
      <c r="J1058" s="46">
        <f>IFERROR(VLOOKUP($E1058,'BASE DE DATOS'!$A:$I,3,0),0)</f>
        <v>0</v>
      </c>
      <c r="K1058" s="46">
        <f>IFERROR(VLOOKUP($E1317,'BASE DE DATOS'!$A:$I,3,0),0)</f>
        <v>0</v>
      </c>
      <c r="L1058" s="46">
        <f>IFERROR(VLOOKUP($E1058,'BASE DE DATOS'!$A:$I,3,0),0)</f>
        <v>0</v>
      </c>
    </row>
    <row r="1059" spans="4:12" x14ac:dyDescent="0.25">
      <c r="D1059" s="46" t="str">
        <f>IFERROR(VLOOKUP($E1059,'BASE DE DATOS'!$A:$I,2,0)," ")</f>
        <v xml:space="preserve"> </v>
      </c>
      <c r="F1059" s="46">
        <f>IFERROR(VLOOKUP($E1072,'BASE DE DATOS'!$A:$I,3,0),0)</f>
        <v>0</v>
      </c>
      <c r="G1059" s="46">
        <f>IFERROR(VLOOKUP($E1059,'BASE DE DATOS'!$A:$I,3,0),0)</f>
        <v>0</v>
      </c>
      <c r="H1059" s="46">
        <f>IFERROR(VLOOKUP($E1059,'BASE DE DATOS'!$A:$I,3,0),0)</f>
        <v>0</v>
      </c>
      <c r="I1059" s="46">
        <f>IFERROR(VLOOKUP($E1059,'BASE DE DATOS'!$A:$I,3,0),0)</f>
        <v>0</v>
      </c>
      <c r="J1059" s="46">
        <f>IFERROR(VLOOKUP($E1059,'BASE DE DATOS'!$A:$I,3,0),0)</f>
        <v>0</v>
      </c>
      <c r="K1059" s="46">
        <f>IFERROR(VLOOKUP($E1318,'BASE DE DATOS'!$A:$I,3,0),0)</f>
        <v>0</v>
      </c>
      <c r="L1059" s="46">
        <f>IFERROR(VLOOKUP($E1059,'BASE DE DATOS'!$A:$I,3,0),0)</f>
        <v>0</v>
      </c>
    </row>
    <row r="1060" spans="4:12" x14ac:dyDescent="0.25">
      <c r="D1060" s="46" t="str">
        <f>IFERROR(VLOOKUP($E1060,'BASE DE DATOS'!$A:$I,2,0)," ")</f>
        <v xml:space="preserve"> </v>
      </c>
      <c r="F1060" s="46">
        <f>IFERROR(VLOOKUP($E1073,'BASE DE DATOS'!$A:$I,3,0),0)</f>
        <v>0</v>
      </c>
      <c r="G1060" s="46">
        <f>IFERROR(VLOOKUP($E1060,'BASE DE DATOS'!$A:$I,3,0),0)</f>
        <v>0</v>
      </c>
      <c r="H1060" s="46">
        <f>IFERROR(VLOOKUP($E1060,'BASE DE DATOS'!$A:$I,3,0),0)</f>
        <v>0</v>
      </c>
      <c r="I1060" s="46">
        <f>IFERROR(VLOOKUP($E1060,'BASE DE DATOS'!$A:$I,3,0),0)</f>
        <v>0</v>
      </c>
      <c r="J1060" s="46">
        <f>IFERROR(VLOOKUP($E1060,'BASE DE DATOS'!$A:$I,3,0),0)</f>
        <v>0</v>
      </c>
      <c r="K1060" s="46">
        <f>IFERROR(VLOOKUP($E1319,'BASE DE DATOS'!$A:$I,3,0),0)</f>
        <v>0</v>
      </c>
      <c r="L1060" s="46">
        <f>IFERROR(VLOOKUP($E1060,'BASE DE DATOS'!$A:$I,3,0),0)</f>
        <v>0</v>
      </c>
    </row>
    <row r="1061" spans="4:12" x14ac:dyDescent="0.25">
      <c r="D1061" s="46" t="str">
        <f>IFERROR(VLOOKUP($E1061,'BASE DE DATOS'!$A:$I,2,0)," ")</f>
        <v xml:space="preserve"> </v>
      </c>
      <c r="F1061" s="46">
        <f>IFERROR(VLOOKUP($E1074,'BASE DE DATOS'!$A:$I,3,0),0)</f>
        <v>0</v>
      </c>
      <c r="G1061" s="46">
        <f>IFERROR(VLOOKUP($E1061,'BASE DE DATOS'!$A:$I,3,0),0)</f>
        <v>0</v>
      </c>
      <c r="H1061" s="46">
        <f>IFERROR(VLOOKUP($E1061,'BASE DE DATOS'!$A:$I,3,0),0)</f>
        <v>0</v>
      </c>
      <c r="I1061" s="46">
        <f>IFERROR(VLOOKUP($E1061,'BASE DE DATOS'!$A:$I,3,0),0)</f>
        <v>0</v>
      </c>
      <c r="J1061" s="46">
        <f>IFERROR(VLOOKUP($E1061,'BASE DE DATOS'!$A:$I,3,0),0)</f>
        <v>0</v>
      </c>
      <c r="K1061" s="46">
        <f>IFERROR(VLOOKUP($E1320,'BASE DE DATOS'!$A:$I,3,0),0)</f>
        <v>0</v>
      </c>
      <c r="L1061" s="46">
        <f>IFERROR(VLOOKUP($E1061,'BASE DE DATOS'!$A:$I,3,0),0)</f>
        <v>0</v>
      </c>
    </row>
    <row r="1062" spans="4:12" x14ac:dyDescent="0.25">
      <c r="D1062" s="46" t="str">
        <f>IFERROR(VLOOKUP($E1062,'BASE DE DATOS'!$A:$I,2,0)," ")</f>
        <v xml:space="preserve"> </v>
      </c>
      <c r="F1062" s="46">
        <f>IFERROR(VLOOKUP($E1075,'BASE DE DATOS'!$A:$I,3,0),0)</f>
        <v>0</v>
      </c>
      <c r="G1062" s="46">
        <f>IFERROR(VLOOKUP($E1062,'BASE DE DATOS'!$A:$I,3,0),0)</f>
        <v>0</v>
      </c>
      <c r="H1062" s="46">
        <f>IFERROR(VLOOKUP($E1062,'BASE DE DATOS'!$A:$I,3,0),0)</f>
        <v>0</v>
      </c>
      <c r="I1062" s="46">
        <f>IFERROR(VLOOKUP($E1062,'BASE DE DATOS'!$A:$I,3,0),0)</f>
        <v>0</v>
      </c>
      <c r="J1062" s="46">
        <f>IFERROR(VLOOKUP($E1062,'BASE DE DATOS'!$A:$I,3,0),0)</f>
        <v>0</v>
      </c>
      <c r="K1062" s="46">
        <f>IFERROR(VLOOKUP($E1321,'BASE DE DATOS'!$A:$I,3,0),0)</f>
        <v>0</v>
      </c>
      <c r="L1062" s="46">
        <f>IFERROR(VLOOKUP($E1062,'BASE DE DATOS'!$A:$I,3,0),0)</f>
        <v>0</v>
      </c>
    </row>
    <row r="1063" spans="4:12" x14ac:dyDescent="0.25">
      <c r="D1063" s="46" t="str">
        <f>IFERROR(VLOOKUP($E1063,'BASE DE DATOS'!$A:$I,2,0)," ")</f>
        <v xml:space="preserve"> </v>
      </c>
      <c r="F1063" s="46">
        <f>IFERROR(VLOOKUP($E1076,'BASE DE DATOS'!$A:$I,3,0),0)</f>
        <v>0</v>
      </c>
      <c r="G1063" s="46">
        <f>IFERROR(VLOOKUP($E1063,'BASE DE DATOS'!$A:$I,3,0),0)</f>
        <v>0</v>
      </c>
      <c r="H1063" s="46">
        <f>IFERROR(VLOOKUP($E1063,'BASE DE DATOS'!$A:$I,3,0),0)</f>
        <v>0</v>
      </c>
      <c r="I1063" s="46">
        <f>IFERROR(VLOOKUP($E1063,'BASE DE DATOS'!$A:$I,3,0),0)</f>
        <v>0</v>
      </c>
      <c r="J1063" s="46">
        <f>IFERROR(VLOOKUP($E1063,'BASE DE DATOS'!$A:$I,3,0),0)</f>
        <v>0</v>
      </c>
      <c r="K1063" s="46">
        <f>IFERROR(VLOOKUP($E1322,'BASE DE DATOS'!$A:$I,3,0),0)</f>
        <v>0</v>
      </c>
      <c r="L1063" s="46">
        <f>IFERROR(VLOOKUP($E1063,'BASE DE DATOS'!$A:$I,3,0),0)</f>
        <v>0</v>
      </c>
    </row>
    <row r="1064" spans="4:12" x14ac:dyDescent="0.25">
      <c r="D1064" s="46" t="str">
        <f>IFERROR(VLOOKUP($E1064,'BASE DE DATOS'!$A:$I,2,0)," ")</f>
        <v xml:space="preserve"> </v>
      </c>
      <c r="F1064" s="46">
        <f>IFERROR(VLOOKUP($E1077,'BASE DE DATOS'!$A:$I,3,0),0)</f>
        <v>0</v>
      </c>
      <c r="G1064" s="46">
        <f>IFERROR(VLOOKUP($E1064,'BASE DE DATOS'!$A:$I,3,0),0)</f>
        <v>0</v>
      </c>
      <c r="H1064" s="46">
        <f>IFERROR(VLOOKUP($E1064,'BASE DE DATOS'!$A:$I,3,0),0)</f>
        <v>0</v>
      </c>
      <c r="I1064" s="46">
        <f>IFERROR(VLOOKUP($E1064,'BASE DE DATOS'!$A:$I,3,0),0)</f>
        <v>0</v>
      </c>
      <c r="J1064" s="46">
        <f>IFERROR(VLOOKUP($E1064,'BASE DE DATOS'!$A:$I,3,0),0)</f>
        <v>0</v>
      </c>
      <c r="K1064" s="46">
        <f>IFERROR(VLOOKUP($E1323,'BASE DE DATOS'!$A:$I,3,0),0)</f>
        <v>0</v>
      </c>
      <c r="L1064" s="46">
        <f>IFERROR(VLOOKUP($E1064,'BASE DE DATOS'!$A:$I,3,0),0)</f>
        <v>0</v>
      </c>
    </row>
    <row r="1065" spans="4:12" x14ac:dyDescent="0.25">
      <c r="D1065" s="46" t="str">
        <f>IFERROR(VLOOKUP($E1065,'BASE DE DATOS'!$A:$I,2,0)," ")</f>
        <v xml:space="preserve"> </v>
      </c>
      <c r="F1065" s="46">
        <f>IFERROR(VLOOKUP($E1078,'BASE DE DATOS'!$A:$I,3,0),0)</f>
        <v>0</v>
      </c>
      <c r="G1065" s="46">
        <f>IFERROR(VLOOKUP($E1065,'BASE DE DATOS'!$A:$I,3,0),0)</f>
        <v>0</v>
      </c>
      <c r="H1065" s="46">
        <f>IFERROR(VLOOKUP($E1065,'BASE DE DATOS'!$A:$I,3,0),0)</f>
        <v>0</v>
      </c>
      <c r="I1065" s="46">
        <f>IFERROR(VLOOKUP($E1065,'BASE DE DATOS'!$A:$I,3,0),0)</f>
        <v>0</v>
      </c>
      <c r="J1065" s="46">
        <f>IFERROR(VLOOKUP($E1065,'BASE DE DATOS'!$A:$I,3,0),0)</f>
        <v>0</v>
      </c>
      <c r="K1065" s="46">
        <f>IFERROR(VLOOKUP($E1324,'BASE DE DATOS'!$A:$I,3,0),0)</f>
        <v>0</v>
      </c>
      <c r="L1065" s="46">
        <f>IFERROR(VLOOKUP($E1065,'BASE DE DATOS'!$A:$I,3,0),0)</f>
        <v>0</v>
      </c>
    </row>
    <row r="1066" spans="4:12" x14ac:dyDescent="0.25">
      <c r="D1066" s="46" t="str">
        <f>IFERROR(VLOOKUP($E1066,'BASE DE DATOS'!$A:$I,2,0)," ")</f>
        <v xml:space="preserve"> </v>
      </c>
      <c r="F1066" s="46">
        <f>IFERROR(VLOOKUP($E1079,'BASE DE DATOS'!$A:$I,3,0),0)</f>
        <v>0</v>
      </c>
      <c r="G1066" s="46">
        <f>IFERROR(VLOOKUP($E1066,'BASE DE DATOS'!$A:$I,3,0),0)</f>
        <v>0</v>
      </c>
      <c r="H1066" s="46">
        <f>IFERROR(VLOOKUP($E1066,'BASE DE DATOS'!$A:$I,3,0),0)</f>
        <v>0</v>
      </c>
      <c r="I1066" s="46">
        <f>IFERROR(VLOOKUP($E1066,'BASE DE DATOS'!$A:$I,3,0),0)</f>
        <v>0</v>
      </c>
      <c r="J1066" s="46">
        <f>IFERROR(VLOOKUP($E1066,'BASE DE DATOS'!$A:$I,3,0),0)</f>
        <v>0</v>
      </c>
      <c r="K1066" s="46">
        <f>IFERROR(VLOOKUP($E1325,'BASE DE DATOS'!$A:$I,3,0),0)</f>
        <v>0</v>
      </c>
      <c r="L1066" s="46">
        <f>IFERROR(VLOOKUP($E1066,'BASE DE DATOS'!$A:$I,3,0),0)</f>
        <v>0</v>
      </c>
    </row>
    <row r="1067" spans="4:12" x14ac:dyDescent="0.25">
      <c r="D1067" s="46" t="str">
        <f>IFERROR(VLOOKUP($E1067,'BASE DE DATOS'!$A:$I,2,0)," ")</f>
        <v xml:space="preserve"> </v>
      </c>
      <c r="F1067" s="46">
        <f>IFERROR(VLOOKUP($E1080,'BASE DE DATOS'!$A:$I,3,0),0)</f>
        <v>0</v>
      </c>
      <c r="G1067" s="46">
        <f>IFERROR(VLOOKUP($E1067,'BASE DE DATOS'!$A:$I,3,0),0)</f>
        <v>0</v>
      </c>
      <c r="H1067" s="46">
        <f>IFERROR(VLOOKUP($E1067,'BASE DE DATOS'!$A:$I,3,0),0)</f>
        <v>0</v>
      </c>
      <c r="I1067" s="46">
        <f>IFERROR(VLOOKUP($E1067,'BASE DE DATOS'!$A:$I,3,0),0)</f>
        <v>0</v>
      </c>
      <c r="J1067" s="46">
        <f>IFERROR(VLOOKUP($E1067,'BASE DE DATOS'!$A:$I,3,0),0)</f>
        <v>0</v>
      </c>
      <c r="K1067" s="46">
        <f>IFERROR(VLOOKUP($E1326,'BASE DE DATOS'!$A:$I,3,0),0)</f>
        <v>0</v>
      </c>
      <c r="L1067" s="46">
        <f>IFERROR(VLOOKUP($E1067,'BASE DE DATOS'!$A:$I,3,0),0)</f>
        <v>0</v>
      </c>
    </row>
    <row r="1068" spans="4:12" x14ac:dyDescent="0.25">
      <c r="D1068" s="46" t="str">
        <f>IFERROR(VLOOKUP($E1068,'BASE DE DATOS'!$A:$I,2,0)," ")</f>
        <v xml:space="preserve"> </v>
      </c>
      <c r="F1068" s="46">
        <f>IFERROR(VLOOKUP($E1081,'BASE DE DATOS'!$A:$I,3,0),0)</f>
        <v>0</v>
      </c>
      <c r="G1068" s="46">
        <f>IFERROR(VLOOKUP($E1068,'BASE DE DATOS'!$A:$I,3,0),0)</f>
        <v>0</v>
      </c>
      <c r="H1068" s="46">
        <f>IFERROR(VLOOKUP($E1068,'BASE DE DATOS'!$A:$I,3,0),0)</f>
        <v>0</v>
      </c>
      <c r="I1068" s="46">
        <f>IFERROR(VLOOKUP($E1068,'BASE DE DATOS'!$A:$I,3,0),0)</f>
        <v>0</v>
      </c>
      <c r="J1068" s="46">
        <f>IFERROR(VLOOKUP($E1068,'BASE DE DATOS'!$A:$I,3,0),0)</f>
        <v>0</v>
      </c>
      <c r="K1068" s="46">
        <f>IFERROR(VLOOKUP($E1327,'BASE DE DATOS'!$A:$I,3,0),0)</f>
        <v>0</v>
      </c>
      <c r="L1068" s="46">
        <f>IFERROR(VLOOKUP($E1068,'BASE DE DATOS'!$A:$I,3,0),0)</f>
        <v>0</v>
      </c>
    </row>
    <row r="1069" spans="4:12" x14ac:dyDescent="0.25">
      <c r="D1069" s="46" t="str">
        <f>IFERROR(VLOOKUP($E1069,'BASE DE DATOS'!$A:$I,2,0)," ")</f>
        <v xml:space="preserve"> </v>
      </c>
      <c r="F1069" s="46">
        <f>IFERROR(VLOOKUP($E1082,'BASE DE DATOS'!$A:$I,3,0),0)</f>
        <v>0</v>
      </c>
      <c r="G1069" s="46">
        <f>IFERROR(VLOOKUP($E1069,'BASE DE DATOS'!$A:$I,3,0),0)</f>
        <v>0</v>
      </c>
      <c r="H1069" s="46">
        <f>IFERROR(VLOOKUP($E1069,'BASE DE DATOS'!$A:$I,3,0),0)</f>
        <v>0</v>
      </c>
      <c r="I1069" s="46">
        <f>IFERROR(VLOOKUP($E1069,'BASE DE DATOS'!$A:$I,3,0),0)</f>
        <v>0</v>
      </c>
      <c r="J1069" s="46">
        <f>IFERROR(VLOOKUP($E1069,'BASE DE DATOS'!$A:$I,3,0),0)</f>
        <v>0</v>
      </c>
      <c r="K1069" s="46">
        <f>IFERROR(VLOOKUP($E1328,'BASE DE DATOS'!$A:$I,3,0),0)</f>
        <v>0</v>
      </c>
      <c r="L1069" s="46">
        <f>IFERROR(VLOOKUP($E1069,'BASE DE DATOS'!$A:$I,3,0),0)</f>
        <v>0</v>
      </c>
    </row>
    <row r="1070" spans="4:12" x14ac:dyDescent="0.25">
      <c r="D1070" s="46" t="str">
        <f>IFERROR(VLOOKUP($E1070,'BASE DE DATOS'!$A:$I,2,0)," ")</f>
        <v xml:space="preserve"> </v>
      </c>
      <c r="F1070" s="46">
        <f>IFERROR(VLOOKUP($E1083,'BASE DE DATOS'!$A:$I,3,0),0)</f>
        <v>0</v>
      </c>
      <c r="G1070" s="46">
        <f>IFERROR(VLOOKUP($E1070,'BASE DE DATOS'!$A:$I,3,0),0)</f>
        <v>0</v>
      </c>
      <c r="H1070" s="46">
        <f>IFERROR(VLOOKUP($E1070,'BASE DE DATOS'!$A:$I,3,0),0)</f>
        <v>0</v>
      </c>
      <c r="I1070" s="46">
        <f>IFERROR(VLOOKUP($E1070,'BASE DE DATOS'!$A:$I,3,0),0)</f>
        <v>0</v>
      </c>
      <c r="J1070" s="46">
        <f>IFERROR(VLOOKUP($E1070,'BASE DE DATOS'!$A:$I,3,0),0)</f>
        <v>0</v>
      </c>
      <c r="K1070" s="46">
        <f>IFERROR(VLOOKUP($E1329,'BASE DE DATOS'!$A:$I,3,0),0)</f>
        <v>0</v>
      </c>
      <c r="L1070" s="46">
        <f>IFERROR(VLOOKUP($E1070,'BASE DE DATOS'!$A:$I,3,0),0)</f>
        <v>0</v>
      </c>
    </row>
    <row r="1071" spans="4:12" x14ac:dyDescent="0.25">
      <c r="D1071" s="46" t="str">
        <f>IFERROR(VLOOKUP($E1071,'BASE DE DATOS'!$A:$I,2,0)," ")</f>
        <v xml:space="preserve"> </v>
      </c>
      <c r="F1071" s="46">
        <f>IFERROR(VLOOKUP($E1084,'BASE DE DATOS'!$A:$I,3,0),0)</f>
        <v>0</v>
      </c>
      <c r="G1071" s="46">
        <f>IFERROR(VLOOKUP($E1071,'BASE DE DATOS'!$A:$I,3,0),0)</f>
        <v>0</v>
      </c>
      <c r="H1071" s="46">
        <f>IFERROR(VLOOKUP($E1071,'BASE DE DATOS'!$A:$I,3,0),0)</f>
        <v>0</v>
      </c>
      <c r="I1071" s="46">
        <f>IFERROR(VLOOKUP($E1071,'BASE DE DATOS'!$A:$I,3,0),0)</f>
        <v>0</v>
      </c>
      <c r="J1071" s="46">
        <f>IFERROR(VLOOKUP($E1071,'BASE DE DATOS'!$A:$I,3,0),0)</f>
        <v>0</v>
      </c>
      <c r="K1071" s="46">
        <f>IFERROR(VLOOKUP($E1330,'BASE DE DATOS'!$A:$I,3,0),0)</f>
        <v>0</v>
      </c>
      <c r="L1071" s="46">
        <f>IFERROR(VLOOKUP($E1071,'BASE DE DATOS'!$A:$I,3,0),0)</f>
        <v>0</v>
      </c>
    </row>
    <row r="1072" spans="4:12" x14ac:dyDescent="0.25">
      <c r="D1072" s="46" t="str">
        <f>IFERROR(VLOOKUP($E1072,'BASE DE DATOS'!$A:$I,2,0)," ")</f>
        <v xml:space="preserve"> </v>
      </c>
      <c r="F1072" s="46">
        <f>IFERROR(VLOOKUP($E1085,'BASE DE DATOS'!$A:$I,3,0),0)</f>
        <v>0</v>
      </c>
      <c r="G1072" s="46">
        <f>IFERROR(VLOOKUP($E1072,'BASE DE DATOS'!$A:$I,3,0),0)</f>
        <v>0</v>
      </c>
      <c r="H1072" s="46">
        <f>IFERROR(VLOOKUP($E1072,'BASE DE DATOS'!$A:$I,3,0),0)</f>
        <v>0</v>
      </c>
      <c r="I1072" s="46">
        <f>IFERROR(VLOOKUP($E1072,'BASE DE DATOS'!$A:$I,3,0),0)</f>
        <v>0</v>
      </c>
      <c r="J1072" s="46">
        <f>IFERROR(VLOOKUP($E1072,'BASE DE DATOS'!$A:$I,3,0),0)</f>
        <v>0</v>
      </c>
      <c r="K1072" s="46">
        <f>IFERROR(VLOOKUP($E1331,'BASE DE DATOS'!$A:$I,3,0),0)</f>
        <v>0</v>
      </c>
      <c r="L1072" s="46">
        <f>IFERROR(VLOOKUP($E1072,'BASE DE DATOS'!$A:$I,3,0),0)</f>
        <v>0</v>
      </c>
    </row>
    <row r="1073" spans="4:12" x14ac:dyDescent="0.25">
      <c r="D1073" s="46" t="str">
        <f>IFERROR(VLOOKUP($E1073,'BASE DE DATOS'!$A:$I,2,0)," ")</f>
        <v xml:space="preserve"> </v>
      </c>
      <c r="F1073" s="46">
        <f>IFERROR(VLOOKUP($E1086,'BASE DE DATOS'!$A:$I,3,0),0)</f>
        <v>0</v>
      </c>
      <c r="G1073" s="46">
        <f>IFERROR(VLOOKUP($E1073,'BASE DE DATOS'!$A:$I,3,0),0)</f>
        <v>0</v>
      </c>
      <c r="H1073" s="46">
        <f>IFERROR(VLOOKUP($E1073,'BASE DE DATOS'!$A:$I,3,0),0)</f>
        <v>0</v>
      </c>
      <c r="I1073" s="46">
        <f>IFERROR(VLOOKUP($E1073,'BASE DE DATOS'!$A:$I,3,0),0)</f>
        <v>0</v>
      </c>
      <c r="J1073" s="46">
        <f>IFERROR(VLOOKUP($E1073,'BASE DE DATOS'!$A:$I,3,0),0)</f>
        <v>0</v>
      </c>
      <c r="K1073" s="46">
        <f>IFERROR(VLOOKUP($E1332,'BASE DE DATOS'!$A:$I,3,0),0)</f>
        <v>0</v>
      </c>
      <c r="L1073" s="46">
        <f>IFERROR(VLOOKUP($E1073,'BASE DE DATOS'!$A:$I,3,0),0)</f>
        <v>0</v>
      </c>
    </row>
    <row r="1074" spans="4:12" x14ac:dyDescent="0.25">
      <c r="D1074" s="46" t="str">
        <f>IFERROR(VLOOKUP($E1074,'BASE DE DATOS'!$A:$I,2,0)," ")</f>
        <v xml:space="preserve"> </v>
      </c>
      <c r="F1074" s="46">
        <f>IFERROR(VLOOKUP($E1087,'BASE DE DATOS'!$A:$I,3,0),0)</f>
        <v>0</v>
      </c>
      <c r="G1074" s="46">
        <f>IFERROR(VLOOKUP($E1074,'BASE DE DATOS'!$A:$I,3,0),0)</f>
        <v>0</v>
      </c>
      <c r="H1074" s="46">
        <f>IFERROR(VLOOKUP($E1074,'BASE DE DATOS'!$A:$I,3,0),0)</f>
        <v>0</v>
      </c>
      <c r="I1074" s="46">
        <f>IFERROR(VLOOKUP($E1074,'BASE DE DATOS'!$A:$I,3,0),0)</f>
        <v>0</v>
      </c>
      <c r="J1074" s="46">
        <f>IFERROR(VLOOKUP($E1074,'BASE DE DATOS'!$A:$I,3,0),0)</f>
        <v>0</v>
      </c>
      <c r="K1074" s="46">
        <f>IFERROR(VLOOKUP($E1333,'BASE DE DATOS'!$A:$I,3,0),0)</f>
        <v>0</v>
      </c>
      <c r="L1074" s="46">
        <f>IFERROR(VLOOKUP($E1074,'BASE DE DATOS'!$A:$I,3,0),0)</f>
        <v>0</v>
      </c>
    </row>
    <row r="1075" spans="4:12" x14ac:dyDescent="0.25">
      <c r="D1075" s="46" t="str">
        <f>IFERROR(VLOOKUP($E1075,'BASE DE DATOS'!$A:$I,2,0)," ")</f>
        <v xml:space="preserve"> </v>
      </c>
      <c r="F1075" s="46">
        <f>IFERROR(VLOOKUP($E1088,'BASE DE DATOS'!$A:$I,3,0),0)</f>
        <v>0</v>
      </c>
      <c r="G1075" s="46">
        <f>IFERROR(VLOOKUP($E1075,'BASE DE DATOS'!$A:$I,3,0),0)</f>
        <v>0</v>
      </c>
      <c r="H1075" s="46">
        <f>IFERROR(VLOOKUP($E1075,'BASE DE DATOS'!$A:$I,3,0),0)</f>
        <v>0</v>
      </c>
      <c r="I1075" s="46">
        <f>IFERROR(VLOOKUP($E1075,'BASE DE DATOS'!$A:$I,3,0),0)</f>
        <v>0</v>
      </c>
      <c r="J1075" s="46">
        <f>IFERROR(VLOOKUP($E1075,'BASE DE DATOS'!$A:$I,3,0),0)</f>
        <v>0</v>
      </c>
      <c r="K1075" s="46">
        <f>IFERROR(VLOOKUP($E1334,'BASE DE DATOS'!$A:$I,3,0),0)</f>
        <v>0</v>
      </c>
      <c r="L1075" s="46">
        <f>IFERROR(VLOOKUP($E1075,'BASE DE DATOS'!$A:$I,3,0),0)</f>
        <v>0</v>
      </c>
    </row>
    <row r="1076" spans="4:12" x14ac:dyDescent="0.25">
      <c r="D1076" s="46" t="str">
        <f>IFERROR(VLOOKUP($E1076,'BASE DE DATOS'!$A:$I,2,0)," ")</f>
        <v xml:space="preserve"> </v>
      </c>
      <c r="F1076" s="46">
        <f>IFERROR(VLOOKUP($E1089,'BASE DE DATOS'!$A:$I,3,0),0)</f>
        <v>0</v>
      </c>
      <c r="G1076" s="46">
        <f>IFERROR(VLOOKUP($E1076,'BASE DE DATOS'!$A:$I,3,0),0)</f>
        <v>0</v>
      </c>
      <c r="H1076" s="46">
        <f>IFERROR(VLOOKUP($E1076,'BASE DE DATOS'!$A:$I,3,0),0)</f>
        <v>0</v>
      </c>
      <c r="I1076" s="46">
        <f>IFERROR(VLOOKUP($E1076,'BASE DE DATOS'!$A:$I,3,0),0)</f>
        <v>0</v>
      </c>
      <c r="J1076" s="46">
        <f>IFERROR(VLOOKUP($E1076,'BASE DE DATOS'!$A:$I,3,0),0)</f>
        <v>0</v>
      </c>
      <c r="K1076" s="46">
        <f>IFERROR(VLOOKUP($E1335,'BASE DE DATOS'!$A:$I,3,0),0)</f>
        <v>0</v>
      </c>
      <c r="L1076" s="46">
        <f>IFERROR(VLOOKUP($E1076,'BASE DE DATOS'!$A:$I,3,0),0)</f>
        <v>0</v>
      </c>
    </row>
    <row r="1077" spans="4:12" x14ac:dyDescent="0.25">
      <c r="D1077" s="46" t="str">
        <f>IFERROR(VLOOKUP($E1077,'BASE DE DATOS'!$A:$I,2,0)," ")</f>
        <v xml:space="preserve"> </v>
      </c>
      <c r="F1077" s="46">
        <f>IFERROR(VLOOKUP($E1090,'BASE DE DATOS'!$A:$I,3,0),0)</f>
        <v>0</v>
      </c>
      <c r="G1077" s="46">
        <f>IFERROR(VLOOKUP($E1077,'BASE DE DATOS'!$A:$I,3,0),0)</f>
        <v>0</v>
      </c>
      <c r="H1077" s="46">
        <f>IFERROR(VLOOKUP($E1077,'BASE DE DATOS'!$A:$I,3,0),0)</f>
        <v>0</v>
      </c>
      <c r="I1077" s="46">
        <f>IFERROR(VLOOKUP($E1077,'BASE DE DATOS'!$A:$I,3,0),0)</f>
        <v>0</v>
      </c>
      <c r="J1077" s="46">
        <f>IFERROR(VLOOKUP($E1077,'BASE DE DATOS'!$A:$I,3,0),0)</f>
        <v>0</v>
      </c>
      <c r="K1077" s="46">
        <f>IFERROR(VLOOKUP($E1336,'BASE DE DATOS'!$A:$I,3,0),0)</f>
        <v>0</v>
      </c>
      <c r="L1077" s="46">
        <f>IFERROR(VLOOKUP($E1077,'BASE DE DATOS'!$A:$I,3,0),0)</f>
        <v>0</v>
      </c>
    </row>
    <row r="1078" spans="4:12" x14ac:dyDescent="0.25">
      <c r="D1078" s="46" t="str">
        <f>IFERROR(VLOOKUP($E1078,'BASE DE DATOS'!$A:$I,2,0)," ")</f>
        <v xml:space="preserve"> </v>
      </c>
      <c r="F1078" s="46">
        <f>IFERROR(VLOOKUP($E1091,'BASE DE DATOS'!$A:$I,3,0),0)</f>
        <v>0</v>
      </c>
      <c r="G1078" s="46">
        <f>IFERROR(VLOOKUP($E1078,'BASE DE DATOS'!$A:$I,3,0),0)</f>
        <v>0</v>
      </c>
      <c r="H1078" s="46">
        <f>IFERROR(VLOOKUP($E1078,'BASE DE DATOS'!$A:$I,3,0),0)</f>
        <v>0</v>
      </c>
      <c r="I1078" s="46">
        <f>IFERROR(VLOOKUP($E1078,'BASE DE DATOS'!$A:$I,3,0),0)</f>
        <v>0</v>
      </c>
      <c r="J1078" s="46">
        <f>IFERROR(VLOOKUP($E1078,'BASE DE DATOS'!$A:$I,3,0),0)</f>
        <v>0</v>
      </c>
      <c r="K1078" s="46">
        <f>IFERROR(VLOOKUP($E1337,'BASE DE DATOS'!$A:$I,3,0),0)</f>
        <v>0</v>
      </c>
      <c r="L1078" s="46">
        <f>IFERROR(VLOOKUP($E1078,'BASE DE DATOS'!$A:$I,3,0),0)</f>
        <v>0</v>
      </c>
    </row>
    <row r="1079" spans="4:12" x14ac:dyDescent="0.25">
      <c r="D1079" s="46" t="str">
        <f>IFERROR(VLOOKUP($E1079,'BASE DE DATOS'!$A:$I,2,0)," ")</f>
        <v xml:space="preserve"> </v>
      </c>
      <c r="F1079" s="46">
        <f>IFERROR(VLOOKUP($E1092,'BASE DE DATOS'!$A:$I,3,0),0)</f>
        <v>0</v>
      </c>
      <c r="G1079" s="46">
        <f>IFERROR(VLOOKUP($E1079,'BASE DE DATOS'!$A:$I,3,0),0)</f>
        <v>0</v>
      </c>
      <c r="H1079" s="46">
        <f>IFERROR(VLOOKUP($E1079,'BASE DE DATOS'!$A:$I,3,0),0)</f>
        <v>0</v>
      </c>
      <c r="I1079" s="46">
        <f>IFERROR(VLOOKUP($E1079,'BASE DE DATOS'!$A:$I,3,0),0)</f>
        <v>0</v>
      </c>
      <c r="J1079" s="46">
        <f>IFERROR(VLOOKUP($E1079,'BASE DE DATOS'!$A:$I,3,0),0)</f>
        <v>0</v>
      </c>
      <c r="K1079" s="46">
        <f>IFERROR(VLOOKUP($E1338,'BASE DE DATOS'!$A:$I,3,0),0)</f>
        <v>0</v>
      </c>
      <c r="L1079" s="46">
        <f>IFERROR(VLOOKUP($E1079,'BASE DE DATOS'!$A:$I,3,0),0)</f>
        <v>0</v>
      </c>
    </row>
    <row r="1080" spans="4:12" x14ac:dyDescent="0.25">
      <c r="D1080" s="46" t="str">
        <f>IFERROR(VLOOKUP($E1080,'BASE DE DATOS'!$A:$I,2,0)," ")</f>
        <v xml:space="preserve"> </v>
      </c>
      <c r="F1080" s="46">
        <f>IFERROR(VLOOKUP($E1093,'BASE DE DATOS'!$A:$I,3,0),0)</f>
        <v>0</v>
      </c>
      <c r="G1080" s="46">
        <f>IFERROR(VLOOKUP($E1080,'BASE DE DATOS'!$A:$I,3,0),0)</f>
        <v>0</v>
      </c>
      <c r="H1080" s="46">
        <f>IFERROR(VLOOKUP($E1080,'BASE DE DATOS'!$A:$I,3,0),0)</f>
        <v>0</v>
      </c>
      <c r="I1080" s="46">
        <f>IFERROR(VLOOKUP($E1080,'BASE DE DATOS'!$A:$I,3,0),0)</f>
        <v>0</v>
      </c>
      <c r="J1080" s="46">
        <f>IFERROR(VLOOKUP($E1080,'BASE DE DATOS'!$A:$I,3,0),0)</f>
        <v>0</v>
      </c>
      <c r="K1080" s="46">
        <f>IFERROR(VLOOKUP($E1339,'BASE DE DATOS'!$A:$I,3,0),0)</f>
        <v>0</v>
      </c>
      <c r="L1080" s="46">
        <f>IFERROR(VLOOKUP($E1080,'BASE DE DATOS'!$A:$I,3,0),0)</f>
        <v>0</v>
      </c>
    </row>
    <row r="1081" spans="4:12" x14ac:dyDescent="0.25">
      <c r="D1081" s="46" t="str">
        <f>IFERROR(VLOOKUP($E1081,'BASE DE DATOS'!$A:$I,2,0)," ")</f>
        <v xml:space="preserve"> </v>
      </c>
      <c r="F1081" s="46">
        <f>IFERROR(VLOOKUP($E1094,'BASE DE DATOS'!$A:$I,3,0),0)</f>
        <v>0</v>
      </c>
      <c r="G1081" s="46">
        <f>IFERROR(VLOOKUP($E1081,'BASE DE DATOS'!$A:$I,3,0),0)</f>
        <v>0</v>
      </c>
      <c r="H1081" s="46">
        <f>IFERROR(VLOOKUP($E1081,'BASE DE DATOS'!$A:$I,3,0),0)</f>
        <v>0</v>
      </c>
      <c r="I1081" s="46">
        <f>IFERROR(VLOOKUP($E1081,'BASE DE DATOS'!$A:$I,3,0),0)</f>
        <v>0</v>
      </c>
      <c r="J1081" s="46">
        <f>IFERROR(VLOOKUP($E1081,'BASE DE DATOS'!$A:$I,3,0),0)</f>
        <v>0</v>
      </c>
      <c r="K1081" s="46">
        <f>IFERROR(VLOOKUP($E1340,'BASE DE DATOS'!$A:$I,3,0),0)</f>
        <v>0</v>
      </c>
      <c r="L1081" s="46">
        <f>IFERROR(VLOOKUP($E1081,'BASE DE DATOS'!$A:$I,3,0),0)</f>
        <v>0</v>
      </c>
    </row>
    <row r="1082" spans="4:12" x14ac:dyDescent="0.25">
      <c r="D1082" s="46" t="str">
        <f>IFERROR(VLOOKUP($E1082,'BASE DE DATOS'!$A:$I,2,0)," ")</f>
        <v xml:space="preserve"> </v>
      </c>
      <c r="F1082" s="46">
        <f>IFERROR(VLOOKUP($E1095,'BASE DE DATOS'!$A:$I,3,0),0)</f>
        <v>0</v>
      </c>
      <c r="G1082" s="46">
        <f>IFERROR(VLOOKUP($E1082,'BASE DE DATOS'!$A:$I,3,0),0)</f>
        <v>0</v>
      </c>
      <c r="H1082" s="46">
        <f>IFERROR(VLOOKUP($E1082,'BASE DE DATOS'!$A:$I,3,0),0)</f>
        <v>0</v>
      </c>
      <c r="I1082" s="46">
        <f>IFERROR(VLOOKUP($E1082,'BASE DE DATOS'!$A:$I,3,0),0)</f>
        <v>0</v>
      </c>
      <c r="J1082" s="46">
        <f>IFERROR(VLOOKUP($E1082,'BASE DE DATOS'!$A:$I,3,0),0)</f>
        <v>0</v>
      </c>
      <c r="K1082" s="46">
        <f>IFERROR(VLOOKUP($E1341,'BASE DE DATOS'!$A:$I,3,0),0)</f>
        <v>0</v>
      </c>
      <c r="L1082" s="46">
        <f>IFERROR(VLOOKUP($E1082,'BASE DE DATOS'!$A:$I,3,0),0)</f>
        <v>0</v>
      </c>
    </row>
    <row r="1083" spans="4:12" x14ac:dyDescent="0.25">
      <c r="D1083" s="46" t="str">
        <f>IFERROR(VLOOKUP($E1083,'BASE DE DATOS'!$A:$I,2,0)," ")</f>
        <v xml:space="preserve"> </v>
      </c>
      <c r="F1083" s="46">
        <f>IFERROR(VLOOKUP($E1096,'BASE DE DATOS'!$A:$I,3,0),0)</f>
        <v>0</v>
      </c>
      <c r="G1083" s="46">
        <f>IFERROR(VLOOKUP($E1083,'BASE DE DATOS'!$A:$I,3,0),0)</f>
        <v>0</v>
      </c>
      <c r="H1083" s="46">
        <f>IFERROR(VLOOKUP($E1083,'BASE DE DATOS'!$A:$I,3,0),0)</f>
        <v>0</v>
      </c>
      <c r="I1083" s="46">
        <f>IFERROR(VLOOKUP($E1083,'BASE DE DATOS'!$A:$I,3,0),0)</f>
        <v>0</v>
      </c>
      <c r="J1083" s="46">
        <f>IFERROR(VLOOKUP($E1083,'BASE DE DATOS'!$A:$I,3,0),0)</f>
        <v>0</v>
      </c>
      <c r="K1083" s="46">
        <f>IFERROR(VLOOKUP($E1342,'BASE DE DATOS'!$A:$I,3,0),0)</f>
        <v>0</v>
      </c>
      <c r="L1083" s="46">
        <f>IFERROR(VLOOKUP($E1083,'BASE DE DATOS'!$A:$I,3,0),0)</f>
        <v>0</v>
      </c>
    </row>
    <row r="1084" spans="4:12" x14ac:dyDescent="0.25">
      <c r="D1084" s="46" t="str">
        <f>IFERROR(VLOOKUP($E1084,'BASE DE DATOS'!$A:$I,2,0)," ")</f>
        <v xml:space="preserve"> </v>
      </c>
      <c r="F1084" s="46">
        <f>IFERROR(VLOOKUP($E1097,'BASE DE DATOS'!$A:$I,3,0),0)</f>
        <v>0</v>
      </c>
      <c r="G1084" s="46">
        <f>IFERROR(VLOOKUP($E1084,'BASE DE DATOS'!$A:$I,3,0),0)</f>
        <v>0</v>
      </c>
      <c r="H1084" s="46">
        <f>IFERROR(VLOOKUP($E1084,'BASE DE DATOS'!$A:$I,3,0),0)</f>
        <v>0</v>
      </c>
      <c r="I1084" s="46">
        <f>IFERROR(VLOOKUP($E1084,'BASE DE DATOS'!$A:$I,3,0),0)</f>
        <v>0</v>
      </c>
      <c r="J1084" s="46">
        <f>IFERROR(VLOOKUP($E1084,'BASE DE DATOS'!$A:$I,3,0),0)</f>
        <v>0</v>
      </c>
      <c r="K1084" s="46">
        <f>IFERROR(VLOOKUP($E1343,'BASE DE DATOS'!$A:$I,3,0),0)</f>
        <v>0</v>
      </c>
      <c r="L1084" s="46">
        <f>IFERROR(VLOOKUP($E1084,'BASE DE DATOS'!$A:$I,3,0),0)</f>
        <v>0</v>
      </c>
    </row>
    <row r="1085" spans="4:12" x14ac:dyDescent="0.25">
      <c r="D1085" s="46" t="str">
        <f>IFERROR(VLOOKUP($E1085,'BASE DE DATOS'!$A:$I,2,0)," ")</f>
        <v xml:space="preserve"> </v>
      </c>
      <c r="F1085" s="46">
        <f>IFERROR(VLOOKUP($E1098,'BASE DE DATOS'!$A:$I,3,0),0)</f>
        <v>0</v>
      </c>
      <c r="G1085" s="46">
        <f>IFERROR(VLOOKUP($E1085,'BASE DE DATOS'!$A:$I,3,0),0)</f>
        <v>0</v>
      </c>
      <c r="H1085" s="46">
        <f>IFERROR(VLOOKUP($E1085,'BASE DE DATOS'!$A:$I,3,0),0)</f>
        <v>0</v>
      </c>
      <c r="I1085" s="46">
        <f>IFERROR(VLOOKUP($E1085,'BASE DE DATOS'!$A:$I,3,0),0)</f>
        <v>0</v>
      </c>
      <c r="J1085" s="46">
        <f>IFERROR(VLOOKUP($E1085,'BASE DE DATOS'!$A:$I,3,0),0)</f>
        <v>0</v>
      </c>
      <c r="K1085" s="46">
        <f>IFERROR(VLOOKUP($E1344,'BASE DE DATOS'!$A:$I,3,0),0)</f>
        <v>0</v>
      </c>
      <c r="L1085" s="46">
        <f>IFERROR(VLOOKUP($E1085,'BASE DE DATOS'!$A:$I,3,0),0)</f>
        <v>0</v>
      </c>
    </row>
    <row r="1086" spans="4:12" x14ac:dyDescent="0.25">
      <c r="D1086" s="46" t="str">
        <f>IFERROR(VLOOKUP($E1086,'BASE DE DATOS'!$A:$I,2,0)," ")</f>
        <v xml:space="preserve"> </v>
      </c>
      <c r="F1086" s="46">
        <f>IFERROR(VLOOKUP($E1099,'BASE DE DATOS'!$A:$I,3,0),0)</f>
        <v>0</v>
      </c>
      <c r="G1086" s="46">
        <f>IFERROR(VLOOKUP($E1086,'BASE DE DATOS'!$A:$I,3,0),0)</f>
        <v>0</v>
      </c>
      <c r="H1086" s="46">
        <f>IFERROR(VLOOKUP($E1086,'BASE DE DATOS'!$A:$I,3,0),0)</f>
        <v>0</v>
      </c>
      <c r="I1086" s="46">
        <f>IFERROR(VLOOKUP($E1086,'BASE DE DATOS'!$A:$I,3,0),0)</f>
        <v>0</v>
      </c>
      <c r="J1086" s="46">
        <f>IFERROR(VLOOKUP($E1086,'BASE DE DATOS'!$A:$I,3,0),0)</f>
        <v>0</v>
      </c>
      <c r="K1086" s="46">
        <f>IFERROR(VLOOKUP($E1345,'BASE DE DATOS'!$A:$I,3,0),0)</f>
        <v>0</v>
      </c>
      <c r="L1086" s="46">
        <f>IFERROR(VLOOKUP($E1086,'BASE DE DATOS'!$A:$I,3,0),0)</f>
        <v>0</v>
      </c>
    </row>
    <row r="1087" spans="4:12" x14ac:dyDescent="0.25">
      <c r="D1087" s="46" t="str">
        <f>IFERROR(VLOOKUP($E1087,'BASE DE DATOS'!$A:$I,2,0)," ")</f>
        <v xml:space="preserve"> </v>
      </c>
      <c r="F1087" s="46">
        <f>IFERROR(VLOOKUP($E1100,'BASE DE DATOS'!$A:$I,3,0),0)</f>
        <v>0</v>
      </c>
      <c r="G1087" s="46">
        <f>IFERROR(VLOOKUP($E1087,'BASE DE DATOS'!$A:$I,3,0),0)</f>
        <v>0</v>
      </c>
      <c r="H1087" s="46">
        <f>IFERROR(VLOOKUP($E1087,'BASE DE DATOS'!$A:$I,3,0),0)</f>
        <v>0</v>
      </c>
      <c r="I1087" s="46">
        <f>IFERROR(VLOOKUP($E1087,'BASE DE DATOS'!$A:$I,3,0),0)</f>
        <v>0</v>
      </c>
      <c r="J1087" s="46">
        <f>IFERROR(VLOOKUP($E1087,'BASE DE DATOS'!$A:$I,3,0),0)</f>
        <v>0</v>
      </c>
      <c r="K1087" s="46">
        <f>IFERROR(VLOOKUP($E1346,'BASE DE DATOS'!$A:$I,3,0),0)</f>
        <v>0</v>
      </c>
      <c r="L1087" s="46">
        <f>IFERROR(VLOOKUP($E1087,'BASE DE DATOS'!$A:$I,3,0),0)</f>
        <v>0</v>
      </c>
    </row>
    <row r="1088" spans="4:12" x14ac:dyDescent="0.25">
      <c r="D1088" s="46" t="str">
        <f>IFERROR(VLOOKUP($E1088,'BASE DE DATOS'!$A:$I,2,0)," ")</f>
        <v xml:space="preserve"> </v>
      </c>
      <c r="F1088" s="46">
        <f>IFERROR(VLOOKUP($E1101,'BASE DE DATOS'!$A:$I,3,0),0)</f>
        <v>0</v>
      </c>
      <c r="G1088" s="46">
        <f>IFERROR(VLOOKUP($E1088,'BASE DE DATOS'!$A:$I,3,0),0)</f>
        <v>0</v>
      </c>
      <c r="H1088" s="46">
        <f>IFERROR(VLOOKUP($E1088,'BASE DE DATOS'!$A:$I,3,0),0)</f>
        <v>0</v>
      </c>
      <c r="I1088" s="46">
        <f>IFERROR(VLOOKUP($E1088,'BASE DE DATOS'!$A:$I,3,0),0)</f>
        <v>0</v>
      </c>
      <c r="J1088" s="46">
        <f>IFERROR(VLOOKUP($E1088,'BASE DE DATOS'!$A:$I,3,0),0)</f>
        <v>0</v>
      </c>
      <c r="K1088" s="46">
        <f>IFERROR(VLOOKUP($E1347,'BASE DE DATOS'!$A:$I,3,0),0)</f>
        <v>0</v>
      </c>
      <c r="L1088" s="46">
        <f>IFERROR(VLOOKUP($E1088,'BASE DE DATOS'!$A:$I,3,0),0)</f>
        <v>0</v>
      </c>
    </row>
    <row r="1089" spans="4:12" x14ac:dyDescent="0.25">
      <c r="D1089" s="46" t="str">
        <f>IFERROR(VLOOKUP($E1089,'BASE DE DATOS'!$A:$I,2,0)," ")</f>
        <v xml:space="preserve"> </v>
      </c>
      <c r="F1089" s="46">
        <f>IFERROR(VLOOKUP($E1102,'BASE DE DATOS'!$A:$I,3,0),0)</f>
        <v>0</v>
      </c>
      <c r="G1089" s="46">
        <f>IFERROR(VLOOKUP($E1089,'BASE DE DATOS'!$A:$I,3,0),0)</f>
        <v>0</v>
      </c>
      <c r="H1089" s="46">
        <f>IFERROR(VLOOKUP($E1089,'BASE DE DATOS'!$A:$I,3,0),0)</f>
        <v>0</v>
      </c>
      <c r="I1089" s="46">
        <f>IFERROR(VLOOKUP($E1089,'BASE DE DATOS'!$A:$I,3,0),0)</f>
        <v>0</v>
      </c>
      <c r="J1089" s="46">
        <f>IFERROR(VLOOKUP($E1089,'BASE DE DATOS'!$A:$I,3,0),0)</f>
        <v>0</v>
      </c>
      <c r="K1089" s="46">
        <f>IFERROR(VLOOKUP($E1348,'BASE DE DATOS'!$A:$I,3,0),0)</f>
        <v>0</v>
      </c>
      <c r="L1089" s="46">
        <f>IFERROR(VLOOKUP($E1089,'BASE DE DATOS'!$A:$I,3,0),0)</f>
        <v>0</v>
      </c>
    </row>
    <row r="1090" spans="4:12" x14ac:dyDescent="0.25">
      <c r="D1090" s="46" t="str">
        <f>IFERROR(VLOOKUP($E1090,'BASE DE DATOS'!$A:$I,2,0)," ")</f>
        <v xml:space="preserve"> </v>
      </c>
      <c r="F1090" s="46">
        <f>IFERROR(VLOOKUP($E1103,'BASE DE DATOS'!$A:$I,3,0),0)</f>
        <v>0</v>
      </c>
      <c r="G1090" s="46">
        <f>IFERROR(VLOOKUP($E1090,'BASE DE DATOS'!$A:$I,3,0),0)</f>
        <v>0</v>
      </c>
      <c r="H1090" s="46">
        <f>IFERROR(VLOOKUP($E1090,'BASE DE DATOS'!$A:$I,3,0),0)</f>
        <v>0</v>
      </c>
      <c r="I1090" s="46">
        <f>IFERROR(VLOOKUP($E1090,'BASE DE DATOS'!$A:$I,3,0),0)</f>
        <v>0</v>
      </c>
      <c r="J1090" s="46">
        <f>IFERROR(VLOOKUP($E1090,'BASE DE DATOS'!$A:$I,3,0),0)</f>
        <v>0</v>
      </c>
      <c r="K1090" s="46">
        <f>IFERROR(VLOOKUP($E1349,'BASE DE DATOS'!$A:$I,3,0),0)</f>
        <v>0</v>
      </c>
      <c r="L1090" s="46">
        <f>IFERROR(VLOOKUP($E1090,'BASE DE DATOS'!$A:$I,3,0),0)</f>
        <v>0</v>
      </c>
    </row>
    <row r="1091" spans="4:12" x14ac:dyDescent="0.25">
      <c r="D1091" s="46" t="str">
        <f>IFERROR(VLOOKUP($E1091,'BASE DE DATOS'!$A:$I,2,0)," ")</f>
        <v xml:space="preserve"> </v>
      </c>
      <c r="F1091" s="46">
        <f>IFERROR(VLOOKUP($E1104,'BASE DE DATOS'!$A:$I,3,0),0)</f>
        <v>0</v>
      </c>
      <c r="G1091" s="46">
        <f>IFERROR(VLOOKUP($E1091,'BASE DE DATOS'!$A:$I,3,0),0)</f>
        <v>0</v>
      </c>
      <c r="H1091" s="46">
        <f>IFERROR(VLOOKUP($E1091,'BASE DE DATOS'!$A:$I,3,0),0)</f>
        <v>0</v>
      </c>
      <c r="I1091" s="46">
        <f>IFERROR(VLOOKUP($E1091,'BASE DE DATOS'!$A:$I,3,0),0)</f>
        <v>0</v>
      </c>
      <c r="J1091" s="46">
        <f>IFERROR(VLOOKUP($E1091,'BASE DE DATOS'!$A:$I,3,0),0)</f>
        <v>0</v>
      </c>
      <c r="K1091" s="46">
        <f>IFERROR(VLOOKUP($E1350,'BASE DE DATOS'!$A:$I,3,0),0)</f>
        <v>0</v>
      </c>
      <c r="L1091" s="46">
        <f>IFERROR(VLOOKUP($E1091,'BASE DE DATOS'!$A:$I,3,0),0)</f>
        <v>0</v>
      </c>
    </row>
    <row r="1092" spans="4:12" x14ac:dyDescent="0.25">
      <c r="D1092" s="46" t="str">
        <f>IFERROR(VLOOKUP($E1092,'BASE DE DATOS'!$A:$I,2,0)," ")</f>
        <v xml:space="preserve"> </v>
      </c>
      <c r="F1092" s="46">
        <f>IFERROR(VLOOKUP($E1105,'BASE DE DATOS'!$A:$I,3,0),0)</f>
        <v>0</v>
      </c>
      <c r="G1092" s="46">
        <f>IFERROR(VLOOKUP($E1092,'BASE DE DATOS'!$A:$I,3,0),0)</f>
        <v>0</v>
      </c>
      <c r="H1092" s="46">
        <f>IFERROR(VLOOKUP($E1092,'BASE DE DATOS'!$A:$I,3,0),0)</f>
        <v>0</v>
      </c>
      <c r="I1092" s="46">
        <f>IFERROR(VLOOKUP($E1092,'BASE DE DATOS'!$A:$I,3,0),0)</f>
        <v>0</v>
      </c>
      <c r="J1092" s="46">
        <f>IFERROR(VLOOKUP($E1092,'BASE DE DATOS'!$A:$I,3,0),0)</f>
        <v>0</v>
      </c>
      <c r="K1092" s="46">
        <f>IFERROR(VLOOKUP($E1351,'BASE DE DATOS'!$A:$I,3,0),0)</f>
        <v>0</v>
      </c>
      <c r="L1092" s="46">
        <f>IFERROR(VLOOKUP($E1092,'BASE DE DATOS'!$A:$I,3,0),0)</f>
        <v>0</v>
      </c>
    </row>
    <row r="1093" spans="4:12" x14ac:dyDescent="0.25">
      <c r="D1093" s="46" t="str">
        <f>IFERROR(VLOOKUP($E1093,'BASE DE DATOS'!$A:$I,2,0)," ")</f>
        <v xml:space="preserve"> </v>
      </c>
      <c r="F1093" s="46">
        <f>IFERROR(VLOOKUP($E1106,'BASE DE DATOS'!$A:$I,3,0),0)</f>
        <v>0</v>
      </c>
      <c r="G1093" s="46">
        <f>IFERROR(VLOOKUP($E1093,'BASE DE DATOS'!$A:$I,3,0),0)</f>
        <v>0</v>
      </c>
      <c r="H1093" s="46">
        <f>IFERROR(VLOOKUP($E1093,'BASE DE DATOS'!$A:$I,3,0),0)</f>
        <v>0</v>
      </c>
      <c r="I1093" s="46">
        <f>IFERROR(VLOOKUP($E1093,'BASE DE DATOS'!$A:$I,3,0),0)</f>
        <v>0</v>
      </c>
      <c r="J1093" s="46">
        <f>IFERROR(VLOOKUP($E1093,'BASE DE DATOS'!$A:$I,3,0),0)</f>
        <v>0</v>
      </c>
      <c r="K1093" s="46">
        <f>IFERROR(VLOOKUP($E1352,'BASE DE DATOS'!$A:$I,3,0),0)</f>
        <v>0</v>
      </c>
      <c r="L1093" s="46">
        <f>IFERROR(VLOOKUP($E1093,'BASE DE DATOS'!$A:$I,3,0),0)</f>
        <v>0</v>
      </c>
    </row>
    <row r="1094" spans="4:12" x14ac:dyDescent="0.25">
      <c r="D1094" s="46" t="str">
        <f>IFERROR(VLOOKUP($E1094,'BASE DE DATOS'!$A:$I,2,0)," ")</f>
        <v xml:space="preserve"> </v>
      </c>
      <c r="F1094" s="46">
        <f>IFERROR(VLOOKUP($E1107,'BASE DE DATOS'!$A:$I,3,0),0)</f>
        <v>0</v>
      </c>
      <c r="G1094" s="46">
        <f>IFERROR(VLOOKUP($E1094,'BASE DE DATOS'!$A:$I,3,0),0)</f>
        <v>0</v>
      </c>
      <c r="H1094" s="46">
        <f>IFERROR(VLOOKUP($E1094,'BASE DE DATOS'!$A:$I,3,0),0)</f>
        <v>0</v>
      </c>
      <c r="I1094" s="46">
        <f>IFERROR(VLOOKUP($E1094,'BASE DE DATOS'!$A:$I,3,0),0)</f>
        <v>0</v>
      </c>
      <c r="J1094" s="46">
        <f>IFERROR(VLOOKUP($E1094,'BASE DE DATOS'!$A:$I,3,0),0)</f>
        <v>0</v>
      </c>
      <c r="K1094" s="46">
        <f>IFERROR(VLOOKUP($E1353,'BASE DE DATOS'!$A:$I,3,0),0)</f>
        <v>0</v>
      </c>
      <c r="L1094" s="46">
        <f>IFERROR(VLOOKUP($E1094,'BASE DE DATOS'!$A:$I,3,0),0)</f>
        <v>0</v>
      </c>
    </row>
    <row r="1095" spans="4:12" x14ac:dyDescent="0.25">
      <c r="D1095" s="46" t="str">
        <f>IFERROR(VLOOKUP($E1095,'BASE DE DATOS'!$A:$I,2,0)," ")</f>
        <v xml:space="preserve"> </v>
      </c>
      <c r="F1095" s="46">
        <f>IFERROR(VLOOKUP($E1108,'BASE DE DATOS'!$A:$I,3,0),0)</f>
        <v>0</v>
      </c>
      <c r="G1095" s="46">
        <f>IFERROR(VLOOKUP($E1095,'BASE DE DATOS'!$A:$I,3,0),0)</f>
        <v>0</v>
      </c>
      <c r="H1095" s="46">
        <f>IFERROR(VLOOKUP($E1095,'BASE DE DATOS'!$A:$I,3,0),0)</f>
        <v>0</v>
      </c>
      <c r="I1095" s="46">
        <f>IFERROR(VLOOKUP($E1095,'BASE DE DATOS'!$A:$I,3,0),0)</f>
        <v>0</v>
      </c>
      <c r="J1095" s="46">
        <f>IFERROR(VLOOKUP($E1095,'BASE DE DATOS'!$A:$I,3,0),0)</f>
        <v>0</v>
      </c>
      <c r="K1095" s="46">
        <f>IFERROR(VLOOKUP($E1354,'BASE DE DATOS'!$A:$I,3,0),0)</f>
        <v>0</v>
      </c>
      <c r="L1095" s="46">
        <f>IFERROR(VLOOKUP($E1095,'BASE DE DATOS'!$A:$I,3,0),0)</f>
        <v>0</v>
      </c>
    </row>
    <row r="1096" spans="4:12" x14ac:dyDescent="0.25">
      <c r="D1096" s="46" t="str">
        <f>IFERROR(VLOOKUP($E1096,'BASE DE DATOS'!$A:$I,2,0)," ")</f>
        <v xml:space="preserve"> </v>
      </c>
      <c r="F1096" s="46">
        <f>IFERROR(VLOOKUP($E1109,'BASE DE DATOS'!$A:$I,3,0),0)</f>
        <v>0</v>
      </c>
      <c r="G1096" s="46">
        <f>IFERROR(VLOOKUP($E1096,'BASE DE DATOS'!$A:$I,3,0),0)</f>
        <v>0</v>
      </c>
      <c r="H1096" s="46">
        <f>IFERROR(VLOOKUP($E1096,'BASE DE DATOS'!$A:$I,3,0),0)</f>
        <v>0</v>
      </c>
      <c r="I1096" s="46">
        <f>IFERROR(VLOOKUP($E1096,'BASE DE DATOS'!$A:$I,3,0),0)</f>
        <v>0</v>
      </c>
      <c r="J1096" s="46">
        <f>IFERROR(VLOOKUP($E1096,'BASE DE DATOS'!$A:$I,3,0),0)</f>
        <v>0</v>
      </c>
      <c r="K1096" s="46">
        <f>IFERROR(VLOOKUP($E1355,'BASE DE DATOS'!$A:$I,3,0),0)</f>
        <v>0</v>
      </c>
      <c r="L1096" s="46">
        <f>IFERROR(VLOOKUP($E1096,'BASE DE DATOS'!$A:$I,3,0),0)</f>
        <v>0</v>
      </c>
    </row>
    <row r="1097" spans="4:12" x14ac:dyDescent="0.25">
      <c r="D1097" s="46" t="str">
        <f>IFERROR(VLOOKUP($E1097,'BASE DE DATOS'!$A:$I,2,0)," ")</f>
        <v xml:space="preserve"> </v>
      </c>
      <c r="F1097" s="46">
        <f>IFERROR(VLOOKUP($E1110,'BASE DE DATOS'!$A:$I,3,0),0)</f>
        <v>0</v>
      </c>
      <c r="G1097" s="46">
        <f>IFERROR(VLOOKUP($E1097,'BASE DE DATOS'!$A:$I,3,0),0)</f>
        <v>0</v>
      </c>
      <c r="H1097" s="46">
        <f>IFERROR(VLOOKUP($E1097,'BASE DE DATOS'!$A:$I,3,0),0)</f>
        <v>0</v>
      </c>
      <c r="I1097" s="46">
        <f>IFERROR(VLOOKUP($E1097,'BASE DE DATOS'!$A:$I,3,0),0)</f>
        <v>0</v>
      </c>
      <c r="J1097" s="46">
        <f>IFERROR(VLOOKUP($E1097,'BASE DE DATOS'!$A:$I,3,0),0)</f>
        <v>0</v>
      </c>
      <c r="K1097" s="46">
        <f>IFERROR(VLOOKUP($E1356,'BASE DE DATOS'!$A:$I,3,0),0)</f>
        <v>0</v>
      </c>
      <c r="L1097" s="46">
        <f>IFERROR(VLOOKUP($E1097,'BASE DE DATOS'!$A:$I,3,0),0)</f>
        <v>0</v>
      </c>
    </row>
    <row r="1098" spans="4:12" x14ac:dyDescent="0.25">
      <c r="D1098" s="46" t="str">
        <f>IFERROR(VLOOKUP($E1098,'BASE DE DATOS'!$A:$I,2,0)," ")</f>
        <v xml:space="preserve"> </v>
      </c>
      <c r="F1098" s="46">
        <f>IFERROR(VLOOKUP($E1111,'BASE DE DATOS'!$A:$I,3,0),0)</f>
        <v>0</v>
      </c>
      <c r="G1098" s="46">
        <f>IFERROR(VLOOKUP($E1098,'BASE DE DATOS'!$A:$I,3,0),0)</f>
        <v>0</v>
      </c>
      <c r="H1098" s="46">
        <f>IFERROR(VLOOKUP($E1098,'BASE DE DATOS'!$A:$I,3,0),0)</f>
        <v>0</v>
      </c>
      <c r="I1098" s="46">
        <f>IFERROR(VLOOKUP($E1098,'BASE DE DATOS'!$A:$I,3,0),0)</f>
        <v>0</v>
      </c>
      <c r="J1098" s="46">
        <f>IFERROR(VLOOKUP($E1098,'BASE DE DATOS'!$A:$I,3,0),0)</f>
        <v>0</v>
      </c>
      <c r="K1098" s="46">
        <f>IFERROR(VLOOKUP($E1357,'BASE DE DATOS'!$A:$I,3,0),0)</f>
        <v>0</v>
      </c>
      <c r="L1098" s="46">
        <f>IFERROR(VLOOKUP($E1098,'BASE DE DATOS'!$A:$I,3,0),0)</f>
        <v>0</v>
      </c>
    </row>
    <row r="1099" spans="4:12" x14ac:dyDescent="0.25">
      <c r="D1099" s="46" t="str">
        <f>IFERROR(VLOOKUP($E1099,'BASE DE DATOS'!$A:$I,2,0)," ")</f>
        <v xml:space="preserve"> </v>
      </c>
      <c r="F1099" s="46">
        <f>IFERROR(VLOOKUP($E1112,'BASE DE DATOS'!$A:$I,3,0),0)</f>
        <v>0</v>
      </c>
      <c r="G1099" s="46">
        <f>IFERROR(VLOOKUP($E1099,'BASE DE DATOS'!$A:$I,3,0),0)</f>
        <v>0</v>
      </c>
      <c r="H1099" s="46">
        <f>IFERROR(VLOOKUP($E1099,'BASE DE DATOS'!$A:$I,3,0),0)</f>
        <v>0</v>
      </c>
      <c r="I1099" s="46">
        <f>IFERROR(VLOOKUP($E1099,'BASE DE DATOS'!$A:$I,3,0),0)</f>
        <v>0</v>
      </c>
      <c r="J1099" s="46">
        <f>IFERROR(VLOOKUP($E1099,'BASE DE DATOS'!$A:$I,3,0),0)</f>
        <v>0</v>
      </c>
      <c r="K1099" s="46">
        <f>IFERROR(VLOOKUP($E1358,'BASE DE DATOS'!$A:$I,3,0),0)</f>
        <v>0</v>
      </c>
      <c r="L1099" s="46">
        <f>IFERROR(VLOOKUP($E1099,'BASE DE DATOS'!$A:$I,3,0),0)</f>
        <v>0</v>
      </c>
    </row>
    <row r="1100" spans="4:12" x14ac:dyDescent="0.25">
      <c r="D1100" s="46" t="str">
        <f>IFERROR(VLOOKUP($E1100,'BASE DE DATOS'!$A:$I,2,0)," ")</f>
        <v xml:space="preserve"> </v>
      </c>
      <c r="F1100" s="46">
        <f>IFERROR(VLOOKUP($E1113,'BASE DE DATOS'!$A:$I,3,0),0)</f>
        <v>0</v>
      </c>
      <c r="G1100" s="46">
        <f>IFERROR(VLOOKUP($E1100,'BASE DE DATOS'!$A:$I,3,0),0)</f>
        <v>0</v>
      </c>
      <c r="H1100" s="46">
        <f>IFERROR(VLOOKUP($E1100,'BASE DE DATOS'!$A:$I,3,0),0)</f>
        <v>0</v>
      </c>
      <c r="I1100" s="46">
        <f>IFERROR(VLOOKUP($E1100,'BASE DE DATOS'!$A:$I,3,0),0)</f>
        <v>0</v>
      </c>
      <c r="J1100" s="46">
        <f>IFERROR(VLOOKUP($E1100,'BASE DE DATOS'!$A:$I,3,0),0)</f>
        <v>0</v>
      </c>
      <c r="K1100" s="46">
        <f>IFERROR(VLOOKUP($E1359,'BASE DE DATOS'!$A:$I,3,0),0)</f>
        <v>0</v>
      </c>
      <c r="L1100" s="46">
        <f>IFERROR(VLOOKUP($E1100,'BASE DE DATOS'!$A:$I,3,0),0)</f>
        <v>0</v>
      </c>
    </row>
    <row r="1101" spans="4:12" x14ac:dyDescent="0.25">
      <c r="D1101" s="46" t="str">
        <f>IFERROR(VLOOKUP($E1101,'BASE DE DATOS'!$A:$I,2,0)," ")</f>
        <v xml:space="preserve"> </v>
      </c>
      <c r="F1101" s="46">
        <f>IFERROR(VLOOKUP($E1114,'BASE DE DATOS'!$A:$I,3,0),0)</f>
        <v>0</v>
      </c>
      <c r="G1101" s="46">
        <f>IFERROR(VLOOKUP($E1101,'BASE DE DATOS'!$A:$I,3,0),0)</f>
        <v>0</v>
      </c>
      <c r="H1101" s="46">
        <f>IFERROR(VLOOKUP($E1101,'BASE DE DATOS'!$A:$I,3,0),0)</f>
        <v>0</v>
      </c>
      <c r="I1101" s="46">
        <f>IFERROR(VLOOKUP($E1101,'BASE DE DATOS'!$A:$I,3,0),0)</f>
        <v>0</v>
      </c>
      <c r="J1101" s="46">
        <f>IFERROR(VLOOKUP($E1101,'BASE DE DATOS'!$A:$I,3,0),0)</f>
        <v>0</v>
      </c>
      <c r="K1101" s="46">
        <f>IFERROR(VLOOKUP($E1360,'BASE DE DATOS'!$A:$I,3,0),0)</f>
        <v>0</v>
      </c>
      <c r="L1101" s="46">
        <f>IFERROR(VLOOKUP($E1101,'BASE DE DATOS'!$A:$I,3,0),0)</f>
        <v>0</v>
      </c>
    </row>
    <row r="1102" spans="4:12" x14ac:dyDescent="0.25">
      <c r="D1102" s="46" t="str">
        <f>IFERROR(VLOOKUP($E1102,'BASE DE DATOS'!$A:$I,2,0)," ")</f>
        <v xml:space="preserve"> </v>
      </c>
      <c r="F1102" s="46">
        <f>IFERROR(VLOOKUP($E1115,'BASE DE DATOS'!$A:$I,3,0),0)</f>
        <v>0</v>
      </c>
      <c r="G1102" s="46">
        <f>IFERROR(VLOOKUP($E1102,'BASE DE DATOS'!$A:$I,3,0),0)</f>
        <v>0</v>
      </c>
      <c r="H1102" s="46">
        <f>IFERROR(VLOOKUP($E1102,'BASE DE DATOS'!$A:$I,3,0),0)</f>
        <v>0</v>
      </c>
      <c r="I1102" s="46">
        <f>IFERROR(VLOOKUP($E1102,'BASE DE DATOS'!$A:$I,3,0),0)</f>
        <v>0</v>
      </c>
      <c r="J1102" s="46">
        <f>IFERROR(VLOOKUP($E1102,'BASE DE DATOS'!$A:$I,3,0),0)</f>
        <v>0</v>
      </c>
      <c r="K1102" s="46">
        <f>IFERROR(VLOOKUP($E1361,'BASE DE DATOS'!$A:$I,3,0),0)</f>
        <v>0</v>
      </c>
      <c r="L1102" s="46">
        <f>IFERROR(VLOOKUP($E1102,'BASE DE DATOS'!$A:$I,3,0),0)</f>
        <v>0</v>
      </c>
    </row>
    <row r="1103" spans="4:12" x14ac:dyDescent="0.25">
      <c r="D1103" s="46" t="str">
        <f>IFERROR(VLOOKUP($E1103,'BASE DE DATOS'!$A:$I,2,0)," ")</f>
        <v xml:space="preserve"> </v>
      </c>
      <c r="F1103" s="46">
        <f>IFERROR(VLOOKUP($E1116,'BASE DE DATOS'!$A:$I,3,0),0)</f>
        <v>0</v>
      </c>
      <c r="G1103" s="46">
        <f>IFERROR(VLOOKUP($E1103,'BASE DE DATOS'!$A:$I,3,0),0)</f>
        <v>0</v>
      </c>
      <c r="H1103" s="46">
        <f>IFERROR(VLOOKUP($E1103,'BASE DE DATOS'!$A:$I,3,0),0)</f>
        <v>0</v>
      </c>
      <c r="I1103" s="46">
        <f>IFERROR(VLOOKUP($E1103,'BASE DE DATOS'!$A:$I,3,0),0)</f>
        <v>0</v>
      </c>
      <c r="J1103" s="46">
        <f>IFERROR(VLOOKUP($E1103,'BASE DE DATOS'!$A:$I,3,0),0)</f>
        <v>0</v>
      </c>
      <c r="K1103" s="46">
        <f>IFERROR(VLOOKUP($E1362,'BASE DE DATOS'!$A:$I,3,0),0)</f>
        <v>0</v>
      </c>
      <c r="L1103" s="46">
        <f>IFERROR(VLOOKUP($E1103,'BASE DE DATOS'!$A:$I,3,0),0)</f>
        <v>0</v>
      </c>
    </row>
    <row r="1104" spans="4:12" x14ac:dyDescent="0.25">
      <c r="D1104" s="46" t="str">
        <f>IFERROR(VLOOKUP($E1104,'BASE DE DATOS'!$A:$I,2,0)," ")</f>
        <v xml:space="preserve"> </v>
      </c>
      <c r="F1104" s="46">
        <f>IFERROR(VLOOKUP($E1117,'BASE DE DATOS'!$A:$I,3,0),0)</f>
        <v>0</v>
      </c>
      <c r="G1104" s="46">
        <f>IFERROR(VLOOKUP($E1104,'BASE DE DATOS'!$A:$I,3,0),0)</f>
        <v>0</v>
      </c>
      <c r="H1104" s="46">
        <f>IFERROR(VLOOKUP($E1104,'BASE DE DATOS'!$A:$I,3,0),0)</f>
        <v>0</v>
      </c>
      <c r="I1104" s="46">
        <f>IFERROR(VLOOKUP($E1104,'BASE DE DATOS'!$A:$I,3,0),0)</f>
        <v>0</v>
      </c>
      <c r="J1104" s="46">
        <f>IFERROR(VLOOKUP($E1104,'BASE DE DATOS'!$A:$I,3,0),0)</f>
        <v>0</v>
      </c>
      <c r="K1104" s="46">
        <f>IFERROR(VLOOKUP($E1363,'BASE DE DATOS'!$A:$I,3,0),0)</f>
        <v>0</v>
      </c>
      <c r="L1104" s="46">
        <f>IFERROR(VLOOKUP($E1104,'BASE DE DATOS'!$A:$I,3,0),0)</f>
        <v>0</v>
      </c>
    </row>
    <row r="1105" spans="4:12" x14ac:dyDescent="0.25">
      <c r="D1105" s="46" t="str">
        <f>IFERROR(VLOOKUP($E1105,'BASE DE DATOS'!$A:$I,2,0)," ")</f>
        <v xml:space="preserve"> </v>
      </c>
      <c r="F1105" s="46">
        <f>IFERROR(VLOOKUP($E1118,'BASE DE DATOS'!$A:$I,3,0),0)</f>
        <v>0</v>
      </c>
      <c r="G1105" s="46">
        <f>IFERROR(VLOOKUP($E1105,'BASE DE DATOS'!$A:$I,3,0),0)</f>
        <v>0</v>
      </c>
      <c r="H1105" s="46">
        <f>IFERROR(VLOOKUP($E1105,'BASE DE DATOS'!$A:$I,3,0),0)</f>
        <v>0</v>
      </c>
      <c r="I1105" s="46">
        <f>IFERROR(VLOOKUP($E1105,'BASE DE DATOS'!$A:$I,3,0),0)</f>
        <v>0</v>
      </c>
      <c r="J1105" s="46">
        <f>IFERROR(VLOOKUP($E1105,'BASE DE DATOS'!$A:$I,3,0),0)</f>
        <v>0</v>
      </c>
      <c r="K1105" s="46">
        <f>IFERROR(VLOOKUP($E1364,'BASE DE DATOS'!$A:$I,3,0),0)</f>
        <v>0</v>
      </c>
      <c r="L1105" s="46">
        <f>IFERROR(VLOOKUP($E1105,'BASE DE DATOS'!$A:$I,3,0),0)</f>
        <v>0</v>
      </c>
    </row>
    <row r="1106" spans="4:12" x14ac:dyDescent="0.25">
      <c r="D1106" s="46" t="str">
        <f>IFERROR(VLOOKUP($E1106,'BASE DE DATOS'!$A:$I,2,0)," ")</f>
        <v xml:space="preserve"> </v>
      </c>
      <c r="F1106" s="46">
        <f>IFERROR(VLOOKUP($E1119,'BASE DE DATOS'!$A:$I,3,0),0)</f>
        <v>0</v>
      </c>
      <c r="G1106" s="46">
        <f>IFERROR(VLOOKUP($E1106,'BASE DE DATOS'!$A:$I,3,0),0)</f>
        <v>0</v>
      </c>
      <c r="H1106" s="46">
        <f>IFERROR(VLOOKUP($E1106,'BASE DE DATOS'!$A:$I,3,0),0)</f>
        <v>0</v>
      </c>
      <c r="I1106" s="46">
        <f>IFERROR(VLOOKUP($E1106,'BASE DE DATOS'!$A:$I,3,0),0)</f>
        <v>0</v>
      </c>
      <c r="J1106" s="46">
        <f>IFERROR(VLOOKUP($E1106,'BASE DE DATOS'!$A:$I,3,0),0)</f>
        <v>0</v>
      </c>
      <c r="K1106" s="46">
        <f>IFERROR(VLOOKUP($E1365,'BASE DE DATOS'!$A:$I,3,0),0)</f>
        <v>0</v>
      </c>
      <c r="L1106" s="46">
        <f>IFERROR(VLOOKUP($E1106,'BASE DE DATOS'!$A:$I,3,0),0)</f>
        <v>0</v>
      </c>
    </row>
    <row r="1107" spans="4:12" x14ac:dyDescent="0.25">
      <c r="D1107" s="46" t="str">
        <f>IFERROR(VLOOKUP($E1107,'BASE DE DATOS'!$A:$I,2,0)," ")</f>
        <v xml:space="preserve"> </v>
      </c>
      <c r="F1107" s="46">
        <f>IFERROR(VLOOKUP($E1120,'BASE DE DATOS'!$A:$I,3,0),0)</f>
        <v>0</v>
      </c>
      <c r="G1107" s="46">
        <f>IFERROR(VLOOKUP($E1107,'BASE DE DATOS'!$A:$I,3,0),0)</f>
        <v>0</v>
      </c>
      <c r="H1107" s="46">
        <f>IFERROR(VLOOKUP($E1107,'BASE DE DATOS'!$A:$I,3,0),0)</f>
        <v>0</v>
      </c>
      <c r="I1107" s="46">
        <f>IFERROR(VLOOKUP($E1107,'BASE DE DATOS'!$A:$I,3,0),0)</f>
        <v>0</v>
      </c>
      <c r="J1107" s="46">
        <f>IFERROR(VLOOKUP($E1107,'BASE DE DATOS'!$A:$I,3,0),0)</f>
        <v>0</v>
      </c>
      <c r="K1107" s="46">
        <f>IFERROR(VLOOKUP($E1366,'BASE DE DATOS'!$A:$I,3,0),0)</f>
        <v>0</v>
      </c>
      <c r="L1107" s="46">
        <f>IFERROR(VLOOKUP($E1107,'BASE DE DATOS'!$A:$I,3,0),0)</f>
        <v>0</v>
      </c>
    </row>
    <row r="1108" spans="4:12" x14ac:dyDescent="0.25">
      <c r="D1108" s="46" t="str">
        <f>IFERROR(VLOOKUP($E1108,'BASE DE DATOS'!$A:$I,2,0)," ")</f>
        <v xml:space="preserve"> </v>
      </c>
      <c r="F1108" s="46">
        <f>IFERROR(VLOOKUP($E1121,'BASE DE DATOS'!$A:$I,3,0),0)</f>
        <v>0</v>
      </c>
      <c r="G1108" s="46">
        <f>IFERROR(VLOOKUP($E1108,'BASE DE DATOS'!$A:$I,3,0),0)</f>
        <v>0</v>
      </c>
      <c r="H1108" s="46">
        <f>IFERROR(VLOOKUP($E1108,'BASE DE DATOS'!$A:$I,3,0),0)</f>
        <v>0</v>
      </c>
      <c r="I1108" s="46">
        <f>IFERROR(VLOOKUP($E1108,'BASE DE DATOS'!$A:$I,3,0),0)</f>
        <v>0</v>
      </c>
      <c r="J1108" s="46">
        <f>IFERROR(VLOOKUP($E1108,'BASE DE DATOS'!$A:$I,3,0),0)</f>
        <v>0</v>
      </c>
      <c r="K1108" s="46">
        <f>IFERROR(VLOOKUP($E1367,'BASE DE DATOS'!$A:$I,3,0),0)</f>
        <v>0</v>
      </c>
      <c r="L1108" s="46">
        <f>IFERROR(VLOOKUP($E1108,'BASE DE DATOS'!$A:$I,3,0),0)</f>
        <v>0</v>
      </c>
    </row>
    <row r="1109" spans="4:12" x14ac:dyDescent="0.25">
      <c r="D1109" s="46" t="str">
        <f>IFERROR(VLOOKUP($E1109,'BASE DE DATOS'!$A:$I,2,0)," ")</f>
        <v xml:space="preserve"> </v>
      </c>
      <c r="F1109" s="46">
        <f>IFERROR(VLOOKUP($E1122,'BASE DE DATOS'!$A:$I,3,0),0)</f>
        <v>0</v>
      </c>
      <c r="G1109" s="46">
        <f>IFERROR(VLOOKUP($E1109,'BASE DE DATOS'!$A:$I,3,0),0)</f>
        <v>0</v>
      </c>
      <c r="H1109" s="46">
        <f>IFERROR(VLOOKUP($E1109,'BASE DE DATOS'!$A:$I,3,0),0)</f>
        <v>0</v>
      </c>
      <c r="I1109" s="46">
        <f>IFERROR(VLOOKUP($E1109,'BASE DE DATOS'!$A:$I,3,0),0)</f>
        <v>0</v>
      </c>
      <c r="J1109" s="46">
        <f>IFERROR(VLOOKUP($E1109,'BASE DE DATOS'!$A:$I,3,0),0)</f>
        <v>0</v>
      </c>
      <c r="K1109" s="46">
        <f>IFERROR(VLOOKUP($E1368,'BASE DE DATOS'!$A:$I,3,0),0)</f>
        <v>0</v>
      </c>
      <c r="L1109" s="46">
        <f>IFERROR(VLOOKUP($E1109,'BASE DE DATOS'!$A:$I,3,0),0)</f>
        <v>0</v>
      </c>
    </row>
    <row r="1110" spans="4:12" x14ac:dyDescent="0.25">
      <c r="D1110" s="46" t="str">
        <f>IFERROR(VLOOKUP($E1110,'BASE DE DATOS'!$A:$I,2,0)," ")</f>
        <v xml:space="preserve"> </v>
      </c>
      <c r="F1110" s="46">
        <f>IFERROR(VLOOKUP($E1123,'BASE DE DATOS'!$A:$I,3,0),0)</f>
        <v>0</v>
      </c>
      <c r="G1110" s="46">
        <f>IFERROR(VLOOKUP($E1110,'BASE DE DATOS'!$A:$I,3,0),0)</f>
        <v>0</v>
      </c>
      <c r="H1110" s="46">
        <f>IFERROR(VLOOKUP($E1110,'BASE DE DATOS'!$A:$I,3,0),0)</f>
        <v>0</v>
      </c>
      <c r="I1110" s="46">
        <f>IFERROR(VLOOKUP($E1110,'BASE DE DATOS'!$A:$I,3,0),0)</f>
        <v>0</v>
      </c>
      <c r="J1110" s="46">
        <f>IFERROR(VLOOKUP($E1110,'BASE DE DATOS'!$A:$I,3,0),0)</f>
        <v>0</v>
      </c>
      <c r="K1110" s="46">
        <f>IFERROR(VLOOKUP($E1369,'BASE DE DATOS'!$A:$I,3,0),0)</f>
        <v>0</v>
      </c>
      <c r="L1110" s="46">
        <f>IFERROR(VLOOKUP($E1110,'BASE DE DATOS'!$A:$I,3,0),0)</f>
        <v>0</v>
      </c>
    </row>
    <row r="1111" spans="4:12" x14ac:dyDescent="0.25">
      <c r="D1111" s="46" t="str">
        <f>IFERROR(VLOOKUP($E1111,'BASE DE DATOS'!$A:$I,2,0)," ")</f>
        <v xml:space="preserve"> </v>
      </c>
      <c r="F1111" s="46">
        <f>IFERROR(VLOOKUP($E1124,'BASE DE DATOS'!$A:$I,3,0),0)</f>
        <v>0</v>
      </c>
      <c r="G1111" s="46">
        <f>IFERROR(VLOOKUP($E1111,'BASE DE DATOS'!$A:$I,3,0),0)</f>
        <v>0</v>
      </c>
      <c r="H1111" s="46">
        <f>IFERROR(VLOOKUP($E1111,'BASE DE DATOS'!$A:$I,3,0),0)</f>
        <v>0</v>
      </c>
      <c r="I1111" s="46">
        <f>IFERROR(VLOOKUP($E1111,'BASE DE DATOS'!$A:$I,3,0),0)</f>
        <v>0</v>
      </c>
      <c r="J1111" s="46">
        <f>IFERROR(VLOOKUP($E1111,'BASE DE DATOS'!$A:$I,3,0),0)</f>
        <v>0</v>
      </c>
      <c r="K1111" s="46">
        <f>IFERROR(VLOOKUP($E1370,'BASE DE DATOS'!$A:$I,3,0),0)</f>
        <v>0</v>
      </c>
      <c r="L1111" s="46">
        <f>IFERROR(VLOOKUP($E1111,'BASE DE DATOS'!$A:$I,3,0),0)</f>
        <v>0</v>
      </c>
    </row>
    <row r="1112" spans="4:12" x14ac:dyDescent="0.25">
      <c r="D1112" s="46" t="str">
        <f>IFERROR(VLOOKUP($E1112,'BASE DE DATOS'!$A:$I,2,0)," ")</f>
        <v xml:space="preserve"> </v>
      </c>
      <c r="F1112" s="46">
        <f>IFERROR(VLOOKUP($E1125,'BASE DE DATOS'!$A:$I,3,0),0)</f>
        <v>0</v>
      </c>
      <c r="G1112" s="46">
        <f>IFERROR(VLOOKUP($E1112,'BASE DE DATOS'!$A:$I,3,0),0)</f>
        <v>0</v>
      </c>
      <c r="H1112" s="46">
        <f>IFERROR(VLOOKUP($E1112,'BASE DE DATOS'!$A:$I,3,0),0)</f>
        <v>0</v>
      </c>
      <c r="I1112" s="46">
        <f>IFERROR(VLOOKUP($E1112,'BASE DE DATOS'!$A:$I,3,0),0)</f>
        <v>0</v>
      </c>
      <c r="J1112" s="46">
        <f>IFERROR(VLOOKUP($E1112,'BASE DE DATOS'!$A:$I,3,0),0)</f>
        <v>0</v>
      </c>
      <c r="K1112" s="46">
        <f>IFERROR(VLOOKUP($E1371,'BASE DE DATOS'!$A:$I,3,0),0)</f>
        <v>0</v>
      </c>
      <c r="L1112" s="46">
        <f>IFERROR(VLOOKUP($E1112,'BASE DE DATOS'!$A:$I,3,0),0)</f>
        <v>0</v>
      </c>
    </row>
    <row r="1113" spans="4:12" x14ac:dyDescent="0.25">
      <c r="D1113" s="46" t="str">
        <f>IFERROR(VLOOKUP($E1113,'BASE DE DATOS'!$A:$I,2,0)," ")</f>
        <v xml:space="preserve"> </v>
      </c>
      <c r="F1113" s="46">
        <f>IFERROR(VLOOKUP($E1126,'BASE DE DATOS'!$A:$I,3,0),0)</f>
        <v>0</v>
      </c>
      <c r="G1113" s="46">
        <f>IFERROR(VLOOKUP($E1113,'BASE DE DATOS'!$A:$I,3,0),0)</f>
        <v>0</v>
      </c>
      <c r="H1113" s="46">
        <f>IFERROR(VLOOKUP($E1113,'BASE DE DATOS'!$A:$I,3,0),0)</f>
        <v>0</v>
      </c>
      <c r="I1113" s="46">
        <f>IFERROR(VLOOKUP($E1113,'BASE DE DATOS'!$A:$I,3,0),0)</f>
        <v>0</v>
      </c>
      <c r="J1113" s="46">
        <f>IFERROR(VLOOKUP($E1113,'BASE DE DATOS'!$A:$I,3,0),0)</f>
        <v>0</v>
      </c>
      <c r="K1113" s="46">
        <f>IFERROR(VLOOKUP($E1372,'BASE DE DATOS'!$A:$I,3,0),0)</f>
        <v>0</v>
      </c>
      <c r="L1113" s="46">
        <f>IFERROR(VLOOKUP($E1113,'BASE DE DATOS'!$A:$I,3,0),0)</f>
        <v>0</v>
      </c>
    </row>
    <row r="1114" spans="4:12" x14ac:dyDescent="0.25">
      <c r="D1114" s="46" t="str">
        <f>IFERROR(VLOOKUP($E1114,'BASE DE DATOS'!$A:$I,2,0)," ")</f>
        <v xml:space="preserve"> </v>
      </c>
      <c r="F1114" s="46">
        <f>IFERROR(VLOOKUP($E1127,'BASE DE DATOS'!$A:$I,3,0),0)</f>
        <v>0</v>
      </c>
      <c r="G1114" s="46">
        <f>IFERROR(VLOOKUP($E1114,'BASE DE DATOS'!$A:$I,3,0),0)</f>
        <v>0</v>
      </c>
      <c r="H1114" s="46">
        <f>IFERROR(VLOOKUP($E1114,'BASE DE DATOS'!$A:$I,3,0),0)</f>
        <v>0</v>
      </c>
      <c r="I1114" s="46">
        <f>IFERROR(VLOOKUP($E1114,'BASE DE DATOS'!$A:$I,3,0),0)</f>
        <v>0</v>
      </c>
      <c r="J1114" s="46">
        <f>IFERROR(VLOOKUP($E1114,'BASE DE DATOS'!$A:$I,3,0),0)</f>
        <v>0</v>
      </c>
      <c r="K1114" s="46">
        <f>IFERROR(VLOOKUP($E1373,'BASE DE DATOS'!$A:$I,3,0),0)</f>
        <v>0</v>
      </c>
      <c r="L1114" s="46">
        <f>IFERROR(VLOOKUP($E1114,'BASE DE DATOS'!$A:$I,3,0),0)</f>
        <v>0</v>
      </c>
    </row>
    <row r="1115" spans="4:12" x14ac:dyDescent="0.25">
      <c r="D1115" s="46" t="str">
        <f>IFERROR(VLOOKUP($E1115,'BASE DE DATOS'!$A:$I,2,0)," ")</f>
        <v xml:space="preserve"> </v>
      </c>
      <c r="F1115" s="46">
        <f>IFERROR(VLOOKUP($E1128,'BASE DE DATOS'!$A:$I,3,0),0)</f>
        <v>0</v>
      </c>
      <c r="G1115" s="46">
        <f>IFERROR(VLOOKUP($E1115,'BASE DE DATOS'!$A:$I,3,0),0)</f>
        <v>0</v>
      </c>
      <c r="H1115" s="46">
        <f>IFERROR(VLOOKUP($E1115,'BASE DE DATOS'!$A:$I,3,0),0)</f>
        <v>0</v>
      </c>
      <c r="I1115" s="46">
        <f>IFERROR(VLOOKUP($E1115,'BASE DE DATOS'!$A:$I,3,0),0)</f>
        <v>0</v>
      </c>
      <c r="J1115" s="46">
        <f>IFERROR(VLOOKUP($E1115,'BASE DE DATOS'!$A:$I,3,0),0)</f>
        <v>0</v>
      </c>
      <c r="K1115" s="46">
        <f>IFERROR(VLOOKUP($E1374,'BASE DE DATOS'!$A:$I,3,0),0)</f>
        <v>0</v>
      </c>
      <c r="L1115" s="46">
        <f>IFERROR(VLOOKUP($E1115,'BASE DE DATOS'!$A:$I,3,0),0)</f>
        <v>0</v>
      </c>
    </row>
    <row r="1116" spans="4:12" x14ac:dyDescent="0.25">
      <c r="D1116" s="46" t="str">
        <f>IFERROR(VLOOKUP($E1116,'BASE DE DATOS'!$A:$I,2,0)," ")</f>
        <v xml:space="preserve"> </v>
      </c>
      <c r="F1116" s="46">
        <f>IFERROR(VLOOKUP($E1129,'BASE DE DATOS'!$A:$I,3,0),0)</f>
        <v>0</v>
      </c>
      <c r="G1116" s="46">
        <f>IFERROR(VLOOKUP($E1116,'BASE DE DATOS'!$A:$I,3,0),0)</f>
        <v>0</v>
      </c>
      <c r="H1116" s="46">
        <f>IFERROR(VLOOKUP($E1116,'BASE DE DATOS'!$A:$I,3,0),0)</f>
        <v>0</v>
      </c>
      <c r="I1116" s="46">
        <f>IFERROR(VLOOKUP($E1116,'BASE DE DATOS'!$A:$I,3,0),0)</f>
        <v>0</v>
      </c>
      <c r="J1116" s="46">
        <f>IFERROR(VLOOKUP($E1116,'BASE DE DATOS'!$A:$I,3,0),0)</f>
        <v>0</v>
      </c>
      <c r="K1116" s="46">
        <f>IFERROR(VLOOKUP($E1375,'BASE DE DATOS'!$A:$I,3,0),0)</f>
        <v>0</v>
      </c>
      <c r="L1116" s="46">
        <f>IFERROR(VLOOKUP($E1116,'BASE DE DATOS'!$A:$I,3,0),0)</f>
        <v>0</v>
      </c>
    </row>
    <row r="1117" spans="4:12" x14ac:dyDescent="0.25">
      <c r="D1117" s="46" t="str">
        <f>IFERROR(VLOOKUP($E1117,'BASE DE DATOS'!$A:$I,2,0)," ")</f>
        <v xml:space="preserve"> </v>
      </c>
      <c r="F1117" s="46">
        <f>IFERROR(VLOOKUP($E1130,'BASE DE DATOS'!$A:$I,3,0),0)</f>
        <v>0</v>
      </c>
      <c r="G1117" s="46">
        <f>IFERROR(VLOOKUP($E1117,'BASE DE DATOS'!$A:$I,3,0),0)</f>
        <v>0</v>
      </c>
      <c r="H1117" s="46">
        <f>IFERROR(VLOOKUP($E1117,'BASE DE DATOS'!$A:$I,3,0),0)</f>
        <v>0</v>
      </c>
      <c r="I1117" s="46">
        <f>IFERROR(VLOOKUP($E1117,'BASE DE DATOS'!$A:$I,3,0),0)</f>
        <v>0</v>
      </c>
      <c r="J1117" s="46">
        <f>IFERROR(VLOOKUP($E1117,'BASE DE DATOS'!$A:$I,3,0),0)</f>
        <v>0</v>
      </c>
      <c r="K1117" s="46">
        <f>IFERROR(VLOOKUP($E1376,'BASE DE DATOS'!$A:$I,3,0),0)</f>
        <v>0</v>
      </c>
      <c r="L1117" s="46">
        <f>IFERROR(VLOOKUP($E1117,'BASE DE DATOS'!$A:$I,3,0),0)</f>
        <v>0</v>
      </c>
    </row>
    <row r="1118" spans="4:12" x14ac:dyDescent="0.25">
      <c r="D1118" s="46" t="str">
        <f>IFERROR(VLOOKUP($E1118,'BASE DE DATOS'!$A:$I,2,0)," ")</f>
        <v xml:space="preserve"> </v>
      </c>
      <c r="F1118" s="46">
        <f>IFERROR(VLOOKUP($E1131,'BASE DE DATOS'!$A:$I,3,0),0)</f>
        <v>0</v>
      </c>
      <c r="G1118" s="46">
        <f>IFERROR(VLOOKUP($E1118,'BASE DE DATOS'!$A:$I,3,0),0)</f>
        <v>0</v>
      </c>
      <c r="H1118" s="46">
        <f>IFERROR(VLOOKUP($E1118,'BASE DE DATOS'!$A:$I,3,0),0)</f>
        <v>0</v>
      </c>
      <c r="I1118" s="46">
        <f>IFERROR(VLOOKUP($E1118,'BASE DE DATOS'!$A:$I,3,0),0)</f>
        <v>0</v>
      </c>
      <c r="J1118" s="46">
        <f>IFERROR(VLOOKUP($E1118,'BASE DE DATOS'!$A:$I,3,0),0)</f>
        <v>0</v>
      </c>
      <c r="K1118" s="46">
        <f>IFERROR(VLOOKUP($E1377,'BASE DE DATOS'!$A:$I,3,0),0)</f>
        <v>0</v>
      </c>
      <c r="L1118" s="46">
        <f>IFERROR(VLOOKUP($E1118,'BASE DE DATOS'!$A:$I,3,0),0)</f>
        <v>0</v>
      </c>
    </row>
    <row r="1119" spans="4:12" x14ac:dyDescent="0.25">
      <c r="D1119" s="46" t="str">
        <f>IFERROR(VLOOKUP($E1119,'BASE DE DATOS'!$A:$I,2,0)," ")</f>
        <v xml:space="preserve"> </v>
      </c>
      <c r="F1119" s="46">
        <f>IFERROR(VLOOKUP($E1132,'BASE DE DATOS'!$A:$I,3,0),0)</f>
        <v>0</v>
      </c>
      <c r="G1119" s="46">
        <f>IFERROR(VLOOKUP($E1119,'BASE DE DATOS'!$A:$I,3,0),0)</f>
        <v>0</v>
      </c>
      <c r="H1119" s="46">
        <f>IFERROR(VLOOKUP($E1119,'BASE DE DATOS'!$A:$I,3,0),0)</f>
        <v>0</v>
      </c>
      <c r="I1119" s="46">
        <f>IFERROR(VLOOKUP($E1119,'BASE DE DATOS'!$A:$I,3,0),0)</f>
        <v>0</v>
      </c>
      <c r="J1119" s="46">
        <f>IFERROR(VLOOKUP($E1119,'BASE DE DATOS'!$A:$I,3,0),0)</f>
        <v>0</v>
      </c>
      <c r="K1119" s="46">
        <f>IFERROR(VLOOKUP($E1378,'BASE DE DATOS'!$A:$I,3,0),0)</f>
        <v>0</v>
      </c>
      <c r="L1119" s="46">
        <f>IFERROR(VLOOKUP($E1119,'BASE DE DATOS'!$A:$I,3,0),0)</f>
        <v>0</v>
      </c>
    </row>
    <row r="1120" spans="4:12" x14ac:dyDescent="0.25">
      <c r="D1120" s="46" t="str">
        <f>IFERROR(VLOOKUP($E1120,'BASE DE DATOS'!$A:$I,2,0)," ")</f>
        <v xml:space="preserve"> </v>
      </c>
      <c r="F1120" s="46">
        <f>IFERROR(VLOOKUP($E1133,'BASE DE DATOS'!$A:$I,3,0),0)</f>
        <v>0</v>
      </c>
      <c r="G1120" s="46">
        <f>IFERROR(VLOOKUP($E1120,'BASE DE DATOS'!$A:$I,3,0),0)</f>
        <v>0</v>
      </c>
      <c r="H1120" s="46">
        <f>IFERROR(VLOOKUP($E1120,'BASE DE DATOS'!$A:$I,3,0),0)</f>
        <v>0</v>
      </c>
      <c r="I1120" s="46">
        <f>IFERROR(VLOOKUP($E1120,'BASE DE DATOS'!$A:$I,3,0),0)</f>
        <v>0</v>
      </c>
      <c r="J1120" s="46">
        <f>IFERROR(VLOOKUP($E1120,'BASE DE DATOS'!$A:$I,3,0),0)</f>
        <v>0</v>
      </c>
      <c r="K1120" s="46">
        <f>IFERROR(VLOOKUP($E1379,'BASE DE DATOS'!$A:$I,3,0),0)</f>
        <v>0</v>
      </c>
      <c r="L1120" s="46">
        <f>IFERROR(VLOOKUP($E1120,'BASE DE DATOS'!$A:$I,3,0),0)</f>
        <v>0</v>
      </c>
    </row>
    <row r="1121" spans="4:12" x14ac:dyDescent="0.25">
      <c r="D1121" s="46" t="str">
        <f>IFERROR(VLOOKUP($E1121,'BASE DE DATOS'!$A:$I,2,0)," ")</f>
        <v xml:space="preserve"> </v>
      </c>
      <c r="F1121" s="46">
        <f>IFERROR(VLOOKUP($E1134,'BASE DE DATOS'!$A:$I,3,0),0)</f>
        <v>0</v>
      </c>
      <c r="G1121" s="46">
        <f>IFERROR(VLOOKUP($E1121,'BASE DE DATOS'!$A:$I,3,0),0)</f>
        <v>0</v>
      </c>
      <c r="H1121" s="46">
        <f>IFERROR(VLOOKUP($E1121,'BASE DE DATOS'!$A:$I,3,0),0)</f>
        <v>0</v>
      </c>
      <c r="I1121" s="46">
        <f>IFERROR(VLOOKUP($E1121,'BASE DE DATOS'!$A:$I,3,0),0)</f>
        <v>0</v>
      </c>
      <c r="J1121" s="46">
        <f>IFERROR(VLOOKUP($E1121,'BASE DE DATOS'!$A:$I,3,0),0)</f>
        <v>0</v>
      </c>
      <c r="K1121" s="46">
        <f>IFERROR(VLOOKUP($E1380,'BASE DE DATOS'!$A:$I,3,0),0)</f>
        <v>0</v>
      </c>
      <c r="L1121" s="46">
        <f>IFERROR(VLOOKUP($E1121,'BASE DE DATOS'!$A:$I,3,0),0)</f>
        <v>0</v>
      </c>
    </row>
    <row r="1122" spans="4:12" x14ac:dyDescent="0.25">
      <c r="D1122" s="46" t="str">
        <f>IFERROR(VLOOKUP($E1122,'BASE DE DATOS'!$A:$I,2,0)," ")</f>
        <v xml:space="preserve"> </v>
      </c>
      <c r="F1122" s="46">
        <f>IFERROR(VLOOKUP($E1135,'BASE DE DATOS'!$A:$I,3,0),0)</f>
        <v>0</v>
      </c>
      <c r="G1122" s="46">
        <f>IFERROR(VLOOKUP($E1122,'BASE DE DATOS'!$A:$I,3,0),0)</f>
        <v>0</v>
      </c>
      <c r="H1122" s="46">
        <f>IFERROR(VLOOKUP($E1122,'BASE DE DATOS'!$A:$I,3,0),0)</f>
        <v>0</v>
      </c>
      <c r="I1122" s="46">
        <f>IFERROR(VLOOKUP($E1122,'BASE DE DATOS'!$A:$I,3,0),0)</f>
        <v>0</v>
      </c>
      <c r="J1122" s="46">
        <f>IFERROR(VLOOKUP($E1122,'BASE DE DATOS'!$A:$I,3,0),0)</f>
        <v>0</v>
      </c>
      <c r="K1122" s="46">
        <f>IFERROR(VLOOKUP($E1381,'BASE DE DATOS'!$A:$I,3,0),0)</f>
        <v>0</v>
      </c>
      <c r="L1122" s="46">
        <f>IFERROR(VLOOKUP($E1122,'BASE DE DATOS'!$A:$I,3,0),0)</f>
        <v>0</v>
      </c>
    </row>
    <row r="1123" spans="4:12" x14ac:dyDescent="0.25">
      <c r="D1123" s="46" t="str">
        <f>IFERROR(VLOOKUP($E1123,'BASE DE DATOS'!$A:$I,2,0)," ")</f>
        <v xml:space="preserve"> </v>
      </c>
      <c r="F1123" s="46">
        <f>IFERROR(VLOOKUP($E1136,'BASE DE DATOS'!$A:$I,3,0),0)</f>
        <v>0</v>
      </c>
      <c r="G1123" s="46">
        <f>IFERROR(VLOOKUP($E1123,'BASE DE DATOS'!$A:$I,3,0),0)</f>
        <v>0</v>
      </c>
      <c r="H1123" s="46">
        <f>IFERROR(VLOOKUP($E1123,'BASE DE DATOS'!$A:$I,3,0),0)</f>
        <v>0</v>
      </c>
      <c r="I1123" s="46">
        <f>IFERROR(VLOOKUP($E1123,'BASE DE DATOS'!$A:$I,3,0),0)</f>
        <v>0</v>
      </c>
      <c r="J1123" s="46">
        <f>IFERROR(VLOOKUP($E1123,'BASE DE DATOS'!$A:$I,3,0),0)</f>
        <v>0</v>
      </c>
      <c r="K1123" s="46">
        <f>IFERROR(VLOOKUP($E1382,'BASE DE DATOS'!$A:$I,3,0),0)</f>
        <v>0</v>
      </c>
      <c r="L1123" s="46">
        <f>IFERROR(VLOOKUP($E1123,'BASE DE DATOS'!$A:$I,3,0),0)</f>
        <v>0</v>
      </c>
    </row>
    <row r="1124" spans="4:12" x14ac:dyDescent="0.25">
      <c r="D1124" s="46" t="str">
        <f>IFERROR(VLOOKUP($E1124,'BASE DE DATOS'!$A:$I,2,0)," ")</f>
        <v xml:space="preserve"> </v>
      </c>
      <c r="F1124" s="46">
        <f>IFERROR(VLOOKUP($E1137,'BASE DE DATOS'!$A:$I,3,0),0)</f>
        <v>0</v>
      </c>
      <c r="G1124" s="46">
        <f>IFERROR(VLOOKUP($E1124,'BASE DE DATOS'!$A:$I,3,0),0)</f>
        <v>0</v>
      </c>
      <c r="H1124" s="46">
        <f>IFERROR(VLOOKUP($E1124,'BASE DE DATOS'!$A:$I,3,0),0)</f>
        <v>0</v>
      </c>
      <c r="I1124" s="46">
        <f>IFERROR(VLOOKUP($E1124,'BASE DE DATOS'!$A:$I,3,0),0)</f>
        <v>0</v>
      </c>
      <c r="J1124" s="46">
        <f>IFERROR(VLOOKUP($E1124,'BASE DE DATOS'!$A:$I,3,0),0)</f>
        <v>0</v>
      </c>
      <c r="K1124" s="46">
        <f>IFERROR(VLOOKUP($E1383,'BASE DE DATOS'!$A:$I,3,0),0)</f>
        <v>0</v>
      </c>
      <c r="L1124" s="46">
        <f>IFERROR(VLOOKUP($E1124,'BASE DE DATOS'!$A:$I,3,0),0)</f>
        <v>0</v>
      </c>
    </row>
    <row r="1125" spans="4:12" x14ac:dyDescent="0.25">
      <c r="D1125" s="46" t="str">
        <f>IFERROR(VLOOKUP($E1125,'BASE DE DATOS'!$A:$I,2,0)," ")</f>
        <v xml:space="preserve"> </v>
      </c>
      <c r="F1125" s="46">
        <f>IFERROR(VLOOKUP($E1138,'BASE DE DATOS'!$A:$I,3,0),0)</f>
        <v>0</v>
      </c>
      <c r="G1125" s="46">
        <f>IFERROR(VLOOKUP($E1125,'BASE DE DATOS'!$A:$I,3,0),0)</f>
        <v>0</v>
      </c>
      <c r="H1125" s="46">
        <f>IFERROR(VLOOKUP($E1125,'BASE DE DATOS'!$A:$I,3,0),0)</f>
        <v>0</v>
      </c>
      <c r="I1125" s="46">
        <f>IFERROR(VLOOKUP($E1125,'BASE DE DATOS'!$A:$I,3,0),0)</f>
        <v>0</v>
      </c>
      <c r="J1125" s="46">
        <f>IFERROR(VLOOKUP($E1125,'BASE DE DATOS'!$A:$I,3,0),0)</f>
        <v>0</v>
      </c>
      <c r="K1125" s="46">
        <f>IFERROR(VLOOKUP($E1384,'BASE DE DATOS'!$A:$I,3,0),0)</f>
        <v>0</v>
      </c>
      <c r="L1125" s="46">
        <f>IFERROR(VLOOKUP($E1125,'BASE DE DATOS'!$A:$I,3,0),0)</f>
        <v>0</v>
      </c>
    </row>
    <row r="1126" spans="4:12" x14ac:dyDescent="0.25">
      <c r="D1126" s="46" t="str">
        <f>IFERROR(VLOOKUP($E1126,'BASE DE DATOS'!$A:$I,2,0)," ")</f>
        <v xml:space="preserve"> </v>
      </c>
      <c r="F1126" s="46">
        <f>IFERROR(VLOOKUP($E1139,'BASE DE DATOS'!$A:$I,3,0),0)</f>
        <v>0</v>
      </c>
      <c r="G1126" s="46">
        <f>IFERROR(VLOOKUP($E1126,'BASE DE DATOS'!$A:$I,3,0),0)</f>
        <v>0</v>
      </c>
      <c r="H1126" s="46">
        <f>IFERROR(VLOOKUP($E1126,'BASE DE DATOS'!$A:$I,3,0),0)</f>
        <v>0</v>
      </c>
      <c r="I1126" s="46">
        <f>IFERROR(VLOOKUP($E1126,'BASE DE DATOS'!$A:$I,3,0),0)</f>
        <v>0</v>
      </c>
      <c r="J1126" s="46">
        <f>IFERROR(VLOOKUP($E1126,'BASE DE DATOS'!$A:$I,3,0),0)</f>
        <v>0</v>
      </c>
      <c r="K1126" s="46">
        <f>IFERROR(VLOOKUP($E1385,'BASE DE DATOS'!$A:$I,3,0),0)</f>
        <v>0</v>
      </c>
      <c r="L1126" s="46">
        <f>IFERROR(VLOOKUP($E1126,'BASE DE DATOS'!$A:$I,3,0),0)</f>
        <v>0</v>
      </c>
    </row>
    <row r="1127" spans="4:12" x14ac:dyDescent="0.25">
      <c r="D1127" s="46" t="str">
        <f>IFERROR(VLOOKUP($E1127,'BASE DE DATOS'!$A:$I,2,0)," ")</f>
        <v xml:space="preserve"> </v>
      </c>
      <c r="F1127" s="46">
        <f>IFERROR(VLOOKUP($E1140,'BASE DE DATOS'!$A:$I,3,0),0)</f>
        <v>0</v>
      </c>
      <c r="G1127" s="46">
        <f>IFERROR(VLOOKUP($E1127,'BASE DE DATOS'!$A:$I,3,0),0)</f>
        <v>0</v>
      </c>
      <c r="H1127" s="46">
        <f>IFERROR(VLOOKUP($E1127,'BASE DE DATOS'!$A:$I,3,0),0)</f>
        <v>0</v>
      </c>
      <c r="I1127" s="46">
        <f>IFERROR(VLOOKUP($E1127,'BASE DE DATOS'!$A:$I,3,0),0)</f>
        <v>0</v>
      </c>
      <c r="J1127" s="46">
        <f>IFERROR(VLOOKUP($E1127,'BASE DE DATOS'!$A:$I,3,0),0)</f>
        <v>0</v>
      </c>
      <c r="K1127" s="46">
        <f>IFERROR(VLOOKUP($E1386,'BASE DE DATOS'!$A:$I,3,0),0)</f>
        <v>0</v>
      </c>
      <c r="L1127" s="46">
        <f>IFERROR(VLOOKUP($E1127,'BASE DE DATOS'!$A:$I,3,0),0)</f>
        <v>0</v>
      </c>
    </row>
    <row r="1128" spans="4:12" x14ac:dyDescent="0.25">
      <c r="D1128" s="46" t="str">
        <f>IFERROR(VLOOKUP($E1128,'BASE DE DATOS'!$A:$I,2,0)," ")</f>
        <v xml:space="preserve"> </v>
      </c>
      <c r="F1128" s="46">
        <f>IFERROR(VLOOKUP($E1141,'BASE DE DATOS'!$A:$I,3,0),0)</f>
        <v>0</v>
      </c>
      <c r="G1128" s="46">
        <f>IFERROR(VLOOKUP($E1128,'BASE DE DATOS'!$A:$I,3,0),0)</f>
        <v>0</v>
      </c>
      <c r="H1128" s="46">
        <f>IFERROR(VLOOKUP($E1128,'BASE DE DATOS'!$A:$I,3,0),0)</f>
        <v>0</v>
      </c>
      <c r="I1128" s="46">
        <f>IFERROR(VLOOKUP($E1128,'BASE DE DATOS'!$A:$I,3,0),0)</f>
        <v>0</v>
      </c>
      <c r="J1128" s="46">
        <f>IFERROR(VLOOKUP($E1128,'BASE DE DATOS'!$A:$I,3,0),0)</f>
        <v>0</v>
      </c>
      <c r="K1128" s="46">
        <f>IFERROR(VLOOKUP($E1387,'BASE DE DATOS'!$A:$I,3,0),0)</f>
        <v>0</v>
      </c>
      <c r="L1128" s="46">
        <f>IFERROR(VLOOKUP($E1128,'BASE DE DATOS'!$A:$I,3,0),0)</f>
        <v>0</v>
      </c>
    </row>
    <row r="1129" spans="4:12" x14ac:dyDescent="0.25">
      <c r="D1129" s="46" t="str">
        <f>IFERROR(VLOOKUP($E1129,'BASE DE DATOS'!$A:$I,2,0)," ")</f>
        <v xml:space="preserve"> </v>
      </c>
      <c r="F1129" s="46">
        <f>IFERROR(VLOOKUP($E1142,'BASE DE DATOS'!$A:$I,3,0),0)</f>
        <v>0</v>
      </c>
      <c r="G1129" s="46">
        <f>IFERROR(VLOOKUP($E1129,'BASE DE DATOS'!$A:$I,3,0),0)</f>
        <v>0</v>
      </c>
      <c r="H1129" s="46">
        <f>IFERROR(VLOOKUP($E1129,'BASE DE DATOS'!$A:$I,3,0),0)</f>
        <v>0</v>
      </c>
      <c r="I1129" s="46">
        <f>IFERROR(VLOOKUP($E1129,'BASE DE DATOS'!$A:$I,3,0),0)</f>
        <v>0</v>
      </c>
      <c r="J1129" s="46">
        <f>IFERROR(VLOOKUP($E1129,'BASE DE DATOS'!$A:$I,3,0),0)</f>
        <v>0</v>
      </c>
      <c r="K1129" s="46">
        <f>IFERROR(VLOOKUP($E1388,'BASE DE DATOS'!$A:$I,3,0),0)</f>
        <v>0</v>
      </c>
      <c r="L1129" s="46">
        <f>IFERROR(VLOOKUP($E1129,'BASE DE DATOS'!$A:$I,3,0),0)</f>
        <v>0</v>
      </c>
    </row>
    <row r="1130" spans="4:12" x14ac:dyDescent="0.25">
      <c r="D1130" s="46" t="str">
        <f>IFERROR(VLOOKUP($E1130,'BASE DE DATOS'!$A:$I,2,0)," ")</f>
        <v xml:space="preserve"> </v>
      </c>
      <c r="F1130" s="46">
        <f>IFERROR(VLOOKUP($E1143,'BASE DE DATOS'!$A:$I,3,0),0)</f>
        <v>0</v>
      </c>
      <c r="G1130" s="46">
        <f>IFERROR(VLOOKUP($E1130,'BASE DE DATOS'!$A:$I,3,0),0)</f>
        <v>0</v>
      </c>
      <c r="H1130" s="46">
        <f>IFERROR(VLOOKUP($E1130,'BASE DE DATOS'!$A:$I,3,0),0)</f>
        <v>0</v>
      </c>
      <c r="I1130" s="46">
        <f>IFERROR(VLOOKUP($E1130,'BASE DE DATOS'!$A:$I,3,0),0)</f>
        <v>0</v>
      </c>
      <c r="J1130" s="46">
        <f>IFERROR(VLOOKUP($E1130,'BASE DE DATOS'!$A:$I,3,0),0)</f>
        <v>0</v>
      </c>
      <c r="K1130" s="46">
        <f>IFERROR(VLOOKUP($E1389,'BASE DE DATOS'!$A:$I,3,0),0)</f>
        <v>0</v>
      </c>
      <c r="L1130" s="46">
        <f>IFERROR(VLOOKUP($E1130,'BASE DE DATOS'!$A:$I,3,0),0)</f>
        <v>0</v>
      </c>
    </row>
    <row r="1131" spans="4:12" x14ac:dyDescent="0.25">
      <c r="D1131" s="46" t="str">
        <f>IFERROR(VLOOKUP($E1131,'BASE DE DATOS'!$A:$I,2,0)," ")</f>
        <v xml:space="preserve"> </v>
      </c>
      <c r="F1131" s="46">
        <f>IFERROR(VLOOKUP($E1144,'BASE DE DATOS'!$A:$I,3,0),0)</f>
        <v>0</v>
      </c>
      <c r="G1131" s="46">
        <f>IFERROR(VLOOKUP($E1131,'BASE DE DATOS'!$A:$I,3,0),0)</f>
        <v>0</v>
      </c>
      <c r="H1131" s="46">
        <f>IFERROR(VLOOKUP($E1131,'BASE DE DATOS'!$A:$I,3,0),0)</f>
        <v>0</v>
      </c>
      <c r="I1131" s="46">
        <f>IFERROR(VLOOKUP($E1131,'BASE DE DATOS'!$A:$I,3,0),0)</f>
        <v>0</v>
      </c>
      <c r="J1131" s="46">
        <f>IFERROR(VLOOKUP($E1131,'BASE DE DATOS'!$A:$I,3,0),0)</f>
        <v>0</v>
      </c>
      <c r="K1131" s="46">
        <f>IFERROR(VLOOKUP($E1390,'BASE DE DATOS'!$A:$I,3,0),0)</f>
        <v>0</v>
      </c>
      <c r="L1131" s="46">
        <f>IFERROR(VLOOKUP($E1131,'BASE DE DATOS'!$A:$I,3,0),0)</f>
        <v>0</v>
      </c>
    </row>
    <row r="1132" spans="4:12" x14ac:dyDescent="0.25">
      <c r="D1132" s="46" t="str">
        <f>IFERROR(VLOOKUP($E1132,'BASE DE DATOS'!$A:$I,2,0)," ")</f>
        <v xml:space="preserve"> </v>
      </c>
      <c r="F1132" s="46">
        <f>IFERROR(VLOOKUP($E1145,'BASE DE DATOS'!$A:$I,3,0),0)</f>
        <v>0</v>
      </c>
      <c r="G1132" s="46">
        <f>IFERROR(VLOOKUP($E1132,'BASE DE DATOS'!$A:$I,3,0),0)</f>
        <v>0</v>
      </c>
      <c r="H1132" s="46">
        <f>IFERROR(VLOOKUP($E1132,'BASE DE DATOS'!$A:$I,3,0),0)</f>
        <v>0</v>
      </c>
      <c r="I1132" s="46">
        <f>IFERROR(VLOOKUP($E1132,'BASE DE DATOS'!$A:$I,3,0),0)</f>
        <v>0</v>
      </c>
      <c r="J1132" s="46">
        <f>IFERROR(VLOOKUP($E1132,'BASE DE DATOS'!$A:$I,3,0),0)</f>
        <v>0</v>
      </c>
      <c r="K1132" s="46">
        <f>IFERROR(VLOOKUP($E1391,'BASE DE DATOS'!$A:$I,3,0),0)</f>
        <v>0</v>
      </c>
      <c r="L1132" s="46">
        <f>IFERROR(VLOOKUP($E1132,'BASE DE DATOS'!$A:$I,3,0),0)</f>
        <v>0</v>
      </c>
    </row>
    <row r="1133" spans="4:12" x14ac:dyDescent="0.25">
      <c r="D1133" s="46" t="str">
        <f>IFERROR(VLOOKUP($E1133,'BASE DE DATOS'!$A:$I,2,0)," ")</f>
        <v xml:space="preserve"> </v>
      </c>
      <c r="F1133" s="46">
        <f>IFERROR(VLOOKUP($E1146,'BASE DE DATOS'!$A:$I,3,0),0)</f>
        <v>0</v>
      </c>
      <c r="G1133" s="46">
        <f>IFERROR(VLOOKUP($E1133,'BASE DE DATOS'!$A:$I,3,0),0)</f>
        <v>0</v>
      </c>
      <c r="H1133" s="46">
        <f>IFERROR(VLOOKUP($E1133,'BASE DE DATOS'!$A:$I,3,0),0)</f>
        <v>0</v>
      </c>
      <c r="I1133" s="46">
        <f>IFERROR(VLOOKUP($E1133,'BASE DE DATOS'!$A:$I,3,0),0)</f>
        <v>0</v>
      </c>
      <c r="J1133" s="46">
        <f>IFERROR(VLOOKUP($E1133,'BASE DE DATOS'!$A:$I,3,0),0)</f>
        <v>0</v>
      </c>
      <c r="K1133" s="46">
        <f>IFERROR(VLOOKUP($E1392,'BASE DE DATOS'!$A:$I,3,0),0)</f>
        <v>0</v>
      </c>
      <c r="L1133" s="46">
        <f>IFERROR(VLOOKUP($E1133,'BASE DE DATOS'!$A:$I,3,0),0)</f>
        <v>0</v>
      </c>
    </row>
    <row r="1134" spans="4:12" x14ac:dyDescent="0.25">
      <c r="D1134" s="46" t="str">
        <f>IFERROR(VLOOKUP($E1134,'BASE DE DATOS'!$A:$I,2,0)," ")</f>
        <v xml:space="preserve"> </v>
      </c>
      <c r="F1134" s="46">
        <f>IFERROR(VLOOKUP($E1147,'BASE DE DATOS'!$A:$I,3,0),0)</f>
        <v>0</v>
      </c>
      <c r="G1134" s="46">
        <f>IFERROR(VLOOKUP($E1134,'BASE DE DATOS'!$A:$I,3,0),0)</f>
        <v>0</v>
      </c>
      <c r="H1134" s="46">
        <f>IFERROR(VLOOKUP($E1134,'BASE DE DATOS'!$A:$I,3,0),0)</f>
        <v>0</v>
      </c>
      <c r="I1134" s="46">
        <f>IFERROR(VLOOKUP($E1134,'BASE DE DATOS'!$A:$I,3,0),0)</f>
        <v>0</v>
      </c>
      <c r="J1134" s="46">
        <f>IFERROR(VLOOKUP($E1134,'BASE DE DATOS'!$A:$I,3,0),0)</f>
        <v>0</v>
      </c>
      <c r="K1134" s="46">
        <f>IFERROR(VLOOKUP($E1393,'BASE DE DATOS'!$A:$I,3,0),0)</f>
        <v>0</v>
      </c>
      <c r="L1134" s="46">
        <f>IFERROR(VLOOKUP($E1134,'BASE DE DATOS'!$A:$I,3,0),0)</f>
        <v>0</v>
      </c>
    </row>
    <row r="1135" spans="4:12" x14ac:dyDescent="0.25">
      <c r="D1135" s="46" t="str">
        <f>IFERROR(VLOOKUP($E1135,'BASE DE DATOS'!$A:$I,2,0)," ")</f>
        <v xml:space="preserve"> </v>
      </c>
      <c r="F1135" s="46">
        <f>IFERROR(VLOOKUP($E1148,'BASE DE DATOS'!$A:$I,3,0),0)</f>
        <v>0</v>
      </c>
      <c r="G1135" s="46">
        <f>IFERROR(VLOOKUP($E1135,'BASE DE DATOS'!$A:$I,3,0),0)</f>
        <v>0</v>
      </c>
      <c r="H1135" s="46">
        <f>IFERROR(VLOOKUP($E1135,'BASE DE DATOS'!$A:$I,3,0),0)</f>
        <v>0</v>
      </c>
      <c r="I1135" s="46">
        <f>IFERROR(VLOOKUP($E1135,'BASE DE DATOS'!$A:$I,3,0),0)</f>
        <v>0</v>
      </c>
      <c r="J1135" s="46">
        <f>IFERROR(VLOOKUP($E1135,'BASE DE DATOS'!$A:$I,3,0),0)</f>
        <v>0</v>
      </c>
      <c r="K1135" s="46">
        <f>IFERROR(VLOOKUP($E1394,'BASE DE DATOS'!$A:$I,3,0),0)</f>
        <v>0</v>
      </c>
      <c r="L1135" s="46">
        <f>IFERROR(VLOOKUP($E1135,'BASE DE DATOS'!$A:$I,3,0),0)</f>
        <v>0</v>
      </c>
    </row>
    <row r="1136" spans="4:12" x14ac:dyDescent="0.25">
      <c r="D1136" s="46" t="str">
        <f>IFERROR(VLOOKUP($E1136,'BASE DE DATOS'!$A:$I,2,0)," ")</f>
        <v xml:space="preserve"> </v>
      </c>
      <c r="F1136" s="46">
        <f>IFERROR(VLOOKUP($E1149,'BASE DE DATOS'!$A:$I,3,0),0)</f>
        <v>0</v>
      </c>
      <c r="G1136" s="46">
        <f>IFERROR(VLOOKUP($E1136,'BASE DE DATOS'!$A:$I,3,0),0)</f>
        <v>0</v>
      </c>
      <c r="H1136" s="46">
        <f>IFERROR(VLOOKUP($E1136,'BASE DE DATOS'!$A:$I,3,0),0)</f>
        <v>0</v>
      </c>
      <c r="I1136" s="46">
        <f>IFERROR(VLOOKUP($E1136,'BASE DE DATOS'!$A:$I,3,0),0)</f>
        <v>0</v>
      </c>
      <c r="J1136" s="46">
        <f>IFERROR(VLOOKUP($E1136,'BASE DE DATOS'!$A:$I,3,0),0)</f>
        <v>0</v>
      </c>
      <c r="K1136" s="46">
        <f>IFERROR(VLOOKUP($E1395,'BASE DE DATOS'!$A:$I,3,0),0)</f>
        <v>0</v>
      </c>
      <c r="L1136" s="46">
        <f>IFERROR(VLOOKUP($E1136,'BASE DE DATOS'!$A:$I,3,0),0)</f>
        <v>0</v>
      </c>
    </row>
    <row r="1137" spans="4:12" x14ac:dyDescent="0.25">
      <c r="D1137" s="46" t="str">
        <f>IFERROR(VLOOKUP($E1137,'BASE DE DATOS'!$A:$I,2,0)," ")</f>
        <v xml:space="preserve"> </v>
      </c>
      <c r="F1137" s="46">
        <f>IFERROR(VLOOKUP($E1150,'BASE DE DATOS'!$A:$I,3,0),0)</f>
        <v>0</v>
      </c>
      <c r="G1137" s="46">
        <f>IFERROR(VLOOKUP($E1137,'BASE DE DATOS'!$A:$I,3,0),0)</f>
        <v>0</v>
      </c>
      <c r="H1137" s="46">
        <f>IFERROR(VLOOKUP($E1137,'BASE DE DATOS'!$A:$I,3,0),0)</f>
        <v>0</v>
      </c>
      <c r="I1137" s="46">
        <f>IFERROR(VLOOKUP($E1137,'BASE DE DATOS'!$A:$I,3,0),0)</f>
        <v>0</v>
      </c>
      <c r="J1137" s="46">
        <f>IFERROR(VLOOKUP($E1137,'BASE DE DATOS'!$A:$I,3,0),0)</f>
        <v>0</v>
      </c>
      <c r="K1137" s="46">
        <f>IFERROR(VLOOKUP($E1396,'BASE DE DATOS'!$A:$I,3,0),0)</f>
        <v>0</v>
      </c>
      <c r="L1137" s="46">
        <f>IFERROR(VLOOKUP($E1137,'BASE DE DATOS'!$A:$I,3,0),0)</f>
        <v>0</v>
      </c>
    </row>
    <row r="1138" spans="4:12" x14ac:dyDescent="0.25">
      <c r="D1138" s="46" t="str">
        <f>IFERROR(VLOOKUP($E1138,'BASE DE DATOS'!$A:$I,2,0)," ")</f>
        <v xml:space="preserve"> </v>
      </c>
      <c r="F1138" s="46">
        <f>IFERROR(VLOOKUP($E1151,'BASE DE DATOS'!$A:$I,3,0),0)</f>
        <v>0</v>
      </c>
      <c r="G1138" s="46">
        <f>IFERROR(VLOOKUP($E1138,'BASE DE DATOS'!$A:$I,3,0),0)</f>
        <v>0</v>
      </c>
      <c r="H1138" s="46">
        <f>IFERROR(VLOOKUP($E1138,'BASE DE DATOS'!$A:$I,3,0),0)</f>
        <v>0</v>
      </c>
      <c r="I1138" s="46">
        <f>IFERROR(VLOOKUP($E1138,'BASE DE DATOS'!$A:$I,3,0),0)</f>
        <v>0</v>
      </c>
      <c r="J1138" s="46">
        <f>IFERROR(VLOOKUP($E1138,'BASE DE DATOS'!$A:$I,3,0),0)</f>
        <v>0</v>
      </c>
      <c r="K1138" s="46">
        <f>IFERROR(VLOOKUP($E1397,'BASE DE DATOS'!$A:$I,3,0),0)</f>
        <v>0</v>
      </c>
      <c r="L1138" s="46">
        <f>IFERROR(VLOOKUP($E1138,'BASE DE DATOS'!$A:$I,3,0),0)</f>
        <v>0</v>
      </c>
    </row>
    <row r="1139" spans="4:12" x14ac:dyDescent="0.25">
      <c r="D1139" s="46" t="str">
        <f>IFERROR(VLOOKUP($E1139,'BASE DE DATOS'!$A:$I,2,0)," ")</f>
        <v xml:space="preserve"> </v>
      </c>
      <c r="F1139" s="46">
        <f>IFERROR(VLOOKUP($E1152,'BASE DE DATOS'!$A:$I,3,0),0)</f>
        <v>0</v>
      </c>
      <c r="G1139" s="46">
        <f>IFERROR(VLOOKUP($E1139,'BASE DE DATOS'!$A:$I,3,0),0)</f>
        <v>0</v>
      </c>
      <c r="H1139" s="46">
        <f>IFERROR(VLOOKUP($E1139,'BASE DE DATOS'!$A:$I,3,0),0)</f>
        <v>0</v>
      </c>
      <c r="I1139" s="46">
        <f>IFERROR(VLOOKUP($E1139,'BASE DE DATOS'!$A:$I,3,0),0)</f>
        <v>0</v>
      </c>
      <c r="J1139" s="46">
        <f>IFERROR(VLOOKUP($E1139,'BASE DE DATOS'!$A:$I,3,0),0)</f>
        <v>0</v>
      </c>
      <c r="K1139" s="46">
        <f>IFERROR(VLOOKUP($E1398,'BASE DE DATOS'!$A:$I,3,0),0)</f>
        <v>0</v>
      </c>
      <c r="L1139" s="46">
        <f>IFERROR(VLOOKUP($E1139,'BASE DE DATOS'!$A:$I,3,0),0)</f>
        <v>0</v>
      </c>
    </row>
    <row r="1140" spans="4:12" x14ac:dyDescent="0.25">
      <c r="D1140" s="46" t="str">
        <f>IFERROR(VLOOKUP($E1140,'BASE DE DATOS'!$A:$I,2,0)," ")</f>
        <v xml:space="preserve"> </v>
      </c>
      <c r="F1140" s="46">
        <f>IFERROR(VLOOKUP($E1153,'BASE DE DATOS'!$A:$I,3,0),0)</f>
        <v>0</v>
      </c>
      <c r="G1140" s="46">
        <f>IFERROR(VLOOKUP($E1140,'BASE DE DATOS'!$A:$I,3,0),0)</f>
        <v>0</v>
      </c>
      <c r="H1140" s="46">
        <f>IFERROR(VLOOKUP($E1140,'BASE DE DATOS'!$A:$I,3,0),0)</f>
        <v>0</v>
      </c>
      <c r="I1140" s="46">
        <f>IFERROR(VLOOKUP($E1140,'BASE DE DATOS'!$A:$I,3,0),0)</f>
        <v>0</v>
      </c>
      <c r="J1140" s="46">
        <f>IFERROR(VLOOKUP($E1140,'BASE DE DATOS'!$A:$I,3,0),0)</f>
        <v>0</v>
      </c>
      <c r="K1140" s="46">
        <f>IFERROR(VLOOKUP($E1399,'BASE DE DATOS'!$A:$I,3,0),0)</f>
        <v>0</v>
      </c>
      <c r="L1140" s="46">
        <f>IFERROR(VLOOKUP($E1140,'BASE DE DATOS'!$A:$I,3,0),0)</f>
        <v>0</v>
      </c>
    </row>
    <row r="1141" spans="4:12" x14ac:dyDescent="0.25">
      <c r="D1141" s="46" t="str">
        <f>IFERROR(VLOOKUP($E1141,'BASE DE DATOS'!$A:$I,2,0)," ")</f>
        <v xml:space="preserve"> </v>
      </c>
      <c r="F1141" s="46">
        <f>IFERROR(VLOOKUP($E1154,'BASE DE DATOS'!$A:$I,3,0),0)</f>
        <v>0</v>
      </c>
      <c r="G1141" s="46">
        <f>IFERROR(VLOOKUP($E1141,'BASE DE DATOS'!$A:$I,3,0),0)</f>
        <v>0</v>
      </c>
      <c r="H1141" s="46">
        <f>IFERROR(VLOOKUP($E1141,'BASE DE DATOS'!$A:$I,3,0),0)</f>
        <v>0</v>
      </c>
      <c r="I1141" s="46">
        <f>IFERROR(VLOOKUP($E1141,'BASE DE DATOS'!$A:$I,3,0),0)</f>
        <v>0</v>
      </c>
      <c r="J1141" s="46">
        <f>IFERROR(VLOOKUP($E1141,'BASE DE DATOS'!$A:$I,3,0),0)</f>
        <v>0</v>
      </c>
      <c r="K1141" s="46">
        <f>IFERROR(VLOOKUP($E1400,'BASE DE DATOS'!$A:$I,3,0),0)</f>
        <v>0</v>
      </c>
      <c r="L1141" s="46">
        <f>IFERROR(VLOOKUP($E1141,'BASE DE DATOS'!$A:$I,3,0),0)</f>
        <v>0</v>
      </c>
    </row>
    <row r="1142" spans="4:12" x14ac:dyDescent="0.25">
      <c r="D1142" s="46" t="str">
        <f>IFERROR(VLOOKUP($E1142,'BASE DE DATOS'!$A:$I,2,0)," ")</f>
        <v xml:space="preserve"> </v>
      </c>
      <c r="F1142" s="46">
        <f>IFERROR(VLOOKUP($E1155,'BASE DE DATOS'!$A:$I,3,0),0)</f>
        <v>0</v>
      </c>
      <c r="G1142" s="46">
        <f>IFERROR(VLOOKUP($E1142,'BASE DE DATOS'!$A:$I,3,0),0)</f>
        <v>0</v>
      </c>
      <c r="H1142" s="46">
        <f>IFERROR(VLOOKUP($E1142,'BASE DE DATOS'!$A:$I,3,0),0)</f>
        <v>0</v>
      </c>
      <c r="I1142" s="46">
        <f>IFERROR(VLOOKUP($E1142,'BASE DE DATOS'!$A:$I,3,0),0)</f>
        <v>0</v>
      </c>
      <c r="J1142" s="46">
        <f>IFERROR(VLOOKUP($E1142,'BASE DE DATOS'!$A:$I,3,0),0)</f>
        <v>0</v>
      </c>
      <c r="K1142" s="46">
        <f>IFERROR(VLOOKUP($E1401,'BASE DE DATOS'!$A:$I,3,0),0)</f>
        <v>0</v>
      </c>
      <c r="L1142" s="46">
        <f>IFERROR(VLOOKUP($E1142,'BASE DE DATOS'!$A:$I,3,0),0)</f>
        <v>0</v>
      </c>
    </row>
    <row r="1143" spans="4:12" x14ac:dyDescent="0.25">
      <c r="D1143" s="46" t="str">
        <f>IFERROR(VLOOKUP($E1143,'BASE DE DATOS'!$A:$I,2,0)," ")</f>
        <v xml:space="preserve"> </v>
      </c>
      <c r="F1143" s="46">
        <f>IFERROR(VLOOKUP($E1156,'BASE DE DATOS'!$A:$I,3,0),0)</f>
        <v>0</v>
      </c>
      <c r="G1143" s="46">
        <f>IFERROR(VLOOKUP($E1143,'BASE DE DATOS'!$A:$I,3,0),0)</f>
        <v>0</v>
      </c>
      <c r="H1143" s="46">
        <f>IFERROR(VLOOKUP($E1143,'BASE DE DATOS'!$A:$I,3,0),0)</f>
        <v>0</v>
      </c>
      <c r="I1143" s="46">
        <f>IFERROR(VLOOKUP($E1143,'BASE DE DATOS'!$A:$I,3,0),0)</f>
        <v>0</v>
      </c>
      <c r="J1143" s="46">
        <f>IFERROR(VLOOKUP($E1143,'BASE DE DATOS'!$A:$I,3,0),0)</f>
        <v>0</v>
      </c>
      <c r="K1143" s="46">
        <f>IFERROR(VLOOKUP($E1402,'BASE DE DATOS'!$A:$I,3,0),0)</f>
        <v>0</v>
      </c>
      <c r="L1143" s="46">
        <f>IFERROR(VLOOKUP($E1143,'BASE DE DATOS'!$A:$I,3,0),0)</f>
        <v>0</v>
      </c>
    </row>
    <row r="1144" spans="4:12" x14ac:dyDescent="0.25">
      <c r="D1144" s="46" t="str">
        <f>IFERROR(VLOOKUP($E1144,'BASE DE DATOS'!$A:$I,2,0)," ")</f>
        <v xml:space="preserve"> </v>
      </c>
      <c r="F1144" s="46">
        <f>IFERROR(VLOOKUP($E1157,'BASE DE DATOS'!$A:$I,3,0),0)</f>
        <v>0</v>
      </c>
      <c r="G1144" s="46">
        <f>IFERROR(VLOOKUP($E1144,'BASE DE DATOS'!$A:$I,3,0),0)</f>
        <v>0</v>
      </c>
      <c r="H1144" s="46">
        <f>IFERROR(VLOOKUP($E1144,'BASE DE DATOS'!$A:$I,3,0),0)</f>
        <v>0</v>
      </c>
      <c r="I1144" s="46">
        <f>IFERROR(VLOOKUP($E1144,'BASE DE DATOS'!$A:$I,3,0),0)</f>
        <v>0</v>
      </c>
      <c r="J1144" s="46">
        <f>IFERROR(VLOOKUP($E1144,'BASE DE DATOS'!$A:$I,3,0),0)</f>
        <v>0</v>
      </c>
      <c r="K1144" s="46">
        <f>IFERROR(VLOOKUP($E1403,'BASE DE DATOS'!$A:$I,3,0),0)</f>
        <v>0</v>
      </c>
      <c r="L1144" s="46">
        <f>IFERROR(VLOOKUP($E1144,'BASE DE DATOS'!$A:$I,3,0),0)</f>
        <v>0</v>
      </c>
    </row>
    <row r="1145" spans="4:12" x14ac:dyDescent="0.25">
      <c r="D1145" s="46" t="str">
        <f>IFERROR(VLOOKUP($E1145,'BASE DE DATOS'!$A:$I,2,0)," ")</f>
        <v xml:space="preserve"> </v>
      </c>
      <c r="F1145" s="46">
        <f>IFERROR(VLOOKUP($E1158,'BASE DE DATOS'!$A:$I,3,0),0)</f>
        <v>0</v>
      </c>
      <c r="G1145" s="46">
        <f>IFERROR(VLOOKUP($E1145,'BASE DE DATOS'!$A:$I,3,0),0)</f>
        <v>0</v>
      </c>
      <c r="H1145" s="46">
        <f>IFERROR(VLOOKUP($E1145,'BASE DE DATOS'!$A:$I,3,0),0)</f>
        <v>0</v>
      </c>
      <c r="I1145" s="46">
        <f>IFERROR(VLOOKUP($E1145,'BASE DE DATOS'!$A:$I,3,0),0)</f>
        <v>0</v>
      </c>
      <c r="J1145" s="46">
        <f>IFERROR(VLOOKUP($E1145,'BASE DE DATOS'!$A:$I,3,0),0)</f>
        <v>0</v>
      </c>
      <c r="K1145" s="46">
        <f>IFERROR(VLOOKUP($E1404,'BASE DE DATOS'!$A:$I,3,0),0)</f>
        <v>0</v>
      </c>
      <c r="L1145" s="46">
        <f>IFERROR(VLOOKUP($E1145,'BASE DE DATOS'!$A:$I,3,0),0)</f>
        <v>0</v>
      </c>
    </row>
    <row r="1146" spans="4:12" x14ac:dyDescent="0.25">
      <c r="D1146" s="46" t="str">
        <f>IFERROR(VLOOKUP($E1146,'BASE DE DATOS'!$A:$I,2,0)," ")</f>
        <v xml:space="preserve"> </v>
      </c>
      <c r="F1146" s="46">
        <f>IFERROR(VLOOKUP($E1159,'BASE DE DATOS'!$A:$I,3,0),0)</f>
        <v>0</v>
      </c>
      <c r="G1146" s="46">
        <f>IFERROR(VLOOKUP($E1146,'BASE DE DATOS'!$A:$I,3,0),0)</f>
        <v>0</v>
      </c>
      <c r="H1146" s="46">
        <f>IFERROR(VLOOKUP($E1146,'BASE DE DATOS'!$A:$I,3,0),0)</f>
        <v>0</v>
      </c>
      <c r="I1146" s="46">
        <f>IFERROR(VLOOKUP($E1146,'BASE DE DATOS'!$A:$I,3,0),0)</f>
        <v>0</v>
      </c>
      <c r="J1146" s="46">
        <f>IFERROR(VLOOKUP($E1146,'BASE DE DATOS'!$A:$I,3,0),0)</f>
        <v>0</v>
      </c>
      <c r="K1146" s="46">
        <f>IFERROR(VLOOKUP($E1405,'BASE DE DATOS'!$A:$I,3,0),0)</f>
        <v>0</v>
      </c>
      <c r="L1146" s="46">
        <f>IFERROR(VLOOKUP($E1146,'BASE DE DATOS'!$A:$I,3,0),0)</f>
        <v>0</v>
      </c>
    </row>
    <row r="1147" spans="4:12" x14ac:dyDescent="0.25">
      <c r="D1147" s="46" t="str">
        <f>IFERROR(VLOOKUP($E1147,'BASE DE DATOS'!$A:$I,2,0)," ")</f>
        <v xml:space="preserve"> </v>
      </c>
      <c r="F1147" s="46">
        <f>IFERROR(VLOOKUP($E1160,'BASE DE DATOS'!$A:$I,3,0),0)</f>
        <v>0</v>
      </c>
      <c r="G1147" s="46">
        <f>IFERROR(VLOOKUP($E1147,'BASE DE DATOS'!$A:$I,3,0),0)</f>
        <v>0</v>
      </c>
      <c r="H1147" s="46">
        <f>IFERROR(VLOOKUP($E1147,'BASE DE DATOS'!$A:$I,3,0),0)</f>
        <v>0</v>
      </c>
      <c r="I1147" s="46">
        <f>IFERROR(VLOOKUP($E1147,'BASE DE DATOS'!$A:$I,3,0),0)</f>
        <v>0</v>
      </c>
      <c r="J1147" s="46">
        <f>IFERROR(VLOOKUP($E1147,'BASE DE DATOS'!$A:$I,3,0),0)</f>
        <v>0</v>
      </c>
      <c r="K1147" s="46">
        <f>IFERROR(VLOOKUP($E1406,'BASE DE DATOS'!$A:$I,3,0),0)</f>
        <v>0</v>
      </c>
      <c r="L1147" s="46">
        <f>IFERROR(VLOOKUP($E1147,'BASE DE DATOS'!$A:$I,3,0),0)</f>
        <v>0</v>
      </c>
    </row>
    <row r="1148" spans="4:12" x14ac:dyDescent="0.25">
      <c r="D1148" s="46" t="str">
        <f>IFERROR(VLOOKUP($E1148,'BASE DE DATOS'!$A:$I,2,0)," ")</f>
        <v xml:space="preserve"> </v>
      </c>
      <c r="F1148" s="46">
        <f>IFERROR(VLOOKUP($E1161,'BASE DE DATOS'!$A:$I,3,0),0)</f>
        <v>0</v>
      </c>
      <c r="G1148" s="46">
        <f>IFERROR(VLOOKUP($E1148,'BASE DE DATOS'!$A:$I,3,0),0)</f>
        <v>0</v>
      </c>
      <c r="H1148" s="46">
        <f>IFERROR(VLOOKUP($E1148,'BASE DE DATOS'!$A:$I,3,0),0)</f>
        <v>0</v>
      </c>
      <c r="I1148" s="46">
        <f>IFERROR(VLOOKUP($E1148,'BASE DE DATOS'!$A:$I,3,0),0)</f>
        <v>0</v>
      </c>
      <c r="J1148" s="46">
        <f>IFERROR(VLOOKUP($E1148,'BASE DE DATOS'!$A:$I,3,0),0)</f>
        <v>0</v>
      </c>
      <c r="K1148" s="46">
        <f>IFERROR(VLOOKUP($E1407,'BASE DE DATOS'!$A:$I,3,0),0)</f>
        <v>0</v>
      </c>
      <c r="L1148" s="46">
        <f>IFERROR(VLOOKUP($E1148,'BASE DE DATOS'!$A:$I,3,0),0)</f>
        <v>0</v>
      </c>
    </row>
    <row r="1149" spans="4:12" x14ac:dyDescent="0.25">
      <c r="D1149" s="46" t="str">
        <f>IFERROR(VLOOKUP($E1149,'BASE DE DATOS'!$A:$I,2,0)," ")</f>
        <v xml:space="preserve"> </v>
      </c>
      <c r="F1149" s="46">
        <f>IFERROR(VLOOKUP($E1162,'BASE DE DATOS'!$A:$I,3,0),0)</f>
        <v>0</v>
      </c>
      <c r="G1149" s="46">
        <f>IFERROR(VLOOKUP($E1149,'BASE DE DATOS'!$A:$I,3,0),0)</f>
        <v>0</v>
      </c>
      <c r="H1149" s="46">
        <f>IFERROR(VLOOKUP($E1149,'BASE DE DATOS'!$A:$I,3,0),0)</f>
        <v>0</v>
      </c>
      <c r="I1149" s="46">
        <f>IFERROR(VLOOKUP($E1149,'BASE DE DATOS'!$A:$I,3,0),0)</f>
        <v>0</v>
      </c>
      <c r="J1149" s="46">
        <f>IFERROR(VLOOKUP($E1149,'BASE DE DATOS'!$A:$I,3,0),0)</f>
        <v>0</v>
      </c>
      <c r="K1149" s="46">
        <f>IFERROR(VLOOKUP($E1408,'BASE DE DATOS'!$A:$I,3,0),0)</f>
        <v>0</v>
      </c>
      <c r="L1149" s="46">
        <f>IFERROR(VLOOKUP($E1149,'BASE DE DATOS'!$A:$I,3,0),0)</f>
        <v>0</v>
      </c>
    </row>
    <row r="1150" spans="4:12" x14ac:dyDescent="0.25">
      <c r="D1150" s="46" t="str">
        <f>IFERROR(VLOOKUP($E1150,'BASE DE DATOS'!$A:$I,2,0)," ")</f>
        <v xml:space="preserve"> </v>
      </c>
      <c r="F1150" s="46">
        <f>IFERROR(VLOOKUP($E1163,'BASE DE DATOS'!$A:$I,3,0),0)</f>
        <v>0</v>
      </c>
      <c r="G1150" s="46">
        <f>IFERROR(VLOOKUP($E1150,'BASE DE DATOS'!$A:$I,3,0),0)</f>
        <v>0</v>
      </c>
      <c r="H1150" s="46">
        <f>IFERROR(VLOOKUP($E1150,'BASE DE DATOS'!$A:$I,3,0),0)</f>
        <v>0</v>
      </c>
      <c r="I1150" s="46">
        <f>IFERROR(VLOOKUP($E1150,'BASE DE DATOS'!$A:$I,3,0),0)</f>
        <v>0</v>
      </c>
      <c r="J1150" s="46">
        <f>IFERROR(VLOOKUP($E1150,'BASE DE DATOS'!$A:$I,3,0),0)</f>
        <v>0</v>
      </c>
      <c r="K1150" s="46">
        <f>IFERROR(VLOOKUP($E1409,'BASE DE DATOS'!$A:$I,3,0),0)</f>
        <v>0</v>
      </c>
      <c r="L1150" s="46">
        <f>IFERROR(VLOOKUP($E1150,'BASE DE DATOS'!$A:$I,3,0),0)</f>
        <v>0</v>
      </c>
    </row>
    <row r="1151" spans="4:12" x14ac:dyDescent="0.25">
      <c r="D1151" s="46" t="str">
        <f>IFERROR(VLOOKUP($E1151,'BASE DE DATOS'!$A:$I,2,0)," ")</f>
        <v xml:space="preserve"> </v>
      </c>
      <c r="F1151" s="46">
        <f>IFERROR(VLOOKUP($E1164,'BASE DE DATOS'!$A:$I,3,0),0)</f>
        <v>0</v>
      </c>
      <c r="G1151" s="46">
        <f>IFERROR(VLOOKUP($E1151,'BASE DE DATOS'!$A:$I,3,0),0)</f>
        <v>0</v>
      </c>
      <c r="H1151" s="46">
        <f>IFERROR(VLOOKUP($E1151,'BASE DE DATOS'!$A:$I,3,0),0)</f>
        <v>0</v>
      </c>
      <c r="I1151" s="46">
        <f>IFERROR(VLOOKUP($E1151,'BASE DE DATOS'!$A:$I,3,0),0)</f>
        <v>0</v>
      </c>
      <c r="J1151" s="46">
        <f>IFERROR(VLOOKUP($E1151,'BASE DE DATOS'!$A:$I,3,0),0)</f>
        <v>0</v>
      </c>
      <c r="K1151" s="46">
        <f>IFERROR(VLOOKUP($E1410,'BASE DE DATOS'!$A:$I,3,0),0)</f>
        <v>0</v>
      </c>
      <c r="L1151" s="46">
        <f>IFERROR(VLOOKUP($E1151,'BASE DE DATOS'!$A:$I,3,0),0)</f>
        <v>0</v>
      </c>
    </row>
    <row r="1152" spans="4:12" x14ac:dyDescent="0.25">
      <c r="D1152" s="46" t="str">
        <f>IFERROR(VLOOKUP($E1152,'BASE DE DATOS'!$A:$I,2,0)," ")</f>
        <v xml:space="preserve"> </v>
      </c>
      <c r="F1152" s="46">
        <f>IFERROR(VLOOKUP($E1165,'BASE DE DATOS'!$A:$I,3,0),0)</f>
        <v>0</v>
      </c>
      <c r="G1152" s="46">
        <f>IFERROR(VLOOKUP($E1152,'BASE DE DATOS'!$A:$I,3,0),0)</f>
        <v>0</v>
      </c>
      <c r="H1152" s="46">
        <f>IFERROR(VLOOKUP($E1152,'BASE DE DATOS'!$A:$I,3,0),0)</f>
        <v>0</v>
      </c>
      <c r="I1152" s="46">
        <f>IFERROR(VLOOKUP($E1152,'BASE DE DATOS'!$A:$I,3,0),0)</f>
        <v>0</v>
      </c>
      <c r="J1152" s="46">
        <f>IFERROR(VLOOKUP($E1152,'BASE DE DATOS'!$A:$I,3,0),0)</f>
        <v>0</v>
      </c>
      <c r="K1152" s="46">
        <f>IFERROR(VLOOKUP($E1411,'BASE DE DATOS'!$A:$I,3,0),0)</f>
        <v>0</v>
      </c>
      <c r="L1152" s="46">
        <f>IFERROR(VLOOKUP($E1152,'BASE DE DATOS'!$A:$I,3,0),0)</f>
        <v>0</v>
      </c>
    </row>
    <row r="1153" spans="4:12" x14ac:dyDescent="0.25">
      <c r="D1153" s="46" t="str">
        <f>IFERROR(VLOOKUP($E1153,'BASE DE DATOS'!$A:$I,2,0)," ")</f>
        <v xml:space="preserve"> </v>
      </c>
      <c r="F1153" s="46">
        <f>IFERROR(VLOOKUP($E1166,'BASE DE DATOS'!$A:$I,3,0),0)</f>
        <v>0</v>
      </c>
      <c r="G1153" s="46">
        <f>IFERROR(VLOOKUP($E1153,'BASE DE DATOS'!$A:$I,3,0),0)</f>
        <v>0</v>
      </c>
      <c r="H1153" s="46">
        <f>IFERROR(VLOOKUP($E1153,'BASE DE DATOS'!$A:$I,3,0),0)</f>
        <v>0</v>
      </c>
      <c r="I1153" s="46">
        <f>IFERROR(VLOOKUP($E1153,'BASE DE DATOS'!$A:$I,3,0),0)</f>
        <v>0</v>
      </c>
      <c r="J1153" s="46">
        <f>IFERROR(VLOOKUP($E1153,'BASE DE DATOS'!$A:$I,3,0),0)</f>
        <v>0</v>
      </c>
      <c r="K1153" s="46">
        <f>IFERROR(VLOOKUP($E1412,'BASE DE DATOS'!$A:$I,3,0),0)</f>
        <v>0</v>
      </c>
      <c r="L1153" s="46">
        <f>IFERROR(VLOOKUP($E1153,'BASE DE DATOS'!$A:$I,3,0),0)</f>
        <v>0</v>
      </c>
    </row>
    <row r="1154" spans="4:12" x14ac:dyDescent="0.25">
      <c r="D1154" s="46" t="str">
        <f>IFERROR(VLOOKUP($E1154,'BASE DE DATOS'!$A:$I,2,0)," ")</f>
        <v xml:space="preserve"> </v>
      </c>
      <c r="F1154" s="46">
        <f>IFERROR(VLOOKUP($E1167,'BASE DE DATOS'!$A:$I,3,0),0)</f>
        <v>0</v>
      </c>
      <c r="G1154" s="46">
        <f>IFERROR(VLOOKUP($E1154,'BASE DE DATOS'!$A:$I,3,0),0)</f>
        <v>0</v>
      </c>
      <c r="H1154" s="46">
        <f>IFERROR(VLOOKUP($E1154,'BASE DE DATOS'!$A:$I,3,0),0)</f>
        <v>0</v>
      </c>
      <c r="I1154" s="46">
        <f>IFERROR(VLOOKUP($E1154,'BASE DE DATOS'!$A:$I,3,0),0)</f>
        <v>0</v>
      </c>
      <c r="J1154" s="46">
        <f>IFERROR(VLOOKUP($E1154,'BASE DE DATOS'!$A:$I,3,0),0)</f>
        <v>0</v>
      </c>
      <c r="K1154" s="46">
        <f>IFERROR(VLOOKUP($E1413,'BASE DE DATOS'!$A:$I,3,0),0)</f>
        <v>0</v>
      </c>
      <c r="L1154" s="46">
        <f>IFERROR(VLOOKUP($E1154,'BASE DE DATOS'!$A:$I,3,0),0)</f>
        <v>0</v>
      </c>
    </row>
    <row r="1155" spans="4:12" x14ac:dyDescent="0.25">
      <c r="D1155" s="46" t="str">
        <f>IFERROR(VLOOKUP($E1155,'BASE DE DATOS'!$A:$I,2,0)," ")</f>
        <v xml:space="preserve"> </v>
      </c>
      <c r="F1155" s="46">
        <f>IFERROR(VLOOKUP($E1168,'BASE DE DATOS'!$A:$I,3,0),0)</f>
        <v>0</v>
      </c>
      <c r="G1155" s="46">
        <f>IFERROR(VLOOKUP($E1155,'BASE DE DATOS'!$A:$I,3,0),0)</f>
        <v>0</v>
      </c>
      <c r="H1155" s="46">
        <f>IFERROR(VLOOKUP($E1155,'BASE DE DATOS'!$A:$I,3,0),0)</f>
        <v>0</v>
      </c>
      <c r="I1155" s="46">
        <f>IFERROR(VLOOKUP($E1155,'BASE DE DATOS'!$A:$I,3,0),0)</f>
        <v>0</v>
      </c>
      <c r="J1155" s="46">
        <f>IFERROR(VLOOKUP($E1155,'BASE DE DATOS'!$A:$I,3,0),0)</f>
        <v>0</v>
      </c>
      <c r="K1155" s="46">
        <f>IFERROR(VLOOKUP($E1414,'BASE DE DATOS'!$A:$I,3,0),0)</f>
        <v>0</v>
      </c>
      <c r="L1155" s="46">
        <f>IFERROR(VLOOKUP($E1155,'BASE DE DATOS'!$A:$I,3,0),0)</f>
        <v>0</v>
      </c>
    </row>
    <row r="1156" spans="4:12" x14ac:dyDescent="0.25">
      <c r="D1156" s="46" t="str">
        <f>IFERROR(VLOOKUP($E1156,'BASE DE DATOS'!$A:$I,2,0)," ")</f>
        <v xml:space="preserve"> </v>
      </c>
      <c r="F1156" s="46">
        <f>IFERROR(VLOOKUP($E1169,'BASE DE DATOS'!$A:$I,3,0),0)</f>
        <v>0</v>
      </c>
      <c r="G1156" s="46">
        <f>IFERROR(VLOOKUP($E1156,'BASE DE DATOS'!$A:$I,3,0),0)</f>
        <v>0</v>
      </c>
      <c r="H1156" s="46">
        <f>IFERROR(VLOOKUP($E1156,'BASE DE DATOS'!$A:$I,3,0),0)</f>
        <v>0</v>
      </c>
      <c r="I1156" s="46">
        <f>IFERROR(VLOOKUP($E1156,'BASE DE DATOS'!$A:$I,3,0),0)</f>
        <v>0</v>
      </c>
      <c r="J1156" s="46">
        <f>IFERROR(VLOOKUP($E1156,'BASE DE DATOS'!$A:$I,3,0),0)</f>
        <v>0</v>
      </c>
      <c r="K1156" s="46">
        <f>IFERROR(VLOOKUP($E1415,'BASE DE DATOS'!$A:$I,3,0),0)</f>
        <v>0</v>
      </c>
      <c r="L1156" s="46">
        <f>IFERROR(VLOOKUP($E1156,'BASE DE DATOS'!$A:$I,3,0),0)</f>
        <v>0</v>
      </c>
    </row>
    <row r="1157" spans="4:12" x14ac:dyDescent="0.25">
      <c r="D1157" s="46" t="str">
        <f>IFERROR(VLOOKUP($E1157,'BASE DE DATOS'!$A:$I,2,0)," ")</f>
        <v xml:space="preserve"> </v>
      </c>
      <c r="F1157" s="46">
        <f>IFERROR(VLOOKUP($E1170,'BASE DE DATOS'!$A:$I,3,0),0)</f>
        <v>0</v>
      </c>
      <c r="G1157" s="46">
        <f>IFERROR(VLOOKUP($E1157,'BASE DE DATOS'!$A:$I,3,0),0)</f>
        <v>0</v>
      </c>
      <c r="H1157" s="46">
        <f>IFERROR(VLOOKUP($E1157,'BASE DE DATOS'!$A:$I,3,0),0)</f>
        <v>0</v>
      </c>
      <c r="I1157" s="46">
        <f>IFERROR(VLOOKUP($E1157,'BASE DE DATOS'!$A:$I,3,0),0)</f>
        <v>0</v>
      </c>
      <c r="J1157" s="46">
        <f>IFERROR(VLOOKUP($E1157,'BASE DE DATOS'!$A:$I,3,0),0)</f>
        <v>0</v>
      </c>
      <c r="K1157" s="46">
        <f>IFERROR(VLOOKUP($E1416,'BASE DE DATOS'!$A:$I,3,0),0)</f>
        <v>0</v>
      </c>
      <c r="L1157" s="46">
        <f>IFERROR(VLOOKUP($E1157,'BASE DE DATOS'!$A:$I,3,0),0)</f>
        <v>0</v>
      </c>
    </row>
    <row r="1158" spans="4:12" x14ac:dyDescent="0.25">
      <c r="D1158" s="46" t="str">
        <f>IFERROR(VLOOKUP($E1158,'BASE DE DATOS'!$A:$I,2,0)," ")</f>
        <v xml:space="preserve"> </v>
      </c>
      <c r="F1158" s="46">
        <f>IFERROR(VLOOKUP($E1171,'BASE DE DATOS'!$A:$I,3,0),0)</f>
        <v>0</v>
      </c>
      <c r="G1158" s="46">
        <f>IFERROR(VLOOKUP($E1158,'BASE DE DATOS'!$A:$I,3,0),0)</f>
        <v>0</v>
      </c>
      <c r="H1158" s="46">
        <f>IFERROR(VLOOKUP($E1158,'BASE DE DATOS'!$A:$I,3,0),0)</f>
        <v>0</v>
      </c>
      <c r="I1158" s="46">
        <f>IFERROR(VLOOKUP($E1158,'BASE DE DATOS'!$A:$I,3,0),0)</f>
        <v>0</v>
      </c>
      <c r="J1158" s="46">
        <f>IFERROR(VLOOKUP($E1158,'BASE DE DATOS'!$A:$I,3,0),0)</f>
        <v>0</v>
      </c>
      <c r="K1158" s="46">
        <f>IFERROR(VLOOKUP($E1417,'BASE DE DATOS'!$A:$I,3,0),0)</f>
        <v>0</v>
      </c>
      <c r="L1158" s="46">
        <f>IFERROR(VLOOKUP($E1158,'BASE DE DATOS'!$A:$I,3,0),0)</f>
        <v>0</v>
      </c>
    </row>
    <row r="1159" spans="4:12" x14ac:dyDescent="0.25">
      <c r="D1159" s="46" t="str">
        <f>IFERROR(VLOOKUP($E1159,'BASE DE DATOS'!$A:$I,2,0)," ")</f>
        <v xml:space="preserve"> </v>
      </c>
      <c r="F1159" s="46">
        <f>IFERROR(VLOOKUP($E1172,'BASE DE DATOS'!$A:$I,3,0),0)</f>
        <v>0</v>
      </c>
      <c r="G1159" s="46">
        <f>IFERROR(VLOOKUP($E1159,'BASE DE DATOS'!$A:$I,3,0),0)</f>
        <v>0</v>
      </c>
      <c r="H1159" s="46">
        <f>IFERROR(VLOOKUP($E1159,'BASE DE DATOS'!$A:$I,3,0),0)</f>
        <v>0</v>
      </c>
      <c r="I1159" s="46">
        <f>IFERROR(VLOOKUP($E1159,'BASE DE DATOS'!$A:$I,3,0),0)</f>
        <v>0</v>
      </c>
      <c r="J1159" s="46">
        <f>IFERROR(VLOOKUP($E1159,'BASE DE DATOS'!$A:$I,3,0),0)</f>
        <v>0</v>
      </c>
      <c r="K1159" s="46">
        <f>IFERROR(VLOOKUP($E1418,'BASE DE DATOS'!$A:$I,3,0),0)</f>
        <v>0</v>
      </c>
      <c r="L1159" s="46">
        <f>IFERROR(VLOOKUP($E1159,'BASE DE DATOS'!$A:$I,3,0),0)</f>
        <v>0</v>
      </c>
    </row>
    <row r="1160" spans="4:12" x14ac:dyDescent="0.25">
      <c r="D1160" s="46" t="str">
        <f>IFERROR(VLOOKUP($E1160,'BASE DE DATOS'!$A:$I,2,0)," ")</f>
        <v xml:space="preserve"> </v>
      </c>
      <c r="F1160" s="46">
        <f>IFERROR(VLOOKUP($E1173,'BASE DE DATOS'!$A:$I,3,0),0)</f>
        <v>0</v>
      </c>
      <c r="G1160" s="46">
        <f>IFERROR(VLOOKUP($E1160,'BASE DE DATOS'!$A:$I,3,0),0)</f>
        <v>0</v>
      </c>
      <c r="H1160" s="46">
        <f>IFERROR(VLOOKUP($E1160,'BASE DE DATOS'!$A:$I,3,0),0)</f>
        <v>0</v>
      </c>
      <c r="I1160" s="46">
        <f>IFERROR(VLOOKUP($E1160,'BASE DE DATOS'!$A:$I,3,0),0)</f>
        <v>0</v>
      </c>
      <c r="J1160" s="46">
        <f>IFERROR(VLOOKUP($E1160,'BASE DE DATOS'!$A:$I,3,0),0)</f>
        <v>0</v>
      </c>
      <c r="K1160" s="46">
        <f>IFERROR(VLOOKUP($E1419,'BASE DE DATOS'!$A:$I,3,0),0)</f>
        <v>0</v>
      </c>
      <c r="L1160" s="46">
        <f>IFERROR(VLOOKUP($E1160,'BASE DE DATOS'!$A:$I,3,0),0)</f>
        <v>0</v>
      </c>
    </row>
    <row r="1161" spans="4:12" x14ac:dyDescent="0.25">
      <c r="D1161" s="46" t="str">
        <f>IFERROR(VLOOKUP($E1161,'BASE DE DATOS'!$A:$I,2,0)," ")</f>
        <v xml:space="preserve"> </v>
      </c>
      <c r="F1161" s="46">
        <f>IFERROR(VLOOKUP($E1174,'BASE DE DATOS'!$A:$I,3,0),0)</f>
        <v>0</v>
      </c>
      <c r="G1161" s="46">
        <f>IFERROR(VLOOKUP($E1161,'BASE DE DATOS'!$A:$I,3,0),0)</f>
        <v>0</v>
      </c>
      <c r="H1161" s="46">
        <f>IFERROR(VLOOKUP($E1161,'BASE DE DATOS'!$A:$I,3,0),0)</f>
        <v>0</v>
      </c>
      <c r="I1161" s="46">
        <f>IFERROR(VLOOKUP($E1161,'BASE DE DATOS'!$A:$I,3,0),0)</f>
        <v>0</v>
      </c>
      <c r="J1161" s="46">
        <f>IFERROR(VLOOKUP($E1161,'BASE DE DATOS'!$A:$I,3,0),0)</f>
        <v>0</v>
      </c>
      <c r="K1161" s="46">
        <f>IFERROR(VLOOKUP($E1420,'BASE DE DATOS'!$A:$I,3,0),0)</f>
        <v>0</v>
      </c>
      <c r="L1161" s="46">
        <f>IFERROR(VLOOKUP($E1161,'BASE DE DATOS'!$A:$I,3,0),0)</f>
        <v>0</v>
      </c>
    </row>
    <row r="1162" spans="4:12" x14ac:dyDescent="0.25">
      <c r="D1162" s="46" t="str">
        <f>IFERROR(VLOOKUP($E1162,'BASE DE DATOS'!$A:$I,2,0)," ")</f>
        <v xml:space="preserve"> </v>
      </c>
      <c r="F1162" s="46">
        <f>IFERROR(VLOOKUP($E1175,'BASE DE DATOS'!$A:$I,3,0),0)</f>
        <v>0</v>
      </c>
      <c r="G1162" s="46">
        <f>IFERROR(VLOOKUP($E1162,'BASE DE DATOS'!$A:$I,3,0),0)</f>
        <v>0</v>
      </c>
      <c r="H1162" s="46">
        <f>IFERROR(VLOOKUP($E1162,'BASE DE DATOS'!$A:$I,3,0),0)</f>
        <v>0</v>
      </c>
      <c r="I1162" s="46">
        <f>IFERROR(VLOOKUP($E1162,'BASE DE DATOS'!$A:$I,3,0),0)</f>
        <v>0</v>
      </c>
      <c r="J1162" s="46">
        <f>IFERROR(VLOOKUP($E1162,'BASE DE DATOS'!$A:$I,3,0),0)</f>
        <v>0</v>
      </c>
      <c r="K1162" s="46">
        <f>IFERROR(VLOOKUP($E1421,'BASE DE DATOS'!$A:$I,3,0),0)</f>
        <v>0</v>
      </c>
      <c r="L1162" s="46">
        <f>IFERROR(VLOOKUP($E1162,'BASE DE DATOS'!$A:$I,3,0),0)</f>
        <v>0</v>
      </c>
    </row>
    <row r="1163" spans="4:12" x14ac:dyDescent="0.25">
      <c r="D1163" s="46" t="str">
        <f>IFERROR(VLOOKUP($E1163,'BASE DE DATOS'!$A:$I,2,0)," ")</f>
        <v xml:space="preserve"> </v>
      </c>
      <c r="F1163" s="46">
        <f>IFERROR(VLOOKUP($E1176,'BASE DE DATOS'!$A:$I,3,0),0)</f>
        <v>0</v>
      </c>
      <c r="G1163" s="46">
        <f>IFERROR(VLOOKUP($E1163,'BASE DE DATOS'!$A:$I,3,0),0)</f>
        <v>0</v>
      </c>
      <c r="H1163" s="46">
        <f>IFERROR(VLOOKUP($E1163,'BASE DE DATOS'!$A:$I,3,0),0)</f>
        <v>0</v>
      </c>
      <c r="I1163" s="46">
        <f>IFERROR(VLOOKUP($E1163,'BASE DE DATOS'!$A:$I,3,0),0)</f>
        <v>0</v>
      </c>
      <c r="J1163" s="46">
        <f>IFERROR(VLOOKUP($E1163,'BASE DE DATOS'!$A:$I,3,0),0)</f>
        <v>0</v>
      </c>
      <c r="K1163" s="46">
        <f>IFERROR(VLOOKUP($E1422,'BASE DE DATOS'!$A:$I,3,0),0)</f>
        <v>0</v>
      </c>
      <c r="L1163" s="46">
        <f>IFERROR(VLOOKUP($E1163,'BASE DE DATOS'!$A:$I,3,0),0)</f>
        <v>0</v>
      </c>
    </row>
    <row r="1164" spans="4:12" x14ac:dyDescent="0.25">
      <c r="D1164" s="46" t="str">
        <f>IFERROR(VLOOKUP($E1164,'BASE DE DATOS'!$A:$I,2,0)," ")</f>
        <v xml:space="preserve"> </v>
      </c>
      <c r="F1164" s="46">
        <f>IFERROR(VLOOKUP($E1177,'BASE DE DATOS'!$A:$I,3,0),0)</f>
        <v>0</v>
      </c>
      <c r="G1164" s="46">
        <f>IFERROR(VLOOKUP($E1164,'BASE DE DATOS'!$A:$I,3,0),0)</f>
        <v>0</v>
      </c>
      <c r="H1164" s="46">
        <f>IFERROR(VLOOKUP($E1164,'BASE DE DATOS'!$A:$I,3,0),0)</f>
        <v>0</v>
      </c>
      <c r="I1164" s="46">
        <f>IFERROR(VLOOKUP($E1164,'BASE DE DATOS'!$A:$I,3,0),0)</f>
        <v>0</v>
      </c>
      <c r="J1164" s="46">
        <f>IFERROR(VLOOKUP($E1164,'BASE DE DATOS'!$A:$I,3,0),0)</f>
        <v>0</v>
      </c>
      <c r="K1164" s="46">
        <f>IFERROR(VLOOKUP($E1423,'BASE DE DATOS'!$A:$I,3,0),0)</f>
        <v>0</v>
      </c>
      <c r="L1164" s="46">
        <f>IFERROR(VLOOKUP($E1164,'BASE DE DATOS'!$A:$I,3,0),0)</f>
        <v>0</v>
      </c>
    </row>
    <row r="1165" spans="4:12" x14ac:dyDescent="0.25">
      <c r="D1165" s="46" t="str">
        <f>IFERROR(VLOOKUP($E1165,'BASE DE DATOS'!$A:$I,2,0)," ")</f>
        <v xml:space="preserve"> </v>
      </c>
      <c r="F1165" s="46">
        <f>IFERROR(VLOOKUP($E1178,'BASE DE DATOS'!$A:$I,3,0),0)</f>
        <v>0</v>
      </c>
      <c r="G1165" s="46">
        <f>IFERROR(VLOOKUP($E1165,'BASE DE DATOS'!$A:$I,3,0),0)</f>
        <v>0</v>
      </c>
      <c r="H1165" s="46">
        <f>IFERROR(VLOOKUP($E1165,'BASE DE DATOS'!$A:$I,3,0),0)</f>
        <v>0</v>
      </c>
      <c r="I1165" s="46">
        <f>IFERROR(VLOOKUP($E1165,'BASE DE DATOS'!$A:$I,3,0),0)</f>
        <v>0</v>
      </c>
      <c r="J1165" s="46">
        <f>IFERROR(VLOOKUP($E1165,'BASE DE DATOS'!$A:$I,3,0),0)</f>
        <v>0</v>
      </c>
      <c r="K1165" s="46">
        <f>IFERROR(VLOOKUP($E1424,'BASE DE DATOS'!$A:$I,3,0),0)</f>
        <v>0</v>
      </c>
      <c r="L1165" s="46">
        <f>IFERROR(VLOOKUP($E1165,'BASE DE DATOS'!$A:$I,3,0),0)</f>
        <v>0</v>
      </c>
    </row>
    <row r="1166" spans="4:12" x14ac:dyDescent="0.25">
      <c r="D1166" s="46" t="str">
        <f>IFERROR(VLOOKUP($E1166,'BASE DE DATOS'!$A:$I,2,0)," ")</f>
        <v xml:space="preserve"> </v>
      </c>
      <c r="F1166" s="46">
        <f>IFERROR(VLOOKUP($E1179,'BASE DE DATOS'!$A:$I,3,0),0)</f>
        <v>0</v>
      </c>
      <c r="G1166" s="46">
        <f>IFERROR(VLOOKUP($E1166,'BASE DE DATOS'!$A:$I,3,0),0)</f>
        <v>0</v>
      </c>
      <c r="H1166" s="46">
        <f>IFERROR(VLOOKUP($E1166,'BASE DE DATOS'!$A:$I,3,0),0)</f>
        <v>0</v>
      </c>
      <c r="I1166" s="46">
        <f>IFERROR(VLOOKUP($E1166,'BASE DE DATOS'!$A:$I,3,0),0)</f>
        <v>0</v>
      </c>
      <c r="J1166" s="46">
        <f>IFERROR(VLOOKUP($E1166,'BASE DE DATOS'!$A:$I,3,0),0)</f>
        <v>0</v>
      </c>
      <c r="K1166" s="46">
        <f>IFERROR(VLOOKUP($E1425,'BASE DE DATOS'!$A:$I,3,0),0)</f>
        <v>0</v>
      </c>
      <c r="L1166" s="46">
        <f>IFERROR(VLOOKUP($E1166,'BASE DE DATOS'!$A:$I,3,0),0)</f>
        <v>0</v>
      </c>
    </row>
    <row r="1167" spans="4:12" x14ac:dyDescent="0.25">
      <c r="D1167" s="46" t="str">
        <f>IFERROR(VLOOKUP($E1167,'BASE DE DATOS'!$A:$I,2,0)," ")</f>
        <v xml:space="preserve"> </v>
      </c>
      <c r="F1167" s="46">
        <f>IFERROR(VLOOKUP($E1180,'BASE DE DATOS'!$A:$I,3,0),0)</f>
        <v>0</v>
      </c>
      <c r="G1167" s="46">
        <f>IFERROR(VLOOKUP($E1167,'BASE DE DATOS'!$A:$I,3,0),0)</f>
        <v>0</v>
      </c>
      <c r="H1167" s="46">
        <f>IFERROR(VLOOKUP($E1167,'BASE DE DATOS'!$A:$I,3,0),0)</f>
        <v>0</v>
      </c>
      <c r="I1167" s="46">
        <f>IFERROR(VLOOKUP($E1167,'BASE DE DATOS'!$A:$I,3,0),0)</f>
        <v>0</v>
      </c>
      <c r="J1167" s="46">
        <f>IFERROR(VLOOKUP($E1167,'BASE DE DATOS'!$A:$I,3,0),0)</f>
        <v>0</v>
      </c>
      <c r="K1167" s="46">
        <f>IFERROR(VLOOKUP($E1426,'BASE DE DATOS'!$A:$I,3,0),0)</f>
        <v>0</v>
      </c>
      <c r="L1167" s="46">
        <f>IFERROR(VLOOKUP($E1167,'BASE DE DATOS'!$A:$I,3,0),0)</f>
        <v>0</v>
      </c>
    </row>
    <row r="1168" spans="4:12" x14ac:dyDescent="0.25">
      <c r="D1168" s="46" t="str">
        <f>IFERROR(VLOOKUP($E1168,'BASE DE DATOS'!$A:$I,2,0)," ")</f>
        <v xml:space="preserve"> </v>
      </c>
      <c r="F1168" s="46">
        <f>IFERROR(VLOOKUP($E1181,'BASE DE DATOS'!$A:$I,3,0),0)</f>
        <v>0</v>
      </c>
      <c r="G1168" s="46">
        <f>IFERROR(VLOOKUP($E1168,'BASE DE DATOS'!$A:$I,3,0),0)</f>
        <v>0</v>
      </c>
      <c r="H1168" s="46">
        <f>IFERROR(VLOOKUP($E1168,'BASE DE DATOS'!$A:$I,3,0),0)</f>
        <v>0</v>
      </c>
      <c r="I1168" s="46">
        <f>IFERROR(VLOOKUP($E1168,'BASE DE DATOS'!$A:$I,3,0),0)</f>
        <v>0</v>
      </c>
      <c r="J1168" s="46">
        <f>IFERROR(VLOOKUP($E1168,'BASE DE DATOS'!$A:$I,3,0),0)</f>
        <v>0</v>
      </c>
      <c r="K1168" s="46">
        <f>IFERROR(VLOOKUP($E1427,'BASE DE DATOS'!$A:$I,3,0),0)</f>
        <v>0</v>
      </c>
      <c r="L1168" s="46">
        <f>IFERROR(VLOOKUP($E1168,'BASE DE DATOS'!$A:$I,3,0),0)</f>
        <v>0</v>
      </c>
    </row>
    <row r="1169" spans="4:12" x14ac:dyDescent="0.25">
      <c r="D1169" s="46" t="str">
        <f>IFERROR(VLOOKUP($E1169,'BASE DE DATOS'!$A:$I,2,0)," ")</f>
        <v xml:space="preserve"> </v>
      </c>
      <c r="F1169" s="46">
        <f>IFERROR(VLOOKUP($E1182,'BASE DE DATOS'!$A:$I,3,0),0)</f>
        <v>0</v>
      </c>
      <c r="G1169" s="46">
        <f>IFERROR(VLOOKUP($E1169,'BASE DE DATOS'!$A:$I,3,0),0)</f>
        <v>0</v>
      </c>
      <c r="H1169" s="46">
        <f>IFERROR(VLOOKUP($E1169,'BASE DE DATOS'!$A:$I,3,0),0)</f>
        <v>0</v>
      </c>
      <c r="I1169" s="46">
        <f>IFERROR(VLOOKUP($E1169,'BASE DE DATOS'!$A:$I,3,0),0)</f>
        <v>0</v>
      </c>
      <c r="J1169" s="46">
        <f>IFERROR(VLOOKUP($E1169,'BASE DE DATOS'!$A:$I,3,0),0)</f>
        <v>0</v>
      </c>
      <c r="K1169" s="46">
        <f>IFERROR(VLOOKUP($E1428,'BASE DE DATOS'!$A:$I,3,0),0)</f>
        <v>0</v>
      </c>
      <c r="L1169" s="46">
        <f>IFERROR(VLOOKUP($E1169,'BASE DE DATOS'!$A:$I,3,0),0)</f>
        <v>0</v>
      </c>
    </row>
    <row r="1170" spans="4:12" x14ac:dyDescent="0.25">
      <c r="D1170" s="46" t="str">
        <f>IFERROR(VLOOKUP($E1170,'BASE DE DATOS'!$A:$I,2,0)," ")</f>
        <v xml:space="preserve"> </v>
      </c>
      <c r="F1170" s="46">
        <f>IFERROR(VLOOKUP($E1183,'BASE DE DATOS'!$A:$I,3,0),0)</f>
        <v>0</v>
      </c>
      <c r="G1170" s="46">
        <f>IFERROR(VLOOKUP($E1170,'BASE DE DATOS'!$A:$I,3,0),0)</f>
        <v>0</v>
      </c>
      <c r="H1170" s="46">
        <f>IFERROR(VLOOKUP($E1170,'BASE DE DATOS'!$A:$I,3,0),0)</f>
        <v>0</v>
      </c>
      <c r="I1170" s="46">
        <f>IFERROR(VLOOKUP($E1170,'BASE DE DATOS'!$A:$I,3,0),0)</f>
        <v>0</v>
      </c>
      <c r="J1170" s="46">
        <f>IFERROR(VLOOKUP($E1170,'BASE DE DATOS'!$A:$I,3,0),0)</f>
        <v>0</v>
      </c>
      <c r="K1170" s="46">
        <f>IFERROR(VLOOKUP($E1429,'BASE DE DATOS'!$A:$I,3,0),0)</f>
        <v>0</v>
      </c>
      <c r="L1170" s="46">
        <f>IFERROR(VLOOKUP($E1170,'BASE DE DATOS'!$A:$I,3,0),0)</f>
        <v>0</v>
      </c>
    </row>
    <row r="1171" spans="4:12" x14ac:dyDescent="0.25">
      <c r="D1171" s="46" t="str">
        <f>IFERROR(VLOOKUP($E1171,'BASE DE DATOS'!$A:$I,2,0)," ")</f>
        <v xml:space="preserve"> </v>
      </c>
      <c r="F1171" s="46">
        <f>IFERROR(VLOOKUP($E1184,'BASE DE DATOS'!$A:$I,3,0),0)</f>
        <v>0</v>
      </c>
      <c r="G1171" s="46">
        <f>IFERROR(VLOOKUP($E1171,'BASE DE DATOS'!$A:$I,3,0),0)</f>
        <v>0</v>
      </c>
      <c r="H1171" s="46">
        <f>IFERROR(VLOOKUP($E1171,'BASE DE DATOS'!$A:$I,3,0),0)</f>
        <v>0</v>
      </c>
      <c r="I1171" s="46">
        <f>IFERROR(VLOOKUP($E1171,'BASE DE DATOS'!$A:$I,3,0),0)</f>
        <v>0</v>
      </c>
      <c r="J1171" s="46">
        <f>IFERROR(VLOOKUP($E1171,'BASE DE DATOS'!$A:$I,3,0),0)</f>
        <v>0</v>
      </c>
      <c r="K1171" s="46">
        <f>IFERROR(VLOOKUP($E1430,'BASE DE DATOS'!$A:$I,3,0),0)</f>
        <v>0</v>
      </c>
      <c r="L1171" s="46">
        <f>IFERROR(VLOOKUP($E1171,'BASE DE DATOS'!$A:$I,3,0),0)</f>
        <v>0</v>
      </c>
    </row>
    <row r="1172" spans="4:12" x14ac:dyDescent="0.25">
      <c r="D1172" s="46" t="str">
        <f>IFERROR(VLOOKUP($E1172,'BASE DE DATOS'!$A:$I,2,0)," ")</f>
        <v xml:space="preserve"> </v>
      </c>
      <c r="F1172" s="46">
        <f>IFERROR(VLOOKUP($E1185,'BASE DE DATOS'!$A:$I,3,0),0)</f>
        <v>0</v>
      </c>
      <c r="G1172" s="46">
        <f>IFERROR(VLOOKUP($E1172,'BASE DE DATOS'!$A:$I,3,0),0)</f>
        <v>0</v>
      </c>
      <c r="H1172" s="46">
        <f>IFERROR(VLOOKUP($E1172,'BASE DE DATOS'!$A:$I,3,0),0)</f>
        <v>0</v>
      </c>
      <c r="I1172" s="46">
        <f>IFERROR(VLOOKUP($E1172,'BASE DE DATOS'!$A:$I,3,0),0)</f>
        <v>0</v>
      </c>
      <c r="J1172" s="46">
        <f>IFERROR(VLOOKUP($E1172,'BASE DE DATOS'!$A:$I,3,0),0)</f>
        <v>0</v>
      </c>
      <c r="K1172" s="46">
        <f>IFERROR(VLOOKUP($E1431,'BASE DE DATOS'!$A:$I,3,0),0)</f>
        <v>0</v>
      </c>
      <c r="L1172" s="46">
        <f>IFERROR(VLOOKUP($E1172,'BASE DE DATOS'!$A:$I,3,0),0)</f>
        <v>0</v>
      </c>
    </row>
    <row r="1173" spans="4:12" x14ac:dyDescent="0.25">
      <c r="D1173" s="46" t="str">
        <f>IFERROR(VLOOKUP($E1173,'BASE DE DATOS'!$A:$I,2,0)," ")</f>
        <v xml:space="preserve"> </v>
      </c>
      <c r="F1173" s="46">
        <f>IFERROR(VLOOKUP($E1186,'BASE DE DATOS'!$A:$I,3,0),0)</f>
        <v>0</v>
      </c>
      <c r="G1173" s="46">
        <f>IFERROR(VLOOKUP($E1173,'BASE DE DATOS'!$A:$I,3,0),0)</f>
        <v>0</v>
      </c>
      <c r="H1173" s="46">
        <f>IFERROR(VLOOKUP($E1173,'BASE DE DATOS'!$A:$I,3,0),0)</f>
        <v>0</v>
      </c>
      <c r="I1173" s="46">
        <f>IFERROR(VLOOKUP($E1173,'BASE DE DATOS'!$A:$I,3,0),0)</f>
        <v>0</v>
      </c>
      <c r="J1173" s="46">
        <f>IFERROR(VLOOKUP($E1173,'BASE DE DATOS'!$A:$I,3,0),0)</f>
        <v>0</v>
      </c>
      <c r="K1173" s="46">
        <f>IFERROR(VLOOKUP($E1432,'BASE DE DATOS'!$A:$I,3,0),0)</f>
        <v>0</v>
      </c>
      <c r="L1173" s="46">
        <f>IFERROR(VLOOKUP($E1173,'BASE DE DATOS'!$A:$I,3,0),0)</f>
        <v>0</v>
      </c>
    </row>
    <row r="1174" spans="4:12" x14ac:dyDescent="0.25">
      <c r="D1174" s="46" t="str">
        <f>IFERROR(VLOOKUP($E1174,'BASE DE DATOS'!$A:$I,2,0)," ")</f>
        <v xml:space="preserve"> </v>
      </c>
      <c r="F1174" s="46">
        <f>IFERROR(VLOOKUP($E1187,'BASE DE DATOS'!$A:$I,3,0),0)</f>
        <v>0</v>
      </c>
      <c r="G1174" s="46">
        <f>IFERROR(VLOOKUP($E1174,'BASE DE DATOS'!$A:$I,3,0),0)</f>
        <v>0</v>
      </c>
      <c r="H1174" s="46">
        <f>IFERROR(VLOOKUP($E1174,'BASE DE DATOS'!$A:$I,3,0),0)</f>
        <v>0</v>
      </c>
      <c r="I1174" s="46">
        <f>IFERROR(VLOOKUP($E1174,'BASE DE DATOS'!$A:$I,3,0),0)</f>
        <v>0</v>
      </c>
      <c r="J1174" s="46">
        <f>IFERROR(VLOOKUP($E1174,'BASE DE DATOS'!$A:$I,3,0),0)</f>
        <v>0</v>
      </c>
      <c r="K1174" s="46">
        <f>IFERROR(VLOOKUP($E1433,'BASE DE DATOS'!$A:$I,3,0),0)</f>
        <v>0</v>
      </c>
      <c r="L1174" s="46">
        <f>IFERROR(VLOOKUP($E1174,'BASE DE DATOS'!$A:$I,3,0),0)</f>
        <v>0</v>
      </c>
    </row>
    <row r="1175" spans="4:12" x14ac:dyDescent="0.25">
      <c r="F1175" s="46">
        <f>IFERROR(VLOOKUP($E1188,'BASE DE DATOS'!$A:$I,3,0),0)</f>
        <v>0</v>
      </c>
      <c r="G1175" s="46">
        <f>IFERROR(VLOOKUP($E1175,'BASE DE DATOS'!$A:$I,3,0),0)</f>
        <v>0</v>
      </c>
      <c r="H1175" s="46">
        <f>IFERROR(VLOOKUP($E1175,'BASE DE DATOS'!$A:$I,3,0),0)</f>
        <v>0</v>
      </c>
      <c r="I1175" s="46">
        <f>IFERROR(VLOOKUP($E1175,'BASE DE DATOS'!$A:$I,3,0),0)</f>
        <v>0</v>
      </c>
      <c r="J1175" s="46">
        <f>IFERROR(VLOOKUP($E1175,'BASE DE DATOS'!$A:$I,3,0),0)</f>
        <v>0</v>
      </c>
      <c r="K1175" s="46">
        <f>IFERROR(VLOOKUP($E1434,'BASE DE DATOS'!$A:$I,3,0),0)</f>
        <v>0</v>
      </c>
      <c r="L1175" s="46">
        <f>IFERROR(VLOOKUP($E1175,'BASE DE DATOS'!$A:$I,3,0),0)</f>
        <v>0</v>
      </c>
    </row>
    <row r="1176" spans="4:12" x14ac:dyDescent="0.25">
      <c r="F1176" s="46">
        <f>IFERROR(VLOOKUP($E1189,'BASE DE DATOS'!$A:$I,3,0),0)</f>
        <v>0</v>
      </c>
      <c r="G1176" s="46">
        <f>IFERROR(VLOOKUP($E1176,'BASE DE DATOS'!$A:$I,3,0),0)</f>
        <v>0</v>
      </c>
      <c r="H1176" s="46">
        <f>IFERROR(VLOOKUP($E1176,'BASE DE DATOS'!$A:$I,3,0),0)</f>
        <v>0</v>
      </c>
      <c r="I1176" s="46">
        <f>IFERROR(VLOOKUP($E1176,'BASE DE DATOS'!$A:$I,3,0),0)</f>
        <v>0</v>
      </c>
      <c r="J1176" s="46">
        <f>IFERROR(VLOOKUP($E1176,'BASE DE DATOS'!$A:$I,3,0),0)</f>
        <v>0</v>
      </c>
      <c r="K1176" s="46">
        <f>IFERROR(VLOOKUP($E1435,'BASE DE DATOS'!$A:$I,3,0),0)</f>
        <v>0</v>
      </c>
      <c r="L1176" s="46">
        <f>IFERROR(VLOOKUP($E1176,'BASE DE DATOS'!$A:$I,3,0),0)</f>
        <v>0</v>
      </c>
    </row>
    <row r="1177" spans="4:12" x14ac:dyDescent="0.25">
      <c r="F1177" s="46">
        <f>IFERROR(VLOOKUP($E1190,'BASE DE DATOS'!$A:$I,3,0),0)</f>
        <v>0</v>
      </c>
      <c r="G1177" s="46">
        <f>IFERROR(VLOOKUP($E1177,'BASE DE DATOS'!$A:$I,3,0),0)</f>
        <v>0</v>
      </c>
      <c r="H1177" s="46">
        <f>IFERROR(VLOOKUP($E1177,'BASE DE DATOS'!$A:$I,3,0),0)</f>
        <v>0</v>
      </c>
      <c r="I1177" s="46">
        <f>IFERROR(VLOOKUP($E1177,'BASE DE DATOS'!$A:$I,3,0),0)</f>
        <v>0</v>
      </c>
      <c r="J1177" s="46">
        <f>IFERROR(VLOOKUP($E1177,'BASE DE DATOS'!$A:$I,3,0),0)</f>
        <v>0</v>
      </c>
      <c r="K1177" s="46">
        <f>IFERROR(VLOOKUP($E1436,'BASE DE DATOS'!$A:$I,3,0),0)</f>
        <v>0</v>
      </c>
      <c r="L1177" s="46">
        <f>IFERROR(VLOOKUP($E1177,'BASE DE DATOS'!$A:$I,3,0),0)</f>
        <v>0</v>
      </c>
    </row>
    <row r="1178" spans="4:12" x14ac:dyDescent="0.25">
      <c r="F1178" s="46">
        <f>IFERROR(VLOOKUP($E1191,'BASE DE DATOS'!$A:$I,3,0),0)</f>
        <v>0</v>
      </c>
      <c r="G1178" s="46">
        <f>IFERROR(VLOOKUP($E1178,'BASE DE DATOS'!$A:$I,3,0),0)</f>
        <v>0</v>
      </c>
      <c r="H1178" s="46">
        <f>IFERROR(VLOOKUP($E1178,'BASE DE DATOS'!$A:$I,3,0),0)</f>
        <v>0</v>
      </c>
      <c r="I1178" s="46">
        <f>IFERROR(VLOOKUP($E1178,'BASE DE DATOS'!$A:$I,3,0),0)</f>
        <v>0</v>
      </c>
      <c r="J1178" s="46">
        <f>IFERROR(VLOOKUP($E1178,'BASE DE DATOS'!$A:$I,3,0),0)</f>
        <v>0</v>
      </c>
      <c r="K1178" s="46">
        <f>IFERROR(VLOOKUP($E1437,'BASE DE DATOS'!$A:$I,3,0),0)</f>
        <v>0</v>
      </c>
      <c r="L1178" s="46">
        <f>IFERROR(VLOOKUP($E1178,'BASE DE DATOS'!$A:$I,3,0),0)</f>
        <v>0</v>
      </c>
    </row>
    <row r="1179" spans="4:12" x14ac:dyDescent="0.25">
      <c r="F1179" s="46">
        <f>IFERROR(VLOOKUP($E1192,'BASE DE DATOS'!$A:$I,3,0),0)</f>
        <v>0</v>
      </c>
      <c r="G1179" s="46">
        <f>IFERROR(VLOOKUP($E1179,'BASE DE DATOS'!$A:$I,3,0),0)</f>
        <v>0</v>
      </c>
      <c r="H1179" s="46">
        <f>IFERROR(VLOOKUP($E1179,'BASE DE DATOS'!$A:$I,3,0),0)</f>
        <v>0</v>
      </c>
      <c r="I1179" s="46">
        <f>IFERROR(VLOOKUP($E1179,'BASE DE DATOS'!$A:$I,3,0),0)</f>
        <v>0</v>
      </c>
      <c r="J1179" s="46">
        <f>IFERROR(VLOOKUP($E1179,'BASE DE DATOS'!$A:$I,3,0),0)</f>
        <v>0</v>
      </c>
      <c r="K1179" s="46">
        <f>IFERROR(VLOOKUP($E1438,'BASE DE DATOS'!$A:$I,3,0),0)</f>
        <v>0</v>
      </c>
      <c r="L1179" s="46">
        <f>IFERROR(VLOOKUP($E1179,'BASE DE DATOS'!$A:$I,3,0),0)</f>
        <v>0</v>
      </c>
    </row>
    <row r="1180" spans="4:12" x14ac:dyDescent="0.25">
      <c r="F1180" s="46">
        <f>IFERROR(VLOOKUP($E1193,'BASE DE DATOS'!$A:$I,3,0),0)</f>
        <v>0</v>
      </c>
      <c r="G1180" s="46">
        <f>IFERROR(VLOOKUP($E1180,'BASE DE DATOS'!$A:$I,3,0),0)</f>
        <v>0</v>
      </c>
      <c r="H1180" s="46">
        <f>IFERROR(VLOOKUP($E1180,'BASE DE DATOS'!$A:$I,3,0),0)</f>
        <v>0</v>
      </c>
      <c r="I1180" s="46">
        <f>IFERROR(VLOOKUP($E1180,'BASE DE DATOS'!$A:$I,3,0),0)</f>
        <v>0</v>
      </c>
      <c r="J1180" s="46">
        <f>IFERROR(VLOOKUP($E1180,'BASE DE DATOS'!$A:$I,3,0),0)</f>
        <v>0</v>
      </c>
      <c r="K1180" s="46">
        <f>IFERROR(VLOOKUP($E1439,'BASE DE DATOS'!$A:$I,3,0),0)</f>
        <v>0</v>
      </c>
      <c r="L1180" s="46">
        <f>IFERROR(VLOOKUP($E1180,'BASE DE DATOS'!$A:$I,3,0),0)</f>
        <v>0</v>
      </c>
    </row>
    <row r="1181" spans="4:12" x14ac:dyDescent="0.25">
      <c r="F1181" s="46">
        <f>IFERROR(VLOOKUP($E1194,'BASE DE DATOS'!$A:$I,3,0),0)</f>
        <v>0</v>
      </c>
      <c r="G1181" s="46">
        <f>IFERROR(VLOOKUP($E1181,'BASE DE DATOS'!$A:$I,3,0),0)</f>
        <v>0</v>
      </c>
      <c r="H1181" s="46">
        <f>IFERROR(VLOOKUP($E1181,'BASE DE DATOS'!$A:$I,3,0),0)</f>
        <v>0</v>
      </c>
      <c r="I1181" s="46">
        <f>IFERROR(VLOOKUP($E1181,'BASE DE DATOS'!$A:$I,3,0),0)</f>
        <v>0</v>
      </c>
      <c r="J1181" s="46">
        <f>IFERROR(VLOOKUP($E1181,'BASE DE DATOS'!$A:$I,3,0),0)</f>
        <v>0</v>
      </c>
      <c r="K1181" s="46">
        <f>IFERROR(VLOOKUP($E1440,'BASE DE DATOS'!$A:$I,3,0),0)</f>
        <v>0</v>
      </c>
      <c r="L1181" s="46">
        <f>IFERROR(VLOOKUP($E1181,'BASE DE DATOS'!$A:$I,3,0),0)</f>
        <v>0</v>
      </c>
    </row>
    <row r="1182" spans="4:12" x14ac:dyDescent="0.25">
      <c r="F1182" s="46">
        <f>IFERROR(VLOOKUP($E1195,'BASE DE DATOS'!$A:$I,3,0),0)</f>
        <v>0</v>
      </c>
      <c r="G1182" s="46">
        <f>IFERROR(VLOOKUP($E1182,'BASE DE DATOS'!$A:$I,3,0),0)</f>
        <v>0</v>
      </c>
      <c r="H1182" s="46">
        <f>IFERROR(VLOOKUP($E1182,'BASE DE DATOS'!$A:$I,3,0),0)</f>
        <v>0</v>
      </c>
      <c r="I1182" s="46">
        <f>IFERROR(VLOOKUP($E1182,'BASE DE DATOS'!$A:$I,3,0),0)</f>
        <v>0</v>
      </c>
      <c r="J1182" s="46">
        <f>IFERROR(VLOOKUP($E1182,'BASE DE DATOS'!$A:$I,3,0),0)</f>
        <v>0</v>
      </c>
      <c r="K1182" s="46">
        <f>IFERROR(VLOOKUP($E1441,'BASE DE DATOS'!$A:$I,3,0),0)</f>
        <v>0</v>
      </c>
      <c r="L1182" s="46">
        <f>IFERROR(VLOOKUP($E1182,'BASE DE DATOS'!$A:$I,3,0),0)</f>
        <v>0</v>
      </c>
    </row>
    <row r="1183" spans="4:12" x14ac:dyDescent="0.25">
      <c r="F1183" s="46">
        <f>IFERROR(VLOOKUP($E1196,'BASE DE DATOS'!$A:$I,3,0),0)</f>
        <v>0</v>
      </c>
      <c r="G1183" s="46">
        <f>IFERROR(VLOOKUP($E1183,'BASE DE DATOS'!$A:$I,3,0),0)</f>
        <v>0</v>
      </c>
      <c r="H1183" s="46">
        <f>IFERROR(VLOOKUP($E1183,'BASE DE DATOS'!$A:$I,3,0),0)</f>
        <v>0</v>
      </c>
      <c r="I1183" s="46">
        <f>IFERROR(VLOOKUP($E1183,'BASE DE DATOS'!$A:$I,3,0),0)</f>
        <v>0</v>
      </c>
      <c r="J1183" s="46">
        <f>IFERROR(VLOOKUP($E1183,'BASE DE DATOS'!$A:$I,3,0),0)</f>
        <v>0</v>
      </c>
      <c r="K1183" s="46">
        <f>IFERROR(VLOOKUP($E1442,'BASE DE DATOS'!$A:$I,3,0),0)</f>
        <v>0</v>
      </c>
      <c r="L1183" s="46">
        <f>IFERROR(VLOOKUP($E1183,'BASE DE DATOS'!$A:$I,3,0),0)</f>
        <v>0</v>
      </c>
    </row>
    <row r="1184" spans="4:12" x14ac:dyDescent="0.25">
      <c r="F1184" s="46">
        <f>IFERROR(VLOOKUP($E1197,'BASE DE DATOS'!$A:$I,3,0),0)</f>
        <v>0</v>
      </c>
      <c r="G1184" s="46">
        <f>IFERROR(VLOOKUP($E1184,'BASE DE DATOS'!$A:$I,3,0),0)</f>
        <v>0</v>
      </c>
      <c r="H1184" s="46">
        <f>IFERROR(VLOOKUP($E1184,'BASE DE DATOS'!$A:$I,3,0),0)</f>
        <v>0</v>
      </c>
      <c r="I1184" s="46">
        <f>IFERROR(VLOOKUP($E1184,'BASE DE DATOS'!$A:$I,3,0),0)</f>
        <v>0</v>
      </c>
      <c r="J1184" s="46">
        <f>IFERROR(VLOOKUP($E1184,'BASE DE DATOS'!$A:$I,3,0),0)</f>
        <v>0</v>
      </c>
      <c r="K1184" s="46">
        <f>IFERROR(VLOOKUP($E1443,'BASE DE DATOS'!$A:$I,3,0),0)</f>
        <v>0</v>
      </c>
      <c r="L1184" s="46">
        <f>IFERROR(VLOOKUP($E1184,'BASE DE DATOS'!$A:$I,3,0),0)</f>
        <v>0</v>
      </c>
    </row>
    <row r="1185" spans="6:12" x14ac:dyDescent="0.25">
      <c r="F1185" s="46">
        <f>IFERROR(VLOOKUP($E1198,'BASE DE DATOS'!$A:$I,3,0),0)</f>
        <v>0</v>
      </c>
      <c r="G1185" s="46">
        <f>IFERROR(VLOOKUP($E1185,'BASE DE DATOS'!$A:$I,3,0),0)</f>
        <v>0</v>
      </c>
      <c r="H1185" s="46">
        <f>IFERROR(VLOOKUP($E1185,'BASE DE DATOS'!$A:$I,3,0),0)</f>
        <v>0</v>
      </c>
      <c r="I1185" s="46">
        <f>IFERROR(VLOOKUP($E1185,'BASE DE DATOS'!$A:$I,3,0),0)</f>
        <v>0</v>
      </c>
      <c r="J1185" s="46">
        <f>IFERROR(VLOOKUP($E1185,'BASE DE DATOS'!$A:$I,3,0),0)</f>
        <v>0</v>
      </c>
      <c r="K1185" s="46">
        <f>IFERROR(VLOOKUP($E1444,'BASE DE DATOS'!$A:$I,3,0),0)</f>
        <v>0</v>
      </c>
      <c r="L1185" s="46">
        <f>IFERROR(VLOOKUP($E1185,'BASE DE DATOS'!$A:$I,3,0),0)</f>
        <v>0</v>
      </c>
    </row>
    <row r="1186" spans="6:12" x14ac:dyDescent="0.25">
      <c r="F1186" s="46">
        <f>IFERROR(VLOOKUP($E1199,'BASE DE DATOS'!$A:$I,3,0),0)</f>
        <v>0</v>
      </c>
      <c r="G1186" s="46">
        <f>IFERROR(VLOOKUP($E1186,'BASE DE DATOS'!$A:$I,3,0),0)</f>
        <v>0</v>
      </c>
      <c r="H1186" s="46">
        <f>IFERROR(VLOOKUP($E1186,'BASE DE DATOS'!$A:$I,3,0),0)</f>
        <v>0</v>
      </c>
      <c r="I1186" s="46">
        <f>IFERROR(VLOOKUP($E1186,'BASE DE DATOS'!$A:$I,3,0),0)</f>
        <v>0</v>
      </c>
      <c r="J1186" s="46">
        <f>IFERROR(VLOOKUP($E1186,'BASE DE DATOS'!$A:$I,3,0),0)</f>
        <v>0</v>
      </c>
      <c r="K1186" s="46">
        <f>IFERROR(VLOOKUP($E1445,'BASE DE DATOS'!$A:$I,3,0),0)</f>
        <v>0</v>
      </c>
      <c r="L1186" s="46">
        <f>IFERROR(VLOOKUP($E1186,'BASE DE DATOS'!$A:$I,3,0),0)</f>
        <v>0</v>
      </c>
    </row>
    <row r="1187" spans="6:12" x14ac:dyDescent="0.25">
      <c r="F1187" s="46">
        <f>IFERROR(VLOOKUP($E1200,'BASE DE DATOS'!$A:$I,3,0),0)</f>
        <v>0</v>
      </c>
      <c r="G1187" s="46">
        <f>IFERROR(VLOOKUP($E1187,'BASE DE DATOS'!$A:$I,3,0),0)</f>
        <v>0</v>
      </c>
      <c r="H1187" s="46">
        <f>IFERROR(VLOOKUP($E1187,'BASE DE DATOS'!$A:$I,3,0),0)</f>
        <v>0</v>
      </c>
      <c r="I1187" s="46">
        <f>IFERROR(VLOOKUP($E1187,'BASE DE DATOS'!$A:$I,3,0),0)</f>
        <v>0</v>
      </c>
      <c r="J1187" s="46">
        <f>IFERROR(VLOOKUP($E1187,'BASE DE DATOS'!$A:$I,3,0),0)</f>
        <v>0</v>
      </c>
      <c r="K1187" s="46">
        <f>IFERROR(VLOOKUP($E1446,'BASE DE DATOS'!$A:$I,3,0),0)</f>
        <v>0</v>
      </c>
      <c r="L1187" s="46">
        <f>IFERROR(VLOOKUP($E1187,'BASE DE DATOS'!$A:$I,3,0),0)</f>
        <v>0</v>
      </c>
    </row>
    <row r="1188" spans="6:12" x14ac:dyDescent="0.25">
      <c r="F1188" s="46">
        <f>IFERROR(VLOOKUP($E1201,'BASE DE DATOS'!$A:$I,3,0),0)</f>
        <v>0</v>
      </c>
      <c r="G1188" s="46">
        <f>IFERROR(VLOOKUP($E1188,'BASE DE DATOS'!$A:$I,3,0),0)</f>
        <v>0</v>
      </c>
      <c r="H1188" s="46">
        <f>IFERROR(VLOOKUP($E1188,'BASE DE DATOS'!$A:$I,3,0),0)</f>
        <v>0</v>
      </c>
      <c r="I1188" s="46">
        <f>IFERROR(VLOOKUP($E1188,'BASE DE DATOS'!$A:$I,3,0),0)</f>
        <v>0</v>
      </c>
      <c r="J1188" s="46">
        <f>IFERROR(VLOOKUP($E1188,'BASE DE DATOS'!$A:$I,3,0),0)</f>
        <v>0</v>
      </c>
      <c r="K1188" s="46">
        <f>IFERROR(VLOOKUP($E1447,'BASE DE DATOS'!$A:$I,3,0),0)</f>
        <v>0</v>
      </c>
      <c r="L1188" s="46">
        <f>IFERROR(VLOOKUP($E1188,'BASE DE DATOS'!$A:$I,3,0),0)</f>
        <v>0</v>
      </c>
    </row>
    <row r="1189" spans="6:12" x14ac:dyDescent="0.25">
      <c r="F1189" s="46">
        <f>IFERROR(VLOOKUP($E1202,'BASE DE DATOS'!$A:$I,3,0),0)</f>
        <v>0</v>
      </c>
      <c r="G1189" s="46">
        <f>IFERROR(VLOOKUP($E1189,'BASE DE DATOS'!$A:$I,3,0),0)</f>
        <v>0</v>
      </c>
      <c r="H1189" s="46">
        <f>IFERROR(VLOOKUP($E1189,'BASE DE DATOS'!$A:$I,3,0),0)</f>
        <v>0</v>
      </c>
      <c r="I1189" s="46">
        <f>IFERROR(VLOOKUP($E1189,'BASE DE DATOS'!$A:$I,3,0),0)</f>
        <v>0</v>
      </c>
      <c r="J1189" s="46">
        <f>IFERROR(VLOOKUP($E1189,'BASE DE DATOS'!$A:$I,3,0),0)</f>
        <v>0</v>
      </c>
      <c r="K1189" s="46">
        <f>IFERROR(VLOOKUP($E1448,'BASE DE DATOS'!$A:$I,3,0),0)</f>
        <v>0</v>
      </c>
      <c r="L1189" s="46">
        <f>IFERROR(VLOOKUP($E1189,'BASE DE DATOS'!$A:$I,3,0),0)</f>
        <v>0</v>
      </c>
    </row>
    <row r="1190" spans="6:12" x14ac:dyDescent="0.25">
      <c r="F1190" s="46">
        <f>IFERROR(VLOOKUP($E1203,'BASE DE DATOS'!$A:$I,3,0),0)</f>
        <v>0</v>
      </c>
      <c r="G1190" s="46">
        <f>IFERROR(VLOOKUP($E1190,'BASE DE DATOS'!$A:$I,3,0),0)</f>
        <v>0</v>
      </c>
      <c r="H1190" s="46">
        <f>IFERROR(VLOOKUP($E1190,'BASE DE DATOS'!$A:$I,3,0),0)</f>
        <v>0</v>
      </c>
      <c r="I1190" s="46">
        <f>IFERROR(VLOOKUP($E1190,'BASE DE DATOS'!$A:$I,3,0),0)</f>
        <v>0</v>
      </c>
      <c r="J1190" s="46">
        <f>IFERROR(VLOOKUP($E1190,'BASE DE DATOS'!$A:$I,3,0),0)</f>
        <v>0</v>
      </c>
      <c r="K1190" s="46">
        <f>IFERROR(VLOOKUP($E1449,'BASE DE DATOS'!$A:$I,3,0),0)</f>
        <v>0</v>
      </c>
      <c r="L1190" s="46">
        <f>IFERROR(VLOOKUP($E1190,'BASE DE DATOS'!$A:$I,3,0),0)</f>
        <v>0</v>
      </c>
    </row>
    <row r="1191" spans="6:12" x14ac:dyDescent="0.25">
      <c r="F1191" s="46">
        <f>IFERROR(VLOOKUP($E1204,'BASE DE DATOS'!$A:$I,3,0),0)</f>
        <v>0</v>
      </c>
      <c r="G1191" s="46">
        <f>IFERROR(VLOOKUP($E1191,'BASE DE DATOS'!$A:$I,3,0),0)</f>
        <v>0</v>
      </c>
      <c r="H1191" s="46">
        <f>IFERROR(VLOOKUP($E1191,'BASE DE DATOS'!$A:$I,3,0),0)</f>
        <v>0</v>
      </c>
      <c r="I1191" s="46">
        <f>IFERROR(VLOOKUP($E1191,'BASE DE DATOS'!$A:$I,3,0),0)</f>
        <v>0</v>
      </c>
      <c r="J1191" s="46">
        <f>IFERROR(VLOOKUP($E1191,'BASE DE DATOS'!$A:$I,3,0),0)</f>
        <v>0</v>
      </c>
      <c r="K1191" s="46">
        <f>IFERROR(VLOOKUP($E1450,'BASE DE DATOS'!$A:$I,3,0),0)</f>
        <v>0</v>
      </c>
      <c r="L1191" s="46">
        <f>IFERROR(VLOOKUP($E1191,'BASE DE DATOS'!$A:$I,3,0),0)</f>
        <v>0</v>
      </c>
    </row>
    <row r="1192" spans="6:12" x14ac:dyDescent="0.25">
      <c r="F1192" s="46">
        <f>IFERROR(VLOOKUP($E1205,'BASE DE DATOS'!$A:$I,3,0),0)</f>
        <v>0</v>
      </c>
      <c r="G1192" s="46">
        <f>IFERROR(VLOOKUP($E1192,'BASE DE DATOS'!$A:$I,3,0),0)</f>
        <v>0</v>
      </c>
      <c r="H1192" s="46">
        <f>IFERROR(VLOOKUP($E1192,'BASE DE DATOS'!$A:$I,3,0),0)</f>
        <v>0</v>
      </c>
      <c r="I1192" s="46">
        <f>IFERROR(VLOOKUP($E1192,'BASE DE DATOS'!$A:$I,3,0),0)</f>
        <v>0</v>
      </c>
      <c r="J1192" s="46">
        <f>IFERROR(VLOOKUP($E1192,'BASE DE DATOS'!$A:$I,3,0),0)</f>
        <v>0</v>
      </c>
      <c r="K1192" s="46">
        <f>IFERROR(VLOOKUP($E1451,'BASE DE DATOS'!$A:$I,3,0),0)</f>
        <v>0</v>
      </c>
      <c r="L1192" s="46">
        <f>IFERROR(VLOOKUP($E1192,'BASE DE DATOS'!$A:$I,3,0),0)</f>
        <v>0</v>
      </c>
    </row>
    <row r="1193" spans="6:12" x14ac:dyDescent="0.25">
      <c r="F1193" s="46">
        <f>IFERROR(VLOOKUP($E1206,'BASE DE DATOS'!$A:$I,3,0),0)</f>
        <v>0</v>
      </c>
      <c r="G1193" s="46">
        <f>IFERROR(VLOOKUP($E1193,'BASE DE DATOS'!$A:$I,3,0),0)</f>
        <v>0</v>
      </c>
      <c r="H1193" s="46">
        <f>IFERROR(VLOOKUP($E1193,'BASE DE DATOS'!$A:$I,3,0),0)</f>
        <v>0</v>
      </c>
      <c r="I1193" s="46">
        <f>IFERROR(VLOOKUP($E1193,'BASE DE DATOS'!$A:$I,3,0),0)</f>
        <v>0</v>
      </c>
      <c r="J1193" s="46">
        <f>IFERROR(VLOOKUP($E1193,'BASE DE DATOS'!$A:$I,3,0),0)</f>
        <v>0</v>
      </c>
      <c r="K1193" s="46">
        <f>IFERROR(VLOOKUP($E1452,'BASE DE DATOS'!$A:$I,3,0),0)</f>
        <v>0</v>
      </c>
      <c r="L1193" s="46">
        <f>IFERROR(VLOOKUP($E1193,'BASE DE DATOS'!$A:$I,3,0),0)</f>
        <v>0</v>
      </c>
    </row>
    <row r="1194" spans="6:12" x14ac:dyDescent="0.25">
      <c r="F1194" s="46">
        <f>IFERROR(VLOOKUP($E1207,'BASE DE DATOS'!$A:$I,3,0),0)</f>
        <v>0</v>
      </c>
      <c r="G1194" s="46">
        <f>IFERROR(VLOOKUP($E1194,'BASE DE DATOS'!$A:$I,3,0),0)</f>
        <v>0</v>
      </c>
      <c r="H1194" s="46">
        <f>IFERROR(VLOOKUP($E1194,'BASE DE DATOS'!$A:$I,3,0),0)</f>
        <v>0</v>
      </c>
      <c r="I1194" s="46">
        <f>IFERROR(VLOOKUP($E1194,'BASE DE DATOS'!$A:$I,3,0),0)</f>
        <v>0</v>
      </c>
      <c r="J1194" s="46">
        <f>IFERROR(VLOOKUP($E1194,'BASE DE DATOS'!$A:$I,3,0),0)</f>
        <v>0</v>
      </c>
      <c r="K1194" s="46">
        <f>IFERROR(VLOOKUP($E1453,'BASE DE DATOS'!$A:$I,3,0),0)</f>
        <v>0</v>
      </c>
      <c r="L1194" s="46">
        <f>IFERROR(VLOOKUP($E1194,'BASE DE DATOS'!$A:$I,3,0),0)</f>
        <v>0</v>
      </c>
    </row>
    <row r="1195" spans="6:12" x14ac:dyDescent="0.25">
      <c r="F1195" s="46">
        <f>IFERROR(VLOOKUP($E1208,'BASE DE DATOS'!$A:$I,3,0),0)</f>
        <v>0</v>
      </c>
      <c r="G1195" s="46">
        <f>IFERROR(VLOOKUP($E1195,'BASE DE DATOS'!$A:$I,3,0),0)</f>
        <v>0</v>
      </c>
      <c r="H1195" s="46">
        <f>IFERROR(VLOOKUP($E1195,'BASE DE DATOS'!$A:$I,3,0),0)</f>
        <v>0</v>
      </c>
      <c r="I1195" s="46">
        <f>IFERROR(VLOOKUP($E1195,'BASE DE DATOS'!$A:$I,3,0),0)</f>
        <v>0</v>
      </c>
      <c r="J1195" s="46">
        <f>IFERROR(VLOOKUP($E1195,'BASE DE DATOS'!$A:$I,3,0),0)</f>
        <v>0</v>
      </c>
      <c r="K1195" s="46">
        <f>IFERROR(VLOOKUP($E1454,'BASE DE DATOS'!$A:$I,3,0),0)</f>
        <v>0</v>
      </c>
      <c r="L1195" s="46">
        <f>IFERROR(VLOOKUP($E1195,'BASE DE DATOS'!$A:$I,3,0),0)</f>
        <v>0</v>
      </c>
    </row>
    <row r="1196" spans="6:12" x14ac:dyDescent="0.25">
      <c r="F1196" s="46">
        <f>IFERROR(VLOOKUP($E1209,'BASE DE DATOS'!$A:$I,3,0),0)</f>
        <v>0</v>
      </c>
      <c r="G1196" s="46">
        <f>IFERROR(VLOOKUP($E1196,'BASE DE DATOS'!$A:$I,3,0),0)</f>
        <v>0</v>
      </c>
      <c r="H1196" s="46">
        <f>IFERROR(VLOOKUP($E1196,'BASE DE DATOS'!$A:$I,3,0),0)</f>
        <v>0</v>
      </c>
      <c r="I1196" s="46">
        <f>IFERROR(VLOOKUP($E1196,'BASE DE DATOS'!$A:$I,3,0),0)</f>
        <v>0</v>
      </c>
      <c r="J1196" s="46">
        <f>IFERROR(VLOOKUP($E1196,'BASE DE DATOS'!$A:$I,3,0),0)</f>
        <v>0</v>
      </c>
      <c r="K1196" s="46">
        <f>IFERROR(VLOOKUP($E1455,'BASE DE DATOS'!$A:$I,3,0),0)</f>
        <v>0</v>
      </c>
      <c r="L1196" s="46">
        <f>IFERROR(VLOOKUP($E1196,'BASE DE DATOS'!$A:$I,3,0),0)</f>
        <v>0</v>
      </c>
    </row>
    <row r="1197" spans="6:12" x14ac:dyDescent="0.25">
      <c r="F1197" s="46">
        <f>IFERROR(VLOOKUP($E1210,'BASE DE DATOS'!$A:$I,3,0),0)</f>
        <v>0</v>
      </c>
      <c r="G1197" s="46">
        <f>IFERROR(VLOOKUP($E1197,'BASE DE DATOS'!$A:$I,3,0),0)</f>
        <v>0</v>
      </c>
      <c r="H1197" s="46">
        <f>IFERROR(VLOOKUP($E1197,'BASE DE DATOS'!$A:$I,3,0),0)</f>
        <v>0</v>
      </c>
      <c r="I1197" s="46">
        <f>IFERROR(VLOOKUP($E1197,'BASE DE DATOS'!$A:$I,3,0),0)</f>
        <v>0</v>
      </c>
      <c r="J1197" s="46">
        <f>IFERROR(VLOOKUP($E1197,'BASE DE DATOS'!$A:$I,3,0),0)</f>
        <v>0</v>
      </c>
      <c r="K1197" s="46">
        <f>IFERROR(VLOOKUP($E1456,'BASE DE DATOS'!$A:$I,3,0),0)</f>
        <v>0</v>
      </c>
      <c r="L1197" s="46">
        <f>IFERROR(VLOOKUP($E1197,'BASE DE DATOS'!$A:$I,3,0),0)</f>
        <v>0</v>
      </c>
    </row>
    <row r="1198" spans="6:12" x14ac:dyDescent="0.25">
      <c r="F1198" s="46">
        <f>IFERROR(VLOOKUP($E1211,'BASE DE DATOS'!$A:$I,3,0),0)</f>
        <v>0</v>
      </c>
      <c r="G1198" s="46">
        <f>IFERROR(VLOOKUP($E1198,'BASE DE DATOS'!$A:$I,3,0),0)</f>
        <v>0</v>
      </c>
      <c r="H1198" s="46">
        <f>IFERROR(VLOOKUP($E1198,'BASE DE DATOS'!$A:$I,3,0),0)</f>
        <v>0</v>
      </c>
      <c r="I1198" s="46">
        <f>IFERROR(VLOOKUP($E1198,'BASE DE DATOS'!$A:$I,3,0),0)</f>
        <v>0</v>
      </c>
      <c r="J1198" s="46">
        <f>IFERROR(VLOOKUP($E1198,'BASE DE DATOS'!$A:$I,3,0),0)</f>
        <v>0</v>
      </c>
      <c r="K1198" s="46">
        <f>IFERROR(VLOOKUP($E1457,'BASE DE DATOS'!$A:$I,3,0),0)</f>
        <v>0</v>
      </c>
      <c r="L1198" s="46">
        <f>IFERROR(VLOOKUP($E1198,'BASE DE DATOS'!$A:$I,3,0),0)</f>
        <v>0</v>
      </c>
    </row>
    <row r="1199" spans="6:12" x14ac:dyDescent="0.25">
      <c r="F1199" s="46">
        <f>IFERROR(VLOOKUP($E1212,'BASE DE DATOS'!$A:$I,3,0),0)</f>
        <v>0</v>
      </c>
      <c r="G1199" s="46">
        <f>IFERROR(VLOOKUP($E1199,'BASE DE DATOS'!$A:$I,3,0),0)</f>
        <v>0</v>
      </c>
      <c r="H1199" s="46">
        <f>IFERROR(VLOOKUP($E1199,'BASE DE DATOS'!$A:$I,3,0),0)</f>
        <v>0</v>
      </c>
      <c r="I1199" s="46">
        <f>IFERROR(VLOOKUP($E1199,'BASE DE DATOS'!$A:$I,3,0),0)</f>
        <v>0</v>
      </c>
      <c r="J1199" s="46">
        <f>IFERROR(VLOOKUP($E1199,'BASE DE DATOS'!$A:$I,3,0),0)</f>
        <v>0</v>
      </c>
      <c r="K1199" s="46">
        <f>IFERROR(VLOOKUP($E1458,'BASE DE DATOS'!$A:$I,3,0),0)</f>
        <v>0</v>
      </c>
      <c r="L1199" s="46">
        <f>IFERROR(VLOOKUP($E1199,'BASE DE DATOS'!$A:$I,3,0),0)</f>
        <v>0</v>
      </c>
    </row>
    <row r="1200" spans="6:12" x14ac:dyDescent="0.25">
      <c r="F1200" s="46">
        <f>IFERROR(VLOOKUP($E1213,'BASE DE DATOS'!$A:$I,3,0),0)</f>
        <v>0</v>
      </c>
      <c r="G1200" s="46">
        <f>IFERROR(VLOOKUP($E1200,'BASE DE DATOS'!$A:$I,3,0),0)</f>
        <v>0</v>
      </c>
      <c r="H1200" s="46">
        <f>IFERROR(VLOOKUP($E1200,'BASE DE DATOS'!$A:$I,3,0),0)</f>
        <v>0</v>
      </c>
      <c r="I1200" s="46">
        <f>IFERROR(VLOOKUP($E1200,'BASE DE DATOS'!$A:$I,3,0),0)</f>
        <v>0</v>
      </c>
      <c r="J1200" s="46">
        <f>IFERROR(VLOOKUP($E1200,'BASE DE DATOS'!$A:$I,3,0),0)</f>
        <v>0</v>
      </c>
      <c r="K1200" s="46">
        <f>IFERROR(VLOOKUP($E1459,'BASE DE DATOS'!$A:$I,3,0),0)</f>
        <v>0</v>
      </c>
      <c r="L1200" s="46">
        <f>IFERROR(VLOOKUP($E1200,'BASE DE DATOS'!$A:$I,3,0),0)</f>
        <v>0</v>
      </c>
    </row>
    <row r="1201" spans="6:12" x14ac:dyDescent="0.25">
      <c r="F1201" s="46">
        <f>IFERROR(VLOOKUP($E1214,'BASE DE DATOS'!$A:$I,3,0),0)</f>
        <v>0</v>
      </c>
      <c r="G1201" s="46">
        <f>IFERROR(VLOOKUP($E1201,'BASE DE DATOS'!$A:$I,3,0),0)</f>
        <v>0</v>
      </c>
      <c r="H1201" s="46">
        <f>IFERROR(VLOOKUP($E1201,'BASE DE DATOS'!$A:$I,3,0),0)</f>
        <v>0</v>
      </c>
      <c r="I1201" s="46">
        <f>IFERROR(VLOOKUP($E1201,'BASE DE DATOS'!$A:$I,3,0),0)</f>
        <v>0</v>
      </c>
      <c r="J1201" s="46">
        <f>IFERROR(VLOOKUP($E1201,'BASE DE DATOS'!$A:$I,3,0),0)</f>
        <v>0</v>
      </c>
      <c r="K1201" s="46">
        <f>IFERROR(VLOOKUP($E1460,'BASE DE DATOS'!$A:$I,3,0),0)</f>
        <v>0</v>
      </c>
      <c r="L1201" s="46">
        <f>IFERROR(VLOOKUP($E1201,'BASE DE DATOS'!$A:$I,3,0),0)</f>
        <v>0</v>
      </c>
    </row>
    <row r="1202" spans="6:12" x14ac:dyDescent="0.25">
      <c r="F1202" s="46">
        <f>IFERROR(VLOOKUP($E1215,'BASE DE DATOS'!$A:$I,3,0),0)</f>
        <v>0</v>
      </c>
      <c r="G1202" s="46">
        <f>IFERROR(VLOOKUP($E1202,'BASE DE DATOS'!$A:$I,3,0),0)</f>
        <v>0</v>
      </c>
      <c r="H1202" s="46">
        <f>IFERROR(VLOOKUP($E1202,'BASE DE DATOS'!$A:$I,3,0),0)</f>
        <v>0</v>
      </c>
      <c r="I1202" s="46">
        <f>IFERROR(VLOOKUP($E1202,'BASE DE DATOS'!$A:$I,3,0),0)</f>
        <v>0</v>
      </c>
      <c r="J1202" s="46">
        <f>IFERROR(VLOOKUP($E1202,'BASE DE DATOS'!$A:$I,3,0),0)</f>
        <v>0</v>
      </c>
      <c r="K1202" s="46">
        <f>IFERROR(VLOOKUP($E1461,'BASE DE DATOS'!$A:$I,3,0),0)</f>
        <v>0</v>
      </c>
      <c r="L1202" s="46">
        <f>IFERROR(VLOOKUP($E1202,'BASE DE DATOS'!$A:$I,3,0),0)</f>
        <v>0</v>
      </c>
    </row>
    <row r="1203" spans="6:12" x14ac:dyDescent="0.25">
      <c r="F1203" s="46">
        <f>IFERROR(VLOOKUP($E1216,'BASE DE DATOS'!$A:$I,3,0),0)</f>
        <v>0</v>
      </c>
      <c r="G1203" s="46">
        <f>IFERROR(VLOOKUP($E1203,'BASE DE DATOS'!$A:$I,3,0),0)</f>
        <v>0</v>
      </c>
      <c r="H1203" s="46">
        <f>IFERROR(VLOOKUP($E1203,'BASE DE DATOS'!$A:$I,3,0),0)</f>
        <v>0</v>
      </c>
      <c r="I1203" s="46">
        <f>IFERROR(VLOOKUP($E1203,'BASE DE DATOS'!$A:$I,3,0),0)</f>
        <v>0</v>
      </c>
      <c r="J1203" s="46">
        <f>IFERROR(VLOOKUP($E1203,'BASE DE DATOS'!$A:$I,3,0),0)</f>
        <v>0</v>
      </c>
      <c r="K1203" s="46">
        <f>IFERROR(VLOOKUP($E1462,'BASE DE DATOS'!$A:$I,3,0),0)</f>
        <v>0</v>
      </c>
      <c r="L1203" s="46">
        <f>IFERROR(VLOOKUP($E1203,'BASE DE DATOS'!$A:$I,3,0),0)</f>
        <v>0</v>
      </c>
    </row>
    <row r="1204" spans="6:12" x14ac:dyDescent="0.25">
      <c r="F1204" s="46">
        <f>IFERROR(VLOOKUP($E1217,'BASE DE DATOS'!$A:$I,3,0),0)</f>
        <v>0</v>
      </c>
      <c r="G1204" s="46">
        <f>IFERROR(VLOOKUP($E1204,'BASE DE DATOS'!$A:$I,3,0),0)</f>
        <v>0</v>
      </c>
      <c r="H1204" s="46">
        <f>IFERROR(VLOOKUP($E1204,'BASE DE DATOS'!$A:$I,3,0),0)</f>
        <v>0</v>
      </c>
      <c r="I1204" s="46">
        <f>IFERROR(VLOOKUP($E1204,'BASE DE DATOS'!$A:$I,3,0),0)</f>
        <v>0</v>
      </c>
      <c r="J1204" s="46">
        <f>IFERROR(VLOOKUP($E1204,'BASE DE DATOS'!$A:$I,3,0),0)</f>
        <v>0</v>
      </c>
      <c r="K1204" s="46">
        <f>IFERROR(VLOOKUP($E1463,'BASE DE DATOS'!$A:$I,3,0),0)</f>
        <v>0</v>
      </c>
      <c r="L1204" s="46">
        <f>IFERROR(VLOOKUP($E1204,'BASE DE DATOS'!$A:$I,3,0),0)</f>
        <v>0</v>
      </c>
    </row>
    <row r="1205" spans="6:12" x14ac:dyDescent="0.25">
      <c r="F1205" s="46">
        <f>IFERROR(VLOOKUP($E1218,'BASE DE DATOS'!$A:$I,3,0),0)</f>
        <v>0</v>
      </c>
      <c r="G1205" s="46">
        <f>IFERROR(VLOOKUP($E1205,'BASE DE DATOS'!$A:$I,3,0),0)</f>
        <v>0</v>
      </c>
      <c r="H1205" s="46">
        <f>IFERROR(VLOOKUP($E1205,'BASE DE DATOS'!$A:$I,3,0),0)</f>
        <v>0</v>
      </c>
      <c r="I1205" s="46">
        <f>IFERROR(VLOOKUP($E1205,'BASE DE DATOS'!$A:$I,3,0),0)</f>
        <v>0</v>
      </c>
      <c r="J1205" s="46">
        <f>IFERROR(VLOOKUP($E1205,'BASE DE DATOS'!$A:$I,3,0),0)</f>
        <v>0</v>
      </c>
      <c r="K1205" s="46">
        <f>IFERROR(VLOOKUP($E1464,'BASE DE DATOS'!$A:$I,3,0),0)</f>
        <v>0</v>
      </c>
      <c r="L1205" s="46">
        <f>IFERROR(VLOOKUP($E1205,'BASE DE DATOS'!$A:$I,3,0),0)</f>
        <v>0</v>
      </c>
    </row>
    <row r="1206" spans="6:12" x14ac:dyDescent="0.25">
      <c r="F1206" s="46">
        <f>IFERROR(VLOOKUP($E1219,'BASE DE DATOS'!$A:$I,3,0),0)</f>
        <v>0</v>
      </c>
      <c r="G1206" s="46">
        <f>IFERROR(VLOOKUP($E1206,'BASE DE DATOS'!$A:$I,3,0),0)</f>
        <v>0</v>
      </c>
      <c r="H1206" s="46">
        <f>IFERROR(VLOOKUP($E1206,'BASE DE DATOS'!$A:$I,3,0),0)</f>
        <v>0</v>
      </c>
      <c r="I1206" s="46">
        <f>IFERROR(VLOOKUP($E1206,'BASE DE DATOS'!$A:$I,3,0),0)</f>
        <v>0</v>
      </c>
      <c r="J1206" s="46">
        <f>IFERROR(VLOOKUP($E1206,'BASE DE DATOS'!$A:$I,3,0),0)</f>
        <v>0</v>
      </c>
      <c r="K1206" s="46">
        <f>IFERROR(VLOOKUP($E1465,'BASE DE DATOS'!$A:$I,3,0),0)</f>
        <v>0</v>
      </c>
      <c r="L1206" s="46">
        <f>IFERROR(VLOOKUP($E1206,'BASE DE DATOS'!$A:$I,3,0),0)</f>
        <v>0</v>
      </c>
    </row>
    <row r="1207" spans="6:12" x14ac:dyDescent="0.25">
      <c r="F1207" s="46">
        <f>IFERROR(VLOOKUP($E1220,'BASE DE DATOS'!$A:$I,3,0),0)</f>
        <v>0</v>
      </c>
      <c r="G1207" s="46">
        <f>IFERROR(VLOOKUP($E1207,'BASE DE DATOS'!$A:$I,3,0),0)</f>
        <v>0</v>
      </c>
      <c r="H1207" s="46">
        <f>IFERROR(VLOOKUP($E1207,'BASE DE DATOS'!$A:$I,3,0),0)</f>
        <v>0</v>
      </c>
      <c r="I1207" s="46">
        <f>IFERROR(VLOOKUP($E1207,'BASE DE DATOS'!$A:$I,3,0),0)</f>
        <v>0</v>
      </c>
      <c r="J1207" s="46">
        <f>IFERROR(VLOOKUP($E1207,'BASE DE DATOS'!$A:$I,3,0),0)</f>
        <v>0</v>
      </c>
      <c r="K1207" s="46">
        <f>IFERROR(VLOOKUP($E1466,'BASE DE DATOS'!$A:$I,3,0),0)</f>
        <v>0</v>
      </c>
      <c r="L1207" s="46">
        <f>IFERROR(VLOOKUP($E1207,'BASE DE DATOS'!$A:$I,3,0),0)</f>
        <v>0</v>
      </c>
    </row>
    <row r="1208" spans="6:12" x14ac:dyDescent="0.25">
      <c r="F1208" s="46">
        <f>IFERROR(VLOOKUP($E1221,'BASE DE DATOS'!$A:$I,3,0),0)</f>
        <v>0</v>
      </c>
      <c r="G1208" s="46">
        <f>IFERROR(VLOOKUP($E1208,'BASE DE DATOS'!$A:$I,3,0),0)</f>
        <v>0</v>
      </c>
      <c r="H1208" s="46">
        <f>IFERROR(VLOOKUP($E1208,'BASE DE DATOS'!$A:$I,3,0),0)</f>
        <v>0</v>
      </c>
      <c r="I1208" s="46">
        <f>IFERROR(VLOOKUP($E1208,'BASE DE DATOS'!$A:$I,3,0),0)</f>
        <v>0</v>
      </c>
      <c r="J1208" s="46">
        <f>IFERROR(VLOOKUP($E1208,'BASE DE DATOS'!$A:$I,3,0),0)</f>
        <v>0</v>
      </c>
      <c r="K1208" s="46">
        <f>IFERROR(VLOOKUP($E1467,'BASE DE DATOS'!$A:$I,3,0),0)</f>
        <v>0</v>
      </c>
      <c r="L1208" s="46">
        <f>IFERROR(VLOOKUP($E1208,'BASE DE DATOS'!$A:$I,3,0),0)</f>
        <v>0</v>
      </c>
    </row>
    <row r="1209" spans="6:12" x14ac:dyDescent="0.25">
      <c r="F1209" s="46">
        <f>IFERROR(VLOOKUP($E1222,'BASE DE DATOS'!$A:$I,3,0),0)</f>
        <v>0</v>
      </c>
      <c r="G1209" s="46">
        <f>IFERROR(VLOOKUP($E1209,'BASE DE DATOS'!$A:$I,3,0),0)</f>
        <v>0</v>
      </c>
      <c r="H1209" s="46">
        <f>IFERROR(VLOOKUP($E1209,'BASE DE DATOS'!$A:$I,3,0),0)</f>
        <v>0</v>
      </c>
      <c r="I1209" s="46">
        <f>IFERROR(VLOOKUP($E1209,'BASE DE DATOS'!$A:$I,3,0),0)</f>
        <v>0</v>
      </c>
      <c r="J1209" s="46">
        <f>IFERROR(VLOOKUP($E1209,'BASE DE DATOS'!$A:$I,3,0),0)</f>
        <v>0</v>
      </c>
      <c r="K1209" s="46">
        <f>IFERROR(VLOOKUP($E1468,'BASE DE DATOS'!$A:$I,3,0),0)</f>
        <v>0</v>
      </c>
      <c r="L1209" s="46">
        <f>IFERROR(VLOOKUP($E1209,'BASE DE DATOS'!$A:$I,3,0),0)</f>
        <v>0</v>
      </c>
    </row>
    <row r="1210" spans="6:12" x14ac:dyDescent="0.25">
      <c r="F1210" s="46">
        <f>IFERROR(VLOOKUP($E1223,'BASE DE DATOS'!$A:$I,3,0),0)</f>
        <v>0</v>
      </c>
      <c r="G1210" s="46">
        <f>IFERROR(VLOOKUP($E1210,'BASE DE DATOS'!$A:$I,3,0),0)</f>
        <v>0</v>
      </c>
      <c r="H1210" s="46">
        <f>IFERROR(VLOOKUP($E1210,'BASE DE DATOS'!$A:$I,3,0),0)</f>
        <v>0</v>
      </c>
      <c r="I1210" s="46">
        <f>IFERROR(VLOOKUP($E1210,'BASE DE DATOS'!$A:$I,3,0),0)</f>
        <v>0</v>
      </c>
      <c r="J1210" s="46">
        <f>IFERROR(VLOOKUP($E1210,'BASE DE DATOS'!$A:$I,3,0),0)</f>
        <v>0</v>
      </c>
      <c r="K1210" s="46">
        <f>IFERROR(VLOOKUP($E1469,'BASE DE DATOS'!$A:$I,3,0),0)</f>
        <v>0</v>
      </c>
      <c r="L1210" s="46">
        <f>IFERROR(VLOOKUP($E1210,'BASE DE DATOS'!$A:$I,3,0),0)</f>
        <v>0</v>
      </c>
    </row>
    <row r="1211" spans="6:12" x14ac:dyDescent="0.25">
      <c r="F1211" s="46">
        <f>IFERROR(VLOOKUP($E1224,'BASE DE DATOS'!$A:$I,3,0),0)</f>
        <v>0</v>
      </c>
      <c r="G1211" s="46">
        <f>IFERROR(VLOOKUP($E1211,'BASE DE DATOS'!$A:$I,3,0),0)</f>
        <v>0</v>
      </c>
      <c r="H1211" s="46">
        <f>IFERROR(VLOOKUP($E1211,'BASE DE DATOS'!$A:$I,3,0),0)</f>
        <v>0</v>
      </c>
      <c r="I1211" s="46">
        <f>IFERROR(VLOOKUP($E1211,'BASE DE DATOS'!$A:$I,3,0),0)</f>
        <v>0</v>
      </c>
      <c r="J1211" s="46">
        <f>IFERROR(VLOOKUP($E1211,'BASE DE DATOS'!$A:$I,3,0),0)</f>
        <v>0</v>
      </c>
      <c r="K1211" s="46">
        <f>IFERROR(VLOOKUP($E1470,'BASE DE DATOS'!$A:$I,3,0),0)</f>
        <v>0</v>
      </c>
      <c r="L1211" s="46">
        <f>IFERROR(VLOOKUP($E1211,'BASE DE DATOS'!$A:$I,3,0),0)</f>
        <v>0</v>
      </c>
    </row>
    <row r="1212" spans="6:12" x14ac:dyDescent="0.25">
      <c r="F1212" s="46">
        <f>IFERROR(VLOOKUP($E1225,'BASE DE DATOS'!$A:$I,3,0),0)</f>
        <v>0</v>
      </c>
      <c r="G1212" s="46">
        <f>IFERROR(VLOOKUP($E1212,'BASE DE DATOS'!$A:$I,3,0),0)</f>
        <v>0</v>
      </c>
      <c r="H1212" s="46">
        <f>IFERROR(VLOOKUP($E1212,'BASE DE DATOS'!$A:$I,3,0),0)</f>
        <v>0</v>
      </c>
      <c r="I1212" s="46">
        <f>IFERROR(VLOOKUP($E1212,'BASE DE DATOS'!$A:$I,3,0),0)</f>
        <v>0</v>
      </c>
      <c r="J1212" s="46">
        <f>IFERROR(VLOOKUP($E1212,'BASE DE DATOS'!$A:$I,3,0),0)</f>
        <v>0</v>
      </c>
      <c r="K1212" s="46">
        <f>IFERROR(VLOOKUP($E1471,'BASE DE DATOS'!$A:$I,3,0),0)</f>
        <v>0</v>
      </c>
      <c r="L1212" s="46">
        <f>IFERROR(VLOOKUP($E1212,'BASE DE DATOS'!$A:$I,3,0),0)</f>
        <v>0</v>
      </c>
    </row>
    <row r="1213" spans="6:12" x14ac:dyDescent="0.25">
      <c r="F1213" s="46">
        <f>IFERROR(VLOOKUP($E1226,'BASE DE DATOS'!$A:$I,3,0),0)</f>
        <v>0</v>
      </c>
      <c r="G1213" s="46">
        <f>IFERROR(VLOOKUP($E1213,'BASE DE DATOS'!$A:$I,3,0),0)</f>
        <v>0</v>
      </c>
      <c r="H1213" s="46">
        <f>IFERROR(VLOOKUP($E1213,'BASE DE DATOS'!$A:$I,3,0),0)</f>
        <v>0</v>
      </c>
      <c r="I1213" s="46">
        <f>IFERROR(VLOOKUP($E1213,'BASE DE DATOS'!$A:$I,3,0),0)</f>
        <v>0</v>
      </c>
      <c r="J1213" s="46">
        <f>IFERROR(VLOOKUP($E1213,'BASE DE DATOS'!$A:$I,3,0),0)</f>
        <v>0</v>
      </c>
      <c r="K1213" s="46">
        <f>IFERROR(VLOOKUP($E1472,'BASE DE DATOS'!$A:$I,3,0),0)</f>
        <v>0</v>
      </c>
      <c r="L1213" s="46">
        <f>IFERROR(VLOOKUP($E1213,'BASE DE DATOS'!$A:$I,3,0),0)</f>
        <v>0</v>
      </c>
    </row>
    <row r="1214" spans="6:12" x14ac:dyDescent="0.25">
      <c r="F1214" s="46">
        <f>IFERROR(VLOOKUP($E1227,'BASE DE DATOS'!$A:$I,3,0),0)</f>
        <v>0</v>
      </c>
      <c r="G1214" s="46">
        <f>IFERROR(VLOOKUP($E1214,'BASE DE DATOS'!$A:$I,3,0),0)</f>
        <v>0</v>
      </c>
      <c r="H1214" s="46">
        <f>IFERROR(VLOOKUP($E1214,'BASE DE DATOS'!$A:$I,3,0),0)</f>
        <v>0</v>
      </c>
      <c r="I1214" s="46">
        <f>IFERROR(VLOOKUP($E1214,'BASE DE DATOS'!$A:$I,3,0),0)</f>
        <v>0</v>
      </c>
      <c r="J1214" s="46">
        <f>IFERROR(VLOOKUP($E1214,'BASE DE DATOS'!$A:$I,3,0),0)</f>
        <v>0</v>
      </c>
      <c r="K1214" s="46">
        <f>IFERROR(VLOOKUP($E1473,'BASE DE DATOS'!$A:$I,3,0),0)</f>
        <v>0</v>
      </c>
      <c r="L1214" s="46">
        <f>IFERROR(VLOOKUP($E1214,'BASE DE DATOS'!$A:$I,3,0),0)</f>
        <v>0</v>
      </c>
    </row>
    <row r="1215" spans="6:12" x14ac:dyDescent="0.25">
      <c r="F1215" s="46">
        <f>IFERROR(VLOOKUP($E1228,'BASE DE DATOS'!$A:$I,3,0),0)</f>
        <v>0</v>
      </c>
      <c r="G1215" s="46">
        <f>IFERROR(VLOOKUP($E1215,'BASE DE DATOS'!$A:$I,3,0),0)</f>
        <v>0</v>
      </c>
      <c r="H1215" s="46">
        <f>IFERROR(VLOOKUP($E1215,'BASE DE DATOS'!$A:$I,3,0),0)</f>
        <v>0</v>
      </c>
      <c r="I1215" s="46">
        <f>IFERROR(VLOOKUP($E1215,'BASE DE DATOS'!$A:$I,3,0),0)</f>
        <v>0</v>
      </c>
      <c r="J1215" s="46">
        <f>IFERROR(VLOOKUP($E1215,'BASE DE DATOS'!$A:$I,3,0),0)</f>
        <v>0</v>
      </c>
      <c r="K1215" s="46">
        <f>IFERROR(VLOOKUP($E1474,'BASE DE DATOS'!$A:$I,3,0),0)</f>
        <v>0</v>
      </c>
      <c r="L1215" s="46">
        <f>IFERROR(VLOOKUP($E1215,'BASE DE DATOS'!$A:$I,3,0),0)</f>
        <v>0</v>
      </c>
    </row>
    <row r="1216" spans="6:12" x14ac:dyDescent="0.25">
      <c r="F1216" s="46">
        <f>IFERROR(VLOOKUP($E1229,'BASE DE DATOS'!$A:$I,3,0),0)</f>
        <v>0</v>
      </c>
      <c r="G1216" s="46">
        <f>IFERROR(VLOOKUP($E1216,'BASE DE DATOS'!$A:$I,3,0),0)</f>
        <v>0</v>
      </c>
      <c r="H1216" s="46">
        <f>IFERROR(VLOOKUP($E1216,'BASE DE DATOS'!$A:$I,3,0),0)</f>
        <v>0</v>
      </c>
      <c r="I1216" s="46">
        <f>IFERROR(VLOOKUP($E1216,'BASE DE DATOS'!$A:$I,3,0),0)</f>
        <v>0</v>
      </c>
      <c r="J1216" s="46">
        <f>IFERROR(VLOOKUP($E1216,'BASE DE DATOS'!$A:$I,3,0),0)</f>
        <v>0</v>
      </c>
      <c r="K1216" s="46">
        <f>IFERROR(VLOOKUP($E1475,'BASE DE DATOS'!$A:$I,3,0),0)</f>
        <v>0</v>
      </c>
      <c r="L1216" s="46">
        <f>IFERROR(VLOOKUP($E1216,'BASE DE DATOS'!$A:$I,3,0),0)</f>
        <v>0</v>
      </c>
    </row>
    <row r="1217" spans="6:12" x14ac:dyDescent="0.25">
      <c r="F1217" s="46">
        <f>IFERROR(VLOOKUP($E1230,'BASE DE DATOS'!$A:$I,3,0),0)</f>
        <v>0</v>
      </c>
      <c r="G1217" s="46">
        <f>IFERROR(VLOOKUP($E1217,'BASE DE DATOS'!$A:$I,3,0),0)</f>
        <v>0</v>
      </c>
      <c r="H1217" s="46">
        <f>IFERROR(VLOOKUP($E1217,'BASE DE DATOS'!$A:$I,3,0),0)</f>
        <v>0</v>
      </c>
      <c r="I1217" s="46">
        <f>IFERROR(VLOOKUP($E1217,'BASE DE DATOS'!$A:$I,3,0),0)</f>
        <v>0</v>
      </c>
      <c r="J1217" s="46">
        <f>IFERROR(VLOOKUP($E1217,'BASE DE DATOS'!$A:$I,3,0),0)</f>
        <v>0</v>
      </c>
      <c r="K1217" s="46">
        <f>IFERROR(VLOOKUP($E1476,'BASE DE DATOS'!$A:$I,3,0),0)</f>
        <v>0</v>
      </c>
      <c r="L1217" s="46">
        <f>IFERROR(VLOOKUP($E1217,'BASE DE DATOS'!$A:$I,3,0),0)</f>
        <v>0</v>
      </c>
    </row>
    <row r="1218" spans="6:12" x14ac:dyDescent="0.25">
      <c r="F1218" s="46">
        <f>IFERROR(VLOOKUP($E1231,'BASE DE DATOS'!$A:$I,3,0),0)</f>
        <v>0</v>
      </c>
      <c r="G1218" s="46">
        <f>IFERROR(VLOOKUP($E1218,'BASE DE DATOS'!$A:$I,3,0),0)</f>
        <v>0</v>
      </c>
      <c r="H1218" s="46">
        <f>IFERROR(VLOOKUP($E1218,'BASE DE DATOS'!$A:$I,3,0),0)</f>
        <v>0</v>
      </c>
      <c r="I1218" s="46">
        <f>IFERROR(VLOOKUP($E1218,'BASE DE DATOS'!$A:$I,3,0),0)</f>
        <v>0</v>
      </c>
      <c r="J1218" s="46">
        <f>IFERROR(VLOOKUP($E1218,'BASE DE DATOS'!$A:$I,3,0),0)</f>
        <v>0</v>
      </c>
      <c r="K1218" s="46">
        <f>IFERROR(VLOOKUP($E1477,'BASE DE DATOS'!$A:$I,3,0),0)</f>
        <v>0</v>
      </c>
      <c r="L1218" s="46">
        <f>IFERROR(VLOOKUP($E1218,'BASE DE DATOS'!$A:$I,3,0),0)</f>
        <v>0</v>
      </c>
    </row>
    <row r="1219" spans="6:12" x14ac:dyDescent="0.25">
      <c r="F1219" s="46">
        <f>IFERROR(VLOOKUP($E1232,'BASE DE DATOS'!$A:$I,3,0),0)</f>
        <v>0</v>
      </c>
      <c r="G1219" s="46">
        <f>IFERROR(VLOOKUP($E1219,'BASE DE DATOS'!$A:$I,3,0),0)</f>
        <v>0</v>
      </c>
      <c r="H1219" s="46">
        <f>IFERROR(VLOOKUP($E1219,'BASE DE DATOS'!$A:$I,3,0),0)</f>
        <v>0</v>
      </c>
      <c r="I1219" s="46">
        <f>IFERROR(VLOOKUP($E1219,'BASE DE DATOS'!$A:$I,3,0),0)</f>
        <v>0</v>
      </c>
      <c r="J1219" s="46">
        <f>IFERROR(VLOOKUP($E1219,'BASE DE DATOS'!$A:$I,3,0),0)</f>
        <v>0</v>
      </c>
      <c r="K1219" s="46">
        <f>IFERROR(VLOOKUP($E1478,'BASE DE DATOS'!$A:$I,3,0),0)</f>
        <v>0</v>
      </c>
      <c r="L1219" s="46">
        <f>IFERROR(VLOOKUP($E1219,'BASE DE DATOS'!$A:$I,3,0),0)</f>
        <v>0</v>
      </c>
    </row>
    <row r="1220" spans="6:12" x14ac:dyDescent="0.25">
      <c r="F1220" s="46">
        <f>IFERROR(VLOOKUP($E1233,'BASE DE DATOS'!$A:$I,3,0),0)</f>
        <v>0</v>
      </c>
      <c r="G1220" s="46">
        <f>IFERROR(VLOOKUP($E1220,'BASE DE DATOS'!$A:$I,3,0),0)</f>
        <v>0</v>
      </c>
      <c r="H1220" s="46">
        <f>IFERROR(VLOOKUP($E1220,'BASE DE DATOS'!$A:$I,3,0),0)</f>
        <v>0</v>
      </c>
      <c r="I1220" s="46">
        <f>IFERROR(VLOOKUP($E1220,'BASE DE DATOS'!$A:$I,3,0),0)</f>
        <v>0</v>
      </c>
      <c r="J1220" s="46">
        <f>IFERROR(VLOOKUP($E1220,'BASE DE DATOS'!$A:$I,3,0),0)</f>
        <v>0</v>
      </c>
      <c r="K1220" s="46">
        <f>IFERROR(VLOOKUP($E1479,'BASE DE DATOS'!$A:$I,3,0),0)</f>
        <v>0</v>
      </c>
      <c r="L1220" s="46">
        <f>IFERROR(VLOOKUP($E1220,'BASE DE DATOS'!$A:$I,3,0),0)</f>
        <v>0</v>
      </c>
    </row>
    <row r="1221" spans="6:12" x14ac:dyDescent="0.25">
      <c r="F1221" s="46">
        <f>IFERROR(VLOOKUP($E1234,'BASE DE DATOS'!$A:$I,3,0),0)</f>
        <v>0</v>
      </c>
      <c r="G1221" s="46">
        <f>IFERROR(VLOOKUP($E1221,'BASE DE DATOS'!$A:$I,3,0),0)</f>
        <v>0</v>
      </c>
      <c r="H1221" s="46">
        <f>IFERROR(VLOOKUP($E1221,'BASE DE DATOS'!$A:$I,3,0),0)</f>
        <v>0</v>
      </c>
      <c r="I1221" s="46">
        <f>IFERROR(VLOOKUP($E1221,'BASE DE DATOS'!$A:$I,3,0),0)</f>
        <v>0</v>
      </c>
      <c r="J1221" s="46">
        <f>IFERROR(VLOOKUP($E1221,'BASE DE DATOS'!$A:$I,3,0),0)</f>
        <v>0</v>
      </c>
      <c r="K1221" s="46">
        <f>IFERROR(VLOOKUP($E1480,'BASE DE DATOS'!$A:$I,3,0),0)</f>
        <v>0</v>
      </c>
      <c r="L1221" s="46">
        <f>IFERROR(VLOOKUP($E1221,'BASE DE DATOS'!$A:$I,3,0),0)</f>
        <v>0</v>
      </c>
    </row>
    <row r="1222" spans="6:12" x14ac:dyDescent="0.25">
      <c r="F1222" s="46">
        <f>IFERROR(VLOOKUP($E1235,'BASE DE DATOS'!$A:$I,3,0),0)</f>
        <v>0</v>
      </c>
      <c r="G1222" s="46">
        <f>IFERROR(VLOOKUP($E1222,'BASE DE DATOS'!$A:$I,3,0),0)</f>
        <v>0</v>
      </c>
      <c r="H1222" s="46">
        <f>IFERROR(VLOOKUP($E1222,'BASE DE DATOS'!$A:$I,3,0),0)</f>
        <v>0</v>
      </c>
      <c r="I1222" s="46">
        <f>IFERROR(VLOOKUP($E1222,'BASE DE DATOS'!$A:$I,3,0),0)</f>
        <v>0</v>
      </c>
      <c r="J1222" s="46">
        <f>IFERROR(VLOOKUP($E1222,'BASE DE DATOS'!$A:$I,3,0),0)</f>
        <v>0</v>
      </c>
      <c r="K1222" s="46">
        <f>IFERROR(VLOOKUP($E1481,'BASE DE DATOS'!$A:$I,3,0),0)</f>
        <v>0</v>
      </c>
      <c r="L1222" s="46">
        <f>IFERROR(VLOOKUP($E1222,'BASE DE DATOS'!$A:$I,3,0),0)</f>
        <v>0</v>
      </c>
    </row>
    <row r="1223" spans="6:12" x14ac:dyDescent="0.25">
      <c r="F1223" s="46">
        <f>IFERROR(VLOOKUP($E1236,'BASE DE DATOS'!$A:$I,3,0),0)</f>
        <v>0</v>
      </c>
      <c r="G1223" s="46">
        <f>IFERROR(VLOOKUP($E1223,'BASE DE DATOS'!$A:$I,3,0),0)</f>
        <v>0</v>
      </c>
      <c r="H1223" s="46">
        <f>IFERROR(VLOOKUP($E1223,'BASE DE DATOS'!$A:$I,3,0),0)</f>
        <v>0</v>
      </c>
      <c r="I1223" s="46">
        <f>IFERROR(VLOOKUP($E1223,'BASE DE DATOS'!$A:$I,3,0),0)</f>
        <v>0</v>
      </c>
      <c r="J1223" s="46">
        <f>IFERROR(VLOOKUP($E1223,'BASE DE DATOS'!$A:$I,3,0),0)</f>
        <v>0</v>
      </c>
      <c r="K1223" s="46">
        <f>IFERROR(VLOOKUP($E1482,'BASE DE DATOS'!$A:$I,3,0),0)</f>
        <v>0</v>
      </c>
      <c r="L1223" s="46">
        <f>IFERROR(VLOOKUP($E1223,'BASE DE DATOS'!$A:$I,3,0),0)</f>
        <v>0</v>
      </c>
    </row>
    <row r="1224" spans="6:12" x14ac:dyDescent="0.25">
      <c r="F1224" s="46">
        <f>IFERROR(VLOOKUP($E1237,'BASE DE DATOS'!$A:$I,3,0),0)</f>
        <v>0</v>
      </c>
      <c r="G1224" s="46">
        <f>IFERROR(VLOOKUP($E1224,'BASE DE DATOS'!$A:$I,3,0),0)</f>
        <v>0</v>
      </c>
      <c r="H1224" s="46">
        <f>IFERROR(VLOOKUP($E1224,'BASE DE DATOS'!$A:$I,3,0),0)</f>
        <v>0</v>
      </c>
      <c r="I1224" s="46">
        <f>IFERROR(VLOOKUP($E1224,'BASE DE DATOS'!$A:$I,3,0),0)</f>
        <v>0</v>
      </c>
      <c r="J1224" s="46">
        <f>IFERROR(VLOOKUP($E1224,'BASE DE DATOS'!$A:$I,3,0),0)</f>
        <v>0</v>
      </c>
      <c r="K1224" s="46">
        <f>IFERROR(VLOOKUP($E1483,'BASE DE DATOS'!$A:$I,3,0),0)</f>
        <v>0</v>
      </c>
      <c r="L1224" s="46">
        <f>IFERROR(VLOOKUP($E1224,'BASE DE DATOS'!$A:$I,3,0),0)</f>
        <v>0</v>
      </c>
    </row>
    <row r="1225" spans="6:12" x14ac:dyDescent="0.25">
      <c r="F1225" s="46">
        <f>IFERROR(VLOOKUP($E1238,'BASE DE DATOS'!$A:$I,3,0),0)</f>
        <v>0</v>
      </c>
      <c r="G1225" s="46">
        <f>IFERROR(VLOOKUP($E1225,'BASE DE DATOS'!$A:$I,3,0),0)</f>
        <v>0</v>
      </c>
      <c r="H1225" s="46">
        <f>IFERROR(VLOOKUP($E1225,'BASE DE DATOS'!$A:$I,3,0),0)</f>
        <v>0</v>
      </c>
      <c r="I1225" s="46">
        <f>IFERROR(VLOOKUP($E1225,'BASE DE DATOS'!$A:$I,3,0),0)</f>
        <v>0</v>
      </c>
      <c r="J1225" s="46">
        <f>IFERROR(VLOOKUP($E1225,'BASE DE DATOS'!$A:$I,3,0),0)</f>
        <v>0</v>
      </c>
      <c r="K1225" s="46">
        <f>IFERROR(VLOOKUP($E1484,'BASE DE DATOS'!$A:$I,3,0),0)</f>
        <v>0</v>
      </c>
      <c r="L1225" s="46">
        <f>IFERROR(VLOOKUP($E1225,'BASE DE DATOS'!$A:$I,3,0),0)</f>
        <v>0</v>
      </c>
    </row>
    <row r="1226" spans="6:12" x14ac:dyDescent="0.25">
      <c r="F1226" s="46">
        <f>IFERROR(VLOOKUP($E1239,'BASE DE DATOS'!$A:$I,3,0),0)</f>
        <v>0</v>
      </c>
      <c r="G1226" s="46">
        <f>IFERROR(VLOOKUP($E1226,'BASE DE DATOS'!$A:$I,3,0),0)</f>
        <v>0</v>
      </c>
      <c r="H1226" s="46">
        <f>IFERROR(VLOOKUP($E1226,'BASE DE DATOS'!$A:$I,3,0),0)</f>
        <v>0</v>
      </c>
      <c r="I1226" s="46">
        <f>IFERROR(VLOOKUP($E1226,'BASE DE DATOS'!$A:$I,3,0),0)</f>
        <v>0</v>
      </c>
      <c r="J1226" s="46">
        <f>IFERROR(VLOOKUP($E1226,'BASE DE DATOS'!$A:$I,3,0),0)</f>
        <v>0</v>
      </c>
      <c r="K1226" s="46">
        <f>IFERROR(VLOOKUP($E1485,'BASE DE DATOS'!$A:$I,3,0),0)</f>
        <v>0</v>
      </c>
      <c r="L1226" s="46">
        <f>IFERROR(VLOOKUP($E1226,'BASE DE DATOS'!$A:$I,3,0),0)</f>
        <v>0</v>
      </c>
    </row>
    <row r="1227" spans="6:12" x14ac:dyDescent="0.25">
      <c r="F1227" s="46">
        <f>IFERROR(VLOOKUP($E1240,'BASE DE DATOS'!$A:$I,3,0),0)</f>
        <v>0</v>
      </c>
      <c r="G1227" s="46">
        <f>IFERROR(VLOOKUP($E1227,'BASE DE DATOS'!$A:$I,3,0),0)</f>
        <v>0</v>
      </c>
      <c r="H1227" s="46">
        <f>IFERROR(VLOOKUP($E1227,'BASE DE DATOS'!$A:$I,3,0),0)</f>
        <v>0</v>
      </c>
      <c r="I1227" s="46">
        <f>IFERROR(VLOOKUP($E1227,'BASE DE DATOS'!$A:$I,3,0),0)</f>
        <v>0</v>
      </c>
      <c r="J1227" s="46">
        <f>IFERROR(VLOOKUP($E1227,'BASE DE DATOS'!$A:$I,3,0),0)</f>
        <v>0</v>
      </c>
      <c r="K1227" s="46">
        <f>IFERROR(VLOOKUP($E1486,'BASE DE DATOS'!$A:$I,3,0),0)</f>
        <v>0</v>
      </c>
      <c r="L1227" s="46">
        <f>IFERROR(VLOOKUP($E1227,'BASE DE DATOS'!$A:$I,3,0),0)</f>
        <v>0</v>
      </c>
    </row>
    <row r="1228" spans="6:12" x14ac:dyDescent="0.25">
      <c r="F1228" s="46">
        <f>IFERROR(VLOOKUP($E1241,'BASE DE DATOS'!$A:$I,3,0),0)</f>
        <v>0</v>
      </c>
      <c r="G1228" s="46">
        <f>IFERROR(VLOOKUP($E1228,'BASE DE DATOS'!$A:$I,3,0),0)</f>
        <v>0</v>
      </c>
      <c r="H1228" s="46">
        <f>IFERROR(VLOOKUP($E1228,'BASE DE DATOS'!$A:$I,3,0),0)</f>
        <v>0</v>
      </c>
      <c r="I1228" s="46">
        <f>IFERROR(VLOOKUP($E1228,'BASE DE DATOS'!$A:$I,3,0),0)</f>
        <v>0</v>
      </c>
      <c r="J1228" s="46">
        <f>IFERROR(VLOOKUP($E1228,'BASE DE DATOS'!$A:$I,3,0),0)</f>
        <v>0</v>
      </c>
      <c r="K1228" s="46">
        <f>IFERROR(VLOOKUP($E1487,'BASE DE DATOS'!$A:$I,3,0),0)</f>
        <v>0</v>
      </c>
      <c r="L1228" s="46">
        <f>IFERROR(VLOOKUP($E1228,'BASE DE DATOS'!$A:$I,3,0),0)</f>
        <v>0</v>
      </c>
    </row>
    <row r="1229" spans="6:12" x14ac:dyDescent="0.25">
      <c r="F1229" s="46">
        <f>IFERROR(VLOOKUP($E1242,'BASE DE DATOS'!$A:$I,3,0),0)</f>
        <v>0</v>
      </c>
      <c r="G1229" s="46">
        <f>IFERROR(VLOOKUP($E1229,'BASE DE DATOS'!$A:$I,3,0),0)</f>
        <v>0</v>
      </c>
      <c r="H1229" s="46">
        <f>IFERROR(VLOOKUP($E1229,'BASE DE DATOS'!$A:$I,3,0),0)</f>
        <v>0</v>
      </c>
      <c r="I1229" s="46">
        <f>IFERROR(VLOOKUP($E1229,'BASE DE DATOS'!$A:$I,3,0),0)</f>
        <v>0</v>
      </c>
      <c r="J1229" s="46">
        <f>IFERROR(VLOOKUP($E1229,'BASE DE DATOS'!$A:$I,3,0),0)</f>
        <v>0</v>
      </c>
      <c r="K1229" s="46">
        <f>IFERROR(VLOOKUP($E1488,'BASE DE DATOS'!$A:$I,3,0),0)</f>
        <v>0</v>
      </c>
      <c r="L1229" s="46">
        <f>IFERROR(VLOOKUP($E1229,'BASE DE DATOS'!$A:$I,3,0),0)</f>
        <v>0</v>
      </c>
    </row>
    <row r="1230" spans="6:12" x14ac:dyDescent="0.25">
      <c r="F1230" s="46">
        <f>IFERROR(VLOOKUP($E1243,'BASE DE DATOS'!$A:$I,3,0),0)</f>
        <v>0</v>
      </c>
      <c r="G1230" s="46">
        <f>IFERROR(VLOOKUP($E1230,'BASE DE DATOS'!$A:$I,3,0),0)</f>
        <v>0</v>
      </c>
      <c r="H1230" s="46">
        <f>IFERROR(VLOOKUP($E1230,'BASE DE DATOS'!$A:$I,3,0),0)</f>
        <v>0</v>
      </c>
      <c r="I1230" s="46">
        <f>IFERROR(VLOOKUP($E1230,'BASE DE DATOS'!$A:$I,3,0),0)</f>
        <v>0</v>
      </c>
      <c r="J1230" s="46">
        <f>IFERROR(VLOOKUP($E1230,'BASE DE DATOS'!$A:$I,3,0),0)</f>
        <v>0</v>
      </c>
      <c r="K1230" s="46">
        <f>IFERROR(VLOOKUP($E1489,'BASE DE DATOS'!$A:$I,3,0),0)</f>
        <v>0</v>
      </c>
      <c r="L1230" s="46">
        <f>IFERROR(VLOOKUP($E1230,'BASE DE DATOS'!$A:$I,3,0),0)</f>
        <v>0</v>
      </c>
    </row>
    <row r="1231" spans="6:12" x14ac:dyDescent="0.25">
      <c r="F1231" s="46">
        <f>IFERROR(VLOOKUP($E1244,'BASE DE DATOS'!$A:$I,3,0),0)</f>
        <v>0</v>
      </c>
      <c r="G1231" s="46">
        <f>IFERROR(VLOOKUP($E1231,'BASE DE DATOS'!$A:$I,3,0),0)</f>
        <v>0</v>
      </c>
      <c r="H1231" s="46">
        <f>IFERROR(VLOOKUP($E1231,'BASE DE DATOS'!$A:$I,3,0),0)</f>
        <v>0</v>
      </c>
      <c r="I1231" s="46">
        <f>IFERROR(VLOOKUP($E1231,'BASE DE DATOS'!$A:$I,3,0),0)</f>
        <v>0</v>
      </c>
      <c r="J1231" s="46">
        <f>IFERROR(VLOOKUP($E1231,'BASE DE DATOS'!$A:$I,3,0),0)</f>
        <v>0</v>
      </c>
      <c r="K1231" s="46">
        <f>IFERROR(VLOOKUP($E1490,'BASE DE DATOS'!$A:$I,3,0),0)</f>
        <v>0</v>
      </c>
      <c r="L1231" s="46">
        <f>IFERROR(VLOOKUP($E1231,'BASE DE DATOS'!$A:$I,3,0),0)</f>
        <v>0</v>
      </c>
    </row>
    <row r="1232" spans="6:12" x14ac:dyDescent="0.25">
      <c r="F1232" s="46">
        <f>IFERROR(VLOOKUP($E1245,'BASE DE DATOS'!$A:$I,3,0),0)</f>
        <v>0</v>
      </c>
      <c r="G1232" s="46">
        <f>IFERROR(VLOOKUP($E1232,'BASE DE DATOS'!$A:$I,3,0),0)</f>
        <v>0</v>
      </c>
      <c r="H1232" s="46">
        <f>IFERROR(VLOOKUP($E1232,'BASE DE DATOS'!$A:$I,3,0),0)</f>
        <v>0</v>
      </c>
      <c r="I1232" s="46">
        <f>IFERROR(VLOOKUP($E1232,'BASE DE DATOS'!$A:$I,3,0),0)</f>
        <v>0</v>
      </c>
      <c r="J1232" s="46">
        <f>IFERROR(VLOOKUP($E1232,'BASE DE DATOS'!$A:$I,3,0),0)</f>
        <v>0</v>
      </c>
      <c r="K1232" s="46">
        <f>IFERROR(VLOOKUP($E1491,'BASE DE DATOS'!$A:$I,3,0),0)</f>
        <v>0</v>
      </c>
      <c r="L1232" s="46">
        <f>IFERROR(VLOOKUP($E1232,'BASE DE DATOS'!$A:$I,3,0),0)</f>
        <v>0</v>
      </c>
    </row>
    <row r="1233" spans="6:12" x14ac:dyDescent="0.25">
      <c r="F1233" s="46">
        <f>IFERROR(VLOOKUP($E1246,'BASE DE DATOS'!$A:$I,3,0),0)</f>
        <v>0</v>
      </c>
      <c r="G1233" s="46">
        <f>IFERROR(VLOOKUP($E1233,'BASE DE DATOS'!$A:$I,3,0),0)</f>
        <v>0</v>
      </c>
      <c r="H1233" s="46">
        <f>IFERROR(VLOOKUP($E1233,'BASE DE DATOS'!$A:$I,3,0),0)</f>
        <v>0</v>
      </c>
      <c r="I1233" s="46">
        <f>IFERROR(VLOOKUP($E1233,'BASE DE DATOS'!$A:$I,3,0),0)</f>
        <v>0</v>
      </c>
      <c r="J1233" s="46">
        <f>IFERROR(VLOOKUP($E1233,'BASE DE DATOS'!$A:$I,3,0),0)</f>
        <v>0</v>
      </c>
      <c r="K1233" s="46">
        <f>IFERROR(VLOOKUP($E1492,'BASE DE DATOS'!$A:$I,3,0),0)</f>
        <v>0</v>
      </c>
      <c r="L1233" s="46">
        <f>IFERROR(VLOOKUP($E1233,'BASE DE DATOS'!$A:$I,3,0),0)</f>
        <v>0</v>
      </c>
    </row>
    <row r="1234" spans="6:12" x14ac:dyDescent="0.25">
      <c r="F1234" s="46">
        <f>IFERROR(VLOOKUP($E1247,'BASE DE DATOS'!$A:$I,3,0),0)</f>
        <v>0</v>
      </c>
      <c r="G1234" s="46">
        <f>IFERROR(VLOOKUP($E1234,'BASE DE DATOS'!$A:$I,3,0),0)</f>
        <v>0</v>
      </c>
      <c r="H1234" s="46">
        <f>IFERROR(VLOOKUP($E1234,'BASE DE DATOS'!$A:$I,3,0),0)</f>
        <v>0</v>
      </c>
      <c r="I1234" s="46">
        <f>IFERROR(VLOOKUP($E1234,'BASE DE DATOS'!$A:$I,3,0),0)</f>
        <v>0</v>
      </c>
      <c r="J1234" s="46">
        <f>IFERROR(VLOOKUP($E1234,'BASE DE DATOS'!$A:$I,3,0),0)</f>
        <v>0</v>
      </c>
      <c r="K1234" s="46">
        <f>IFERROR(VLOOKUP($E1493,'BASE DE DATOS'!$A:$I,3,0),0)</f>
        <v>0</v>
      </c>
      <c r="L1234" s="46">
        <f>IFERROR(VLOOKUP($E1234,'BASE DE DATOS'!$A:$I,3,0),0)</f>
        <v>0</v>
      </c>
    </row>
    <row r="1235" spans="6:12" x14ac:dyDescent="0.25">
      <c r="F1235" s="46">
        <f>IFERROR(VLOOKUP($E1248,'BASE DE DATOS'!$A:$I,3,0),0)</f>
        <v>0</v>
      </c>
      <c r="G1235" s="46">
        <f>IFERROR(VLOOKUP($E1235,'BASE DE DATOS'!$A:$I,3,0),0)</f>
        <v>0</v>
      </c>
      <c r="H1235" s="46">
        <f>IFERROR(VLOOKUP($E1235,'BASE DE DATOS'!$A:$I,3,0),0)</f>
        <v>0</v>
      </c>
      <c r="I1235" s="46">
        <f>IFERROR(VLOOKUP($E1235,'BASE DE DATOS'!$A:$I,3,0),0)</f>
        <v>0</v>
      </c>
      <c r="J1235" s="46">
        <f>IFERROR(VLOOKUP($E1235,'BASE DE DATOS'!$A:$I,3,0),0)</f>
        <v>0</v>
      </c>
      <c r="K1235" s="46">
        <f>IFERROR(VLOOKUP($E1494,'BASE DE DATOS'!$A:$I,3,0),0)</f>
        <v>0</v>
      </c>
      <c r="L1235" s="46">
        <f>IFERROR(VLOOKUP($E1235,'BASE DE DATOS'!$A:$I,3,0),0)</f>
        <v>0</v>
      </c>
    </row>
    <row r="1236" spans="6:12" x14ac:dyDescent="0.25">
      <c r="F1236" s="46">
        <f>IFERROR(VLOOKUP($E1249,'BASE DE DATOS'!$A:$I,3,0),0)</f>
        <v>0</v>
      </c>
      <c r="G1236" s="46">
        <f>IFERROR(VLOOKUP($E1236,'BASE DE DATOS'!$A:$I,3,0),0)</f>
        <v>0</v>
      </c>
      <c r="H1236" s="46">
        <f>IFERROR(VLOOKUP($E1236,'BASE DE DATOS'!$A:$I,3,0),0)</f>
        <v>0</v>
      </c>
      <c r="I1236" s="46">
        <f>IFERROR(VLOOKUP($E1236,'BASE DE DATOS'!$A:$I,3,0),0)</f>
        <v>0</v>
      </c>
      <c r="J1236" s="46">
        <f>IFERROR(VLOOKUP($E1236,'BASE DE DATOS'!$A:$I,3,0),0)</f>
        <v>0</v>
      </c>
      <c r="K1236" s="46">
        <f>IFERROR(VLOOKUP($E1495,'BASE DE DATOS'!$A:$I,3,0),0)</f>
        <v>0</v>
      </c>
      <c r="L1236" s="46">
        <f>IFERROR(VLOOKUP($E1236,'BASE DE DATOS'!$A:$I,3,0),0)</f>
        <v>0</v>
      </c>
    </row>
    <row r="1237" spans="6:12" x14ac:dyDescent="0.25">
      <c r="F1237" s="46">
        <f>IFERROR(VLOOKUP($E1250,'BASE DE DATOS'!$A:$I,3,0),0)</f>
        <v>0</v>
      </c>
      <c r="G1237" s="46">
        <f>IFERROR(VLOOKUP($E1237,'BASE DE DATOS'!$A:$I,3,0),0)</f>
        <v>0</v>
      </c>
      <c r="H1237" s="46">
        <f>IFERROR(VLOOKUP($E1237,'BASE DE DATOS'!$A:$I,3,0),0)</f>
        <v>0</v>
      </c>
      <c r="I1237" s="46">
        <f>IFERROR(VLOOKUP($E1237,'BASE DE DATOS'!$A:$I,3,0),0)</f>
        <v>0</v>
      </c>
      <c r="J1237" s="46">
        <f>IFERROR(VLOOKUP($E1237,'BASE DE DATOS'!$A:$I,3,0),0)</f>
        <v>0</v>
      </c>
      <c r="K1237" s="46">
        <f>IFERROR(VLOOKUP($E1496,'BASE DE DATOS'!$A:$I,3,0),0)</f>
        <v>0</v>
      </c>
      <c r="L1237" s="46">
        <f>IFERROR(VLOOKUP($E1237,'BASE DE DATOS'!$A:$I,3,0),0)</f>
        <v>0</v>
      </c>
    </row>
    <row r="1238" spans="6:12" x14ac:dyDescent="0.25">
      <c r="F1238" s="46">
        <f>IFERROR(VLOOKUP($E1251,'BASE DE DATOS'!$A:$I,3,0),0)</f>
        <v>0</v>
      </c>
      <c r="G1238" s="46">
        <f>IFERROR(VLOOKUP($E1238,'BASE DE DATOS'!$A:$I,3,0),0)</f>
        <v>0</v>
      </c>
      <c r="H1238" s="46">
        <f>IFERROR(VLOOKUP($E1238,'BASE DE DATOS'!$A:$I,3,0),0)</f>
        <v>0</v>
      </c>
      <c r="I1238" s="46">
        <f>IFERROR(VLOOKUP($E1238,'BASE DE DATOS'!$A:$I,3,0),0)</f>
        <v>0</v>
      </c>
      <c r="J1238" s="46">
        <f>IFERROR(VLOOKUP($E1238,'BASE DE DATOS'!$A:$I,3,0),0)</f>
        <v>0</v>
      </c>
      <c r="K1238" s="46">
        <f>IFERROR(VLOOKUP($E1497,'BASE DE DATOS'!$A:$I,3,0),0)</f>
        <v>0</v>
      </c>
      <c r="L1238" s="46">
        <f>IFERROR(VLOOKUP($E1238,'BASE DE DATOS'!$A:$I,3,0),0)</f>
        <v>0</v>
      </c>
    </row>
    <row r="1239" spans="6:12" x14ac:dyDescent="0.25">
      <c r="F1239" s="46">
        <f>IFERROR(VLOOKUP($E1252,'BASE DE DATOS'!$A:$I,3,0),0)</f>
        <v>0</v>
      </c>
      <c r="G1239" s="46">
        <f>IFERROR(VLOOKUP($E1239,'BASE DE DATOS'!$A:$I,3,0),0)</f>
        <v>0</v>
      </c>
      <c r="H1239" s="46">
        <f>IFERROR(VLOOKUP($E1239,'BASE DE DATOS'!$A:$I,3,0),0)</f>
        <v>0</v>
      </c>
      <c r="I1239" s="46">
        <f>IFERROR(VLOOKUP($E1239,'BASE DE DATOS'!$A:$I,3,0),0)</f>
        <v>0</v>
      </c>
      <c r="J1239" s="46">
        <f>IFERROR(VLOOKUP($E1239,'BASE DE DATOS'!$A:$I,3,0),0)</f>
        <v>0</v>
      </c>
      <c r="K1239" s="46">
        <f>IFERROR(VLOOKUP($E1498,'BASE DE DATOS'!$A:$I,3,0),0)</f>
        <v>0</v>
      </c>
      <c r="L1239" s="46">
        <f>IFERROR(VLOOKUP($E1239,'BASE DE DATOS'!$A:$I,3,0),0)</f>
        <v>0</v>
      </c>
    </row>
    <row r="1240" spans="6:12" x14ac:dyDescent="0.25">
      <c r="F1240" s="46">
        <f>IFERROR(VLOOKUP($E1253,'BASE DE DATOS'!$A:$I,3,0),0)</f>
        <v>0</v>
      </c>
      <c r="G1240" s="46">
        <f>IFERROR(VLOOKUP($E1240,'BASE DE DATOS'!$A:$I,3,0),0)</f>
        <v>0</v>
      </c>
      <c r="H1240" s="46">
        <f>IFERROR(VLOOKUP($E1240,'BASE DE DATOS'!$A:$I,3,0),0)</f>
        <v>0</v>
      </c>
      <c r="I1240" s="46">
        <f>IFERROR(VLOOKUP($E1240,'BASE DE DATOS'!$A:$I,3,0),0)</f>
        <v>0</v>
      </c>
      <c r="J1240" s="46">
        <f>IFERROR(VLOOKUP($E1240,'BASE DE DATOS'!$A:$I,3,0),0)</f>
        <v>0</v>
      </c>
      <c r="K1240" s="46">
        <f>IFERROR(VLOOKUP($E1499,'BASE DE DATOS'!$A:$I,3,0),0)</f>
        <v>0</v>
      </c>
      <c r="L1240" s="46">
        <f>IFERROR(VLOOKUP($E1240,'BASE DE DATOS'!$A:$I,3,0),0)</f>
        <v>0</v>
      </c>
    </row>
    <row r="1241" spans="6:12" x14ac:dyDescent="0.25">
      <c r="F1241" s="46">
        <f>IFERROR(VLOOKUP($E1254,'BASE DE DATOS'!$A:$I,3,0),0)</f>
        <v>0</v>
      </c>
      <c r="G1241" s="46">
        <f>IFERROR(VLOOKUP($E1241,'BASE DE DATOS'!$A:$I,3,0),0)</f>
        <v>0</v>
      </c>
      <c r="H1241" s="46">
        <f>IFERROR(VLOOKUP($E1241,'BASE DE DATOS'!$A:$I,3,0),0)</f>
        <v>0</v>
      </c>
      <c r="I1241" s="46">
        <f>IFERROR(VLOOKUP($E1241,'BASE DE DATOS'!$A:$I,3,0),0)</f>
        <v>0</v>
      </c>
      <c r="J1241" s="46">
        <f>IFERROR(VLOOKUP($E1241,'BASE DE DATOS'!$A:$I,3,0),0)</f>
        <v>0</v>
      </c>
      <c r="K1241" s="46">
        <f>IFERROR(VLOOKUP($E1500,'BASE DE DATOS'!$A:$I,3,0),0)</f>
        <v>0</v>
      </c>
      <c r="L1241" s="46">
        <f>IFERROR(VLOOKUP($E1241,'BASE DE DATOS'!$A:$I,3,0),0)</f>
        <v>0</v>
      </c>
    </row>
    <row r="1242" spans="6:12" x14ac:dyDescent="0.25">
      <c r="F1242" s="46">
        <f>IFERROR(VLOOKUP($E1255,'BASE DE DATOS'!$A:$I,3,0),0)</f>
        <v>0</v>
      </c>
      <c r="G1242" s="46">
        <f>IFERROR(VLOOKUP($E1242,'BASE DE DATOS'!$A:$I,3,0),0)</f>
        <v>0</v>
      </c>
      <c r="H1242" s="46">
        <f>IFERROR(VLOOKUP($E1242,'BASE DE DATOS'!$A:$I,3,0),0)</f>
        <v>0</v>
      </c>
      <c r="I1242" s="46">
        <f>IFERROR(VLOOKUP($E1242,'BASE DE DATOS'!$A:$I,3,0),0)</f>
        <v>0</v>
      </c>
      <c r="J1242" s="46">
        <f>IFERROR(VLOOKUP($E1242,'BASE DE DATOS'!$A:$I,3,0),0)</f>
        <v>0</v>
      </c>
      <c r="K1242" s="46">
        <f>IFERROR(VLOOKUP($E1501,'BASE DE DATOS'!$A:$I,3,0),0)</f>
        <v>0</v>
      </c>
      <c r="L1242" s="46">
        <f>IFERROR(VLOOKUP($E1242,'BASE DE DATOS'!$A:$I,3,0),0)</f>
        <v>0</v>
      </c>
    </row>
    <row r="1243" spans="6:12" x14ac:dyDescent="0.25">
      <c r="F1243" s="46">
        <f>IFERROR(VLOOKUP($E1256,'BASE DE DATOS'!$A:$I,3,0),0)</f>
        <v>0</v>
      </c>
      <c r="G1243" s="46">
        <f>IFERROR(VLOOKUP($E1243,'BASE DE DATOS'!$A:$I,3,0),0)</f>
        <v>0</v>
      </c>
      <c r="H1243" s="46">
        <f>IFERROR(VLOOKUP($E1243,'BASE DE DATOS'!$A:$I,3,0),0)</f>
        <v>0</v>
      </c>
      <c r="I1243" s="46">
        <f>IFERROR(VLOOKUP($E1243,'BASE DE DATOS'!$A:$I,3,0),0)</f>
        <v>0</v>
      </c>
      <c r="J1243" s="46">
        <f>IFERROR(VLOOKUP($E1243,'BASE DE DATOS'!$A:$I,3,0),0)</f>
        <v>0</v>
      </c>
      <c r="K1243" s="46">
        <f>IFERROR(VLOOKUP($E1502,'BASE DE DATOS'!$A:$I,3,0),0)</f>
        <v>0</v>
      </c>
      <c r="L1243" s="46">
        <f>IFERROR(VLOOKUP($E1243,'BASE DE DATOS'!$A:$I,3,0),0)</f>
        <v>0</v>
      </c>
    </row>
    <row r="1244" spans="6:12" x14ac:dyDescent="0.25">
      <c r="F1244" s="46">
        <f>IFERROR(VLOOKUP($E1257,'BASE DE DATOS'!$A:$I,3,0),0)</f>
        <v>0</v>
      </c>
      <c r="G1244" s="46">
        <f>IFERROR(VLOOKUP($E1244,'BASE DE DATOS'!$A:$I,3,0),0)</f>
        <v>0</v>
      </c>
      <c r="H1244" s="46">
        <f>IFERROR(VLOOKUP($E1244,'BASE DE DATOS'!$A:$I,3,0),0)</f>
        <v>0</v>
      </c>
      <c r="I1244" s="46">
        <f>IFERROR(VLOOKUP($E1244,'BASE DE DATOS'!$A:$I,3,0),0)</f>
        <v>0</v>
      </c>
      <c r="J1244" s="46">
        <f>IFERROR(VLOOKUP($E1244,'BASE DE DATOS'!$A:$I,3,0),0)</f>
        <v>0</v>
      </c>
      <c r="K1244" s="46">
        <f>IFERROR(VLOOKUP($E1503,'BASE DE DATOS'!$A:$I,3,0),0)</f>
        <v>0</v>
      </c>
      <c r="L1244" s="46">
        <f>IFERROR(VLOOKUP($E1244,'BASE DE DATOS'!$A:$I,3,0),0)</f>
        <v>0</v>
      </c>
    </row>
    <row r="1245" spans="6:12" x14ac:dyDescent="0.25">
      <c r="F1245" s="46">
        <f>IFERROR(VLOOKUP($E1258,'BASE DE DATOS'!$A:$I,3,0),0)</f>
        <v>0</v>
      </c>
      <c r="G1245" s="46">
        <f>IFERROR(VLOOKUP($E1245,'BASE DE DATOS'!$A:$I,3,0),0)</f>
        <v>0</v>
      </c>
      <c r="H1245" s="46">
        <f>IFERROR(VLOOKUP($E1245,'BASE DE DATOS'!$A:$I,3,0),0)</f>
        <v>0</v>
      </c>
      <c r="I1245" s="46">
        <f>IFERROR(VLOOKUP($E1245,'BASE DE DATOS'!$A:$I,3,0),0)</f>
        <v>0</v>
      </c>
      <c r="J1245" s="46">
        <f>IFERROR(VLOOKUP($E1245,'BASE DE DATOS'!$A:$I,3,0),0)</f>
        <v>0</v>
      </c>
      <c r="K1245" s="46">
        <f>IFERROR(VLOOKUP($E1504,'BASE DE DATOS'!$A:$I,3,0),0)</f>
        <v>0</v>
      </c>
      <c r="L1245" s="46">
        <f>IFERROR(VLOOKUP($E1245,'BASE DE DATOS'!$A:$I,3,0),0)</f>
        <v>0</v>
      </c>
    </row>
    <row r="1246" spans="6:12" x14ac:dyDescent="0.25">
      <c r="F1246" s="46">
        <f>IFERROR(VLOOKUP($E1259,'BASE DE DATOS'!$A:$I,3,0),0)</f>
        <v>0</v>
      </c>
      <c r="G1246" s="46">
        <f>IFERROR(VLOOKUP($E1246,'BASE DE DATOS'!$A:$I,3,0),0)</f>
        <v>0</v>
      </c>
      <c r="H1246" s="46">
        <f>IFERROR(VLOOKUP($E1246,'BASE DE DATOS'!$A:$I,3,0),0)</f>
        <v>0</v>
      </c>
      <c r="I1246" s="46">
        <f>IFERROR(VLOOKUP($E1246,'BASE DE DATOS'!$A:$I,3,0),0)</f>
        <v>0</v>
      </c>
      <c r="J1246" s="46">
        <f>IFERROR(VLOOKUP($E1246,'BASE DE DATOS'!$A:$I,3,0),0)</f>
        <v>0</v>
      </c>
      <c r="K1246" s="46">
        <f>IFERROR(VLOOKUP($E1505,'BASE DE DATOS'!$A:$I,3,0),0)</f>
        <v>0</v>
      </c>
      <c r="L1246" s="46">
        <f>IFERROR(VLOOKUP($E1246,'BASE DE DATOS'!$A:$I,3,0),0)</f>
        <v>0</v>
      </c>
    </row>
    <row r="1247" spans="6:12" x14ac:dyDescent="0.25">
      <c r="F1247" s="46">
        <f>IFERROR(VLOOKUP($E1260,'BASE DE DATOS'!$A:$I,3,0),0)</f>
        <v>0</v>
      </c>
      <c r="G1247" s="46">
        <f>IFERROR(VLOOKUP($E1247,'BASE DE DATOS'!$A:$I,3,0),0)</f>
        <v>0</v>
      </c>
      <c r="H1247" s="46">
        <f>IFERROR(VLOOKUP($E1247,'BASE DE DATOS'!$A:$I,3,0),0)</f>
        <v>0</v>
      </c>
      <c r="I1247" s="46">
        <f>IFERROR(VLOOKUP($E1247,'BASE DE DATOS'!$A:$I,3,0),0)</f>
        <v>0</v>
      </c>
      <c r="J1247" s="46">
        <f>IFERROR(VLOOKUP($E1247,'BASE DE DATOS'!$A:$I,3,0),0)</f>
        <v>0</v>
      </c>
      <c r="K1247" s="46">
        <f>IFERROR(VLOOKUP($E1506,'BASE DE DATOS'!$A:$I,3,0),0)</f>
        <v>0</v>
      </c>
      <c r="L1247" s="46">
        <f>IFERROR(VLOOKUP($E1247,'BASE DE DATOS'!$A:$I,3,0),0)</f>
        <v>0</v>
      </c>
    </row>
    <row r="1248" spans="6:12" x14ac:dyDescent="0.25">
      <c r="F1248" s="46">
        <f>IFERROR(VLOOKUP($E1261,'BASE DE DATOS'!$A:$I,3,0),0)</f>
        <v>0</v>
      </c>
      <c r="G1248" s="46">
        <f>IFERROR(VLOOKUP($E1248,'BASE DE DATOS'!$A:$I,3,0),0)</f>
        <v>0</v>
      </c>
      <c r="H1248" s="46">
        <f>IFERROR(VLOOKUP($E1248,'BASE DE DATOS'!$A:$I,3,0),0)</f>
        <v>0</v>
      </c>
      <c r="I1248" s="46">
        <f>IFERROR(VLOOKUP($E1248,'BASE DE DATOS'!$A:$I,3,0),0)</f>
        <v>0</v>
      </c>
      <c r="J1248" s="46">
        <f>IFERROR(VLOOKUP($E1248,'BASE DE DATOS'!$A:$I,3,0),0)</f>
        <v>0</v>
      </c>
      <c r="K1248" s="46">
        <f>IFERROR(VLOOKUP($E1507,'BASE DE DATOS'!$A:$I,3,0),0)</f>
        <v>0</v>
      </c>
      <c r="L1248" s="46">
        <f>IFERROR(VLOOKUP($E1248,'BASE DE DATOS'!$A:$I,3,0),0)</f>
        <v>0</v>
      </c>
    </row>
    <row r="1249" spans="6:12" x14ac:dyDescent="0.25">
      <c r="F1249" s="46">
        <f>IFERROR(VLOOKUP($E1262,'BASE DE DATOS'!$A:$I,3,0),0)</f>
        <v>0</v>
      </c>
      <c r="G1249" s="46">
        <f>IFERROR(VLOOKUP($E1249,'BASE DE DATOS'!$A:$I,3,0),0)</f>
        <v>0</v>
      </c>
      <c r="H1249" s="46">
        <f>IFERROR(VLOOKUP($E1249,'BASE DE DATOS'!$A:$I,3,0),0)</f>
        <v>0</v>
      </c>
      <c r="I1249" s="46">
        <f>IFERROR(VLOOKUP($E1249,'BASE DE DATOS'!$A:$I,3,0),0)</f>
        <v>0</v>
      </c>
      <c r="J1249" s="46">
        <f>IFERROR(VLOOKUP($E1249,'BASE DE DATOS'!$A:$I,3,0),0)</f>
        <v>0</v>
      </c>
      <c r="K1249" s="46">
        <f>IFERROR(VLOOKUP($E1508,'BASE DE DATOS'!$A:$I,3,0),0)</f>
        <v>0</v>
      </c>
      <c r="L1249" s="46">
        <f>IFERROR(VLOOKUP($E1249,'BASE DE DATOS'!$A:$I,3,0),0)</f>
        <v>0</v>
      </c>
    </row>
    <row r="1250" spans="6:12" x14ac:dyDescent="0.25">
      <c r="F1250" s="46">
        <f>IFERROR(VLOOKUP($E1263,'BASE DE DATOS'!$A:$I,3,0),0)</f>
        <v>0</v>
      </c>
      <c r="G1250" s="46">
        <f>IFERROR(VLOOKUP($E1250,'BASE DE DATOS'!$A:$I,3,0),0)</f>
        <v>0</v>
      </c>
      <c r="H1250" s="46">
        <f>IFERROR(VLOOKUP($E1250,'BASE DE DATOS'!$A:$I,3,0),0)</f>
        <v>0</v>
      </c>
      <c r="I1250" s="46">
        <f>IFERROR(VLOOKUP($E1250,'BASE DE DATOS'!$A:$I,3,0),0)</f>
        <v>0</v>
      </c>
      <c r="J1250" s="46">
        <f>IFERROR(VLOOKUP($E1250,'BASE DE DATOS'!$A:$I,3,0),0)</f>
        <v>0</v>
      </c>
      <c r="K1250" s="46">
        <f>IFERROR(VLOOKUP($E1509,'BASE DE DATOS'!$A:$I,3,0),0)</f>
        <v>0</v>
      </c>
      <c r="L1250" s="46">
        <f>IFERROR(VLOOKUP($E1250,'BASE DE DATOS'!$A:$I,3,0),0)</f>
        <v>0</v>
      </c>
    </row>
    <row r="1251" spans="6:12" x14ac:dyDescent="0.25">
      <c r="F1251" s="46">
        <f>IFERROR(VLOOKUP($E1264,'BASE DE DATOS'!$A:$I,3,0),0)</f>
        <v>0</v>
      </c>
      <c r="G1251" s="46">
        <f>IFERROR(VLOOKUP($E1251,'BASE DE DATOS'!$A:$I,3,0),0)</f>
        <v>0</v>
      </c>
      <c r="H1251" s="46">
        <f>IFERROR(VLOOKUP($E1251,'BASE DE DATOS'!$A:$I,3,0),0)</f>
        <v>0</v>
      </c>
      <c r="I1251" s="46">
        <f>IFERROR(VLOOKUP($E1251,'BASE DE DATOS'!$A:$I,3,0),0)</f>
        <v>0</v>
      </c>
      <c r="J1251" s="46">
        <f>IFERROR(VLOOKUP($E1251,'BASE DE DATOS'!$A:$I,3,0),0)</f>
        <v>0</v>
      </c>
      <c r="K1251" s="46">
        <f>IFERROR(VLOOKUP($E1510,'BASE DE DATOS'!$A:$I,3,0),0)</f>
        <v>0</v>
      </c>
      <c r="L1251" s="46">
        <f>IFERROR(VLOOKUP($E1251,'BASE DE DATOS'!$A:$I,3,0),0)</f>
        <v>0</v>
      </c>
    </row>
    <row r="1252" spans="6:12" x14ac:dyDescent="0.25">
      <c r="F1252" s="46">
        <f>IFERROR(VLOOKUP($E1265,'BASE DE DATOS'!$A:$I,3,0),0)</f>
        <v>0</v>
      </c>
      <c r="G1252" s="46">
        <f>IFERROR(VLOOKUP($E1252,'BASE DE DATOS'!$A:$I,3,0),0)</f>
        <v>0</v>
      </c>
      <c r="H1252" s="46">
        <f>IFERROR(VLOOKUP($E1252,'BASE DE DATOS'!$A:$I,3,0),0)</f>
        <v>0</v>
      </c>
      <c r="I1252" s="46">
        <f>IFERROR(VLOOKUP($E1252,'BASE DE DATOS'!$A:$I,3,0),0)</f>
        <v>0</v>
      </c>
      <c r="J1252" s="46">
        <f>IFERROR(VLOOKUP($E1252,'BASE DE DATOS'!$A:$I,3,0),0)</f>
        <v>0</v>
      </c>
      <c r="K1252" s="46">
        <f>IFERROR(VLOOKUP($E1511,'BASE DE DATOS'!$A:$I,3,0),0)</f>
        <v>0</v>
      </c>
      <c r="L1252" s="46">
        <f>IFERROR(VLOOKUP($E1252,'BASE DE DATOS'!$A:$I,3,0),0)</f>
        <v>0</v>
      </c>
    </row>
    <row r="1253" spans="6:12" x14ac:dyDescent="0.25">
      <c r="F1253" s="46">
        <f>IFERROR(VLOOKUP($E1266,'BASE DE DATOS'!$A:$I,3,0),0)</f>
        <v>0</v>
      </c>
      <c r="G1253" s="46">
        <f>IFERROR(VLOOKUP($E1253,'BASE DE DATOS'!$A:$I,3,0),0)</f>
        <v>0</v>
      </c>
      <c r="H1253" s="46">
        <f>IFERROR(VLOOKUP($E1253,'BASE DE DATOS'!$A:$I,3,0),0)</f>
        <v>0</v>
      </c>
      <c r="I1253" s="46">
        <f>IFERROR(VLOOKUP($E1253,'BASE DE DATOS'!$A:$I,3,0),0)</f>
        <v>0</v>
      </c>
      <c r="J1253" s="46">
        <f>IFERROR(VLOOKUP($E1253,'BASE DE DATOS'!$A:$I,3,0),0)</f>
        <v>0</v>
      </c>
      <c r="K1253" s="46">
        <f>IFERROR(VLOOKUP($E1512,'BASE DE DATOS'!$A:$I,3,0),0)</f>
        <v>0</v>
      </c>
      <c r="L1253" s="46">
        <f>IFERROR(VLOOKUP($E1253,'BASE DE DATOS'!$A:$I,3,0),0)</f>
        <v>0</v>
      </c>
    </row>
    <row r="1254" spans="6:12" x14ac:dyDescent="0.25">
      <c r="F1254" s="46">
        <f>IFERROR(VLOOKUP($E1267,'BASE DE DATOS'!$A:$I,3,0),0)</f>
        <v>0</v>
      </c>
      <c r="G1254" s="46">
        <f>IFERROR(VLOOKUP($E1254,'BASE DE DATOS'!$A:$I,3,0),0)</f>
        <v>0</v>
      </c>
      <c r="H1254" s="46">
        <f>IFERROR(VLOOKUP($E1254,'BASE DE DATOS'!$A:$I,3,0),0)</f>
        <v>0</v>
      </c>
      <c r="I1254" s="46">
        <f>IFERROR(VLOOKUP($E1254,'BASE DE DATOS'!$A:$I,3,0),0)</f>
        <v>0</v>
      </c>
      <c r="J1254" s="46">
        <f>IFERROR(VLOOKUP($E1254,'BASE DE DATOS'!$A:$I,3,0),0)</f>
        <v>0</v>
      </c>
      <c r="K1254" s="46">
        <f>IFERROR(VLOOKUP($E1513,'BASE DE DATOS'!$A:$I,3,0),0)</f>
        <v>0</v>
      </c>
      <c r="L1254" s="46">
        <f>IFERROR(VLOOKUP($E1254,'BASE DE DATOS'!$A:$I,3,0),0)</f>
        <v>0</v>
      </c>
    </row>
    <row r="1255" spans="6:12" x14ac:dyDescent="0.25">
      <c r="F1255" s="46">
        <f>IFERROR(VLOOKUP($E1268,'BASE DE DATOS'!$A:$I,3,0),0)</f>
        <v>0</v>
      </c>
      <c r="G1255" s="46">
        <f>IFERROR(VLOOKUP($E1255,'BASE DE DATOS'!$A:$I,3,0),0)</f>
        <v>0</v>
      </c>
      <c r="H1255" s="46">
        <f>IFERROR(VLOOKUP($E1255,'BASE DE DATOS'!$A:$I,3,0),0)</f>
        <v>0</v>
      </c>
      <c r="I1255" s="46">
        <f>IFERROR(VLOOKUP($E1255,'BASE DE DATOS'!$A:$I,3,0),0)</f>
        <v>0</v>
      </c>
      <c r="J1255" s="46">
        <f>IFERROR(VLOOKUP($E1255,'BASE DE DATOS'!$A:$I,3,0),0)</f>
        <v>0</v>
      </c>
      <c r="K1255" s="46">
        <f>IFERROR(VLOOKUP($E1514,'BASE DE DATOS'!$A:$I,3,0),0)</f>
        <v>0</v>
      </c>
      <c r="L1255" s="46">
        <f>IFERROR(VLOOKUP($E1255,'BASE DE DATOS'!$A:$I,3,0),0)</f>
        <v>0</v>
      </c>
    </row>
    <row r="1256" spans="6:12" x14ac:dyDescent="0.25">
      <c r="F1256" s="46">
        <f>IFERROR(VLOOKUP($E1269,'BASE DE DATOS'!$A:$I,3,0),0)</f>
        <v>0</v>
      </c>
      <c r="G1256" s="46">
        <f>IFERROR(VLOOKUP($E1256,'BASE DE DATOS'!$A:$I,3,0),0)</f>
        <v>0</v>
      </c>
      <c r="H1256" s="46">
        <f>IFERROR(VLOOKUP($E1256,'BASE DE DATOS'!$A:$I,3,0),0)</f>
        <v>0</v>
      </c>
      <c r="I1256" s="46">
        <f>IFERROR(VLOOKUP($E1256,'BASE DE DATOS'!$A:$I,3,0),0)</f>
        <v>0</v>
      </c>
      <c r="J1256" s="46">
        <f>IFERROR(VLOOKUP($E1256,'BASE DE DATOS'!$A:$I,3,0),0)</f>
        <v>0</v>
      </c>
      <c r="K1256" s="46">
        <f>IFERROR(VLOOKUP($E1515,'BASE DE DATOS'!$A:$I,3,0),0)</f>
        <v>0</v>
      </c>
      <c r="L1256" s="46">
        <f>IFERROR(VLOOKUP($E1256,'BASE DE DATOS'!$A:$I,3,0),0)</f>
        <v>0</v>
      </c>
    </row>
    <row r="1257" spans="6:12" x14ac:dyDescent="0.25">
      <c r="F1257" s="46">
        <f>IFERROR(VLOOKUP($E1270,'BASE DE DATOS'!$A:$I,3,0),0)</f>
        <v>0</v>
      </c>
      <c r="G1257" s="46">
        <f>IFERROR(VLOOKUP($E1257,'BASE DE DATOS'!$A:$I,3,0),0)</f>
        <v>0</v>
      </c>
      <c r="H1257" s="46">
        <f>IFERROR(VLOOKUP($E1257,'BASE DE DATOS'!$A:$I,3,0),0)</f>
        <v>0</v>
      </c>
      <c r="I1257" s="46">
        <f>IFERROR(VLOOKUP($E1257,'BASE DE DATOS'!$A:$I,3,0),0)</f>
        <v>0</v>
      </c>
      <c r="J1257" s="46">
        <f>IFERROR(VLOOKUP($E1257,'BASE DE DATOS'!$A:$I,3,0),0)</f>
        <v>0</v>
      </c>
      <c r="K1257" s="46">
        <f>IFERROR(VLOOKUP($E1516,'BASE DE DATOS'!$A:$I,3,0),0)</f>
        <v>0</v>
      </c>
      <c r="L1257" s="46">
        <f>IFERROR(VLOOKUP($E1257,'BASE DE DATOS'!$A:$I,3,0),0)</f>
        <v>0</v>
      </c>
    </row>
    <row r="1258" spans="6:12" x14ac:dyDescent="0.25">
      <c r="F1258" s="46">
        <f>IFERROR(VLOOKUP($E1271,'BASE DE DATOS'!$A:$I,3,0),0)</f>
        <v>0</v>
      </c>
      <c r="G1258" s="46">
        <f>IFERROR(VLOOKUP($E1258,'BASE DE DATOS'!$A:$I,3,0),0)</f>
        <v>0</v>
      </c>
      <c r="H1258" s="46">
        <f>IFERROR(VLOOKUP($E1258,'BASE DE DATOS'!$A:$I,3,0),0)</f>
        <v>0</v>
      </c>
      <c r="I1258" s="46">
        <f>IFERROR(VLOOKUP($E1258,'BASE DE DATOS'!$A:$I,3,0),0)</f>
        <v>0</v>
      </c>
      <c r="J1258" s="46">
        <f>IFERROR(VLOOKUP($E1258,'BASE DE DATOS'!$A:$I,3,0),0)</f>
        <v>0</v>
      </c>
      <c r="K1258" s="46">
        <f>IFERROR(VLOOKUP($E1517,'BASE DE DATOS'!$A:$I,3,0),0)</f>
        <v>0</v>
      </c>
      <c r="L1258" s="46">
        <f>IFERROR(VLOOKUP($E1258,'BASE DE DATOS'!$A:$I,3,0),0)</f>
        <v>0</v>
      </c>
    </row>
    <row r="1259" spans="6:12" x14ac:dyDescent="0.25">
      <c r="F1259" s="46">
        <f>IFERROR(VLOOKUP($E1272,'BASE DE DATOS'!$A:$I,3,0),0)</f>
        <v>0</v>
      </c>
      <c r="G1259" s="46">
        <f>IFERROR(VLOOKUP($E1259,'BASE DE DATOS'!$A:$I,3,0),0)</f>
        <v>0</v>
      </c>
      <c r="H1259" s="46">
        <f>IFERROR(VLOOKUP($E1259,'BASE DE DATOS'!$A:$I,3,0),0)</f>
        <v>0</v>
      </c>
      <c r="I1259" s="46">
        <f>IFERROR(VLOOKUP($E1259,'BASE DE DATOS'!$A:$I,3,0),0)</f>
        <v>0</v>
      </c>
      <c r="J1259" s="46">
        <f>IFERROR(VLOOKUP($E1259,'BASE DE DATOS'!$A:$I,3,0),0)</f>
        <v>0</v>
      </c>
      <c r="K1259" s="46">
        <f>IFERROR(VLOOKUP($E1518,'BASE DE DATOS'!$A:$I,3,0),0)</f>
        <v>0</v>
      </c>
      <c r="L1259" s="46">
        <f>IFERROR(VLOOKUP($E1259,'BASE DE DATOS'!$A:$I,3,0),0)</f>
        <v>0</v>
      </c>
    </row>
    <row r="1260" spans="6:12" x14ac:dyDescent="0.25">
      <c r="F1260" s="46">
        <f>IFERROR(VLOOKUP($E1273,'BASE DE DATOS'!$A:$I,3,0),0)</f>
        <v>0</v>
      </c>
      <c r="G1260" s="46">
        <f>IFERROR(VLOOKUP($E1260,'BASE DE DATOS'!$A:$I,3,0),0)</f>
        <v>0</v>
      </c>
      <c r="H1260" s="46">
        <f>IFERROR(VLOOKUP($E1260,'BASE DE DATOS'!$A:$I,3,0),0)</f>
        <v>0</v>
      </c>
      <c r="I1260" s="46">
        <f>IFERROR(VLOOKUP($E1260,'BASE DE DATOS'!$A:$I,3,0),0)</f>
        <v>0</v>
      </c>
      <c r="J1260" s="46">
        <f>IFERROR(VLOOKUP($E1260,'BASE DE DATOS'!$A:$I,3,0),0)</f>
        <v>0</v>
      </c>
      <c r="K1260" s="46">
        <f>IFERROR(VLOOKUP($E1519,'BASE DE DATOS'!$A:$I,3,0),0)</f>
        <v>0</v>
      </c>
      <c r="L1260" s="46">
        <f>IFERROR(VLOOKUP($E1260,'BASE DE DATOS'!$A:$I,3,0),0)</f>
        <v>0</v>
      </c>
    </row>
    <row r="1261" spans="6:12" x14ac:dyDescent="0.25">
      <c r="F1261" s="46">
        <f>IFERROR(VLOOKUP($E1274,'BASE DE DATOS'!$A:$I,3,0),0)</f>
        <v>0</v>
      </c>
      <c r="G1261" s="46">
        <f>IFERROR(VLOOKUP($E1261,'BASE DE DATOS'!$A:$I,3,0),0)</f>
        <v>0</v>
      </c>
      <c r="H1261" s="46">
        <f>IFERROR(VLOOKUP($E1261,'BASE DE DATOS'!$A:$I,3,0),0)</f>
        <v>0</v>
      </c>
      <c r="I1261" s="46">
        <f>IFERROR(VLOOKUP($E1261,'BASE DE DATOS'!$A:$I,3,0),0)</f>
        <v>0</v>
      </c>
      <c r="J1261" s="46">
        <f>IFERROR(VLOOKUP($E1261,'BASE DE DATOS'!$A:$I,3,0),0)</f>
        <v>0</v>
      </c>
      <c r="K1261" s="46">
        <f>IFERROR(VLOOKUP($E1520,'BASE DE DATOS'!$A:$I,3,0),0)</f>
        <v>0</v>
      </c>
      <c r="L1261" s="46">
        <f>IFERROR(VLOOKUP($E1261,'BASE DE DATOS'!$A:$I,3,0),0)</f>
        <v>0</v>
      </c>
    </row>
    <row r="1262" spans="6:12" x14ac:dyDescent="0.25">
      <c r="F1262" s="46">
        <f>IFERROR(VLOOKUP($E1275,'BASE DE DATOS'!$A:$I,3,0),0)</f>
        <v>0</v>
      </c>
      <c r="G1262" s="46">
        <f>IFERROR(VLOOKUP($E1262,'BASE DE DATOS'!$A:$I,3,0),0)</f>
        <v>0</v>
      </c>
      <c r="H1262" s="46">
        <f>IFERROR(VLOOKUP($E1262,'BASE DE DATOS'!$A:$I,3,0),0)</f>
        <v>0</v>
      </c>
      <c r="I1262" s="46">
        <f>IFERROR(VLOOKUP($E1262,'BASE DE DATOS'!$A:$I,3,0),0)</f>
        <v>0</v>
      </c>
      <c r="J1262" s="46">
        <f>IFERROR(VLOOKUP($E1262,'BASE DE DATOS'!$A:$I,3,0),0)</f>
        <v>0</v>
      </c>
      <c r="K1262" s="46">
        <f>IFERROR(VLOOKUP($E1521,'BASE DE DATOS'!$A:$I,3,0),0)</f>
        <v>0</v>
      </c>
      <c r="L1262" s="46">
        <f>IFERROR(VLOOKUP($E1262,'BASE DE DATOS'!$A:$I,3,0),0)</f>
        <v>0</v>
      </c>
    </row>
    <row r="1263" spans="6:12" x14ac:dyDescent="0.25">
      <c r="F1263" s="46">
        <f>IFERROR(VLOOKUP($E1276,'BASE DE DATOS'!$A:$I,3,0),0)</f>
        <v>0</v>
      </c>
      <c r="G1263" s="46">
        <f>IFERROR(VLOOKUP($E1263,'BASE DE DATOS'!$A:$I,3,0),0)</f>
        <v>0</v>
      </c>
      <c r="H1263" s="46">
        <f>IFERROR(VLOOKUP($E1263,'BASE DE DATOS'!$A:$I,3,0),0)</f>
        <v>0</v>
      </c>
      <c r="I1263" s="46">
        <f>IFERROR(VLOOKUP($E1263,'BASE DE DATOS'!$A:$I,3,0),0)</f>
        <v>0</v>
      </c>
      <c r="J1263" s="46">
        <f>IFERROR(VLOOKUP($E1263,'BASE DE DATOS'!$A:$I,3,0),0)</f>
        <v>0</v>
      </c>
      <c r="K1263" s="46">
        <f>IFERROR(VLOOKUP($E1522,'BASE DE DATOS'!$A:$I,3,0),0)</f>
        <v>0</v>
      </c>
      <c r="L1263" s="46">
        <f>IFERROR(VLOOKUP($E1263,'BASE DE DATOS'!$A:$I,3,0),0)</f>
        <v>0</v>
      </c>
    </row>
    <row r="1264" spans="6:12" x14ac:dyDescent="0.25">
      <c r="F1264" s="46">
        <f>IFERROR(VLOOKUP($E1277,'BASE DE DATOS'!$A:$I,3,0),0)</f>
        <v>0</v>
      </c>
      <c r="G1264" s="46">
        <f>IFERROR(VLOOKUP($E1264,'BASE DE DATOS'!$A:$I,3,0),0)</f>
        <v>0</v>
      </c>
      <c r="H1264" s="46">
        <f>IFERROR(VLOOKUP($E1264,'BASE DE DATOS'!$A:$I,3,0),0)</f>
        <v>0</v>
      </c>
      <c r="I1264" s="46">
        <f>IFERROR(VLOOKUP($E1264,'BASE DE DATOS'!$A:$I,3,0),0)</f>
        <v>0</v>
      </c>
      <c r="J1264" s="46">
        <f>IFERROR(VLOOKUP($E1264,'BASE DE DATOS'!$A:$I,3,0),0)</f>
        <v>0</v>
      </c>
      <c r="K1264" s="46">
        <f>IFERROR(VLOOKUP($E1523,'BASE DE DATOS'!$A:$I,3,0),0)</f>
        <v>0</v>
      </c>
      <c r="L1264" s="46">
        <f>IFERROR(VLOOKUP($E1264,'BASE DE DATOS'!$A:$I,3,0),0)</f>
        <v>0</v>
      </c>
    </row>
    <row r="1265" spans="6:12" x14ac:dyDescent="0.25">
      <c r="F1265" s="46">
        <f>IFERROR(VLOOKUP($E1278,'BASE DE DATOS'!$A:$I,3,0),0)</f>
        <v>0</v>
      </c>
      <c r="G1265" s="46">
        <f>IFERROR(VLOOKUP($E1265,'BASE DE DATOS'!$A:$I,3,0),0)</f>
        <v>0</v>
      </c>
      <c r="H1265" s="46">
        <f>IFERROR(VLOOKUP($E1265,'BASE DE DATOS'!$A:$I,3,0),0)</f>
        <v>0</v>
      </c>
      <c r="I1265" s="46">
        <f>IFERROR(VLOOKUP($E1265,'BASE DE DATOS'!$A:$I,3,0),0)</f>
        <v>0</v>
      </c>
      <c r="J1265" s="46">
        <f>IFERROR(VLOOKUP($E1265,'BASE DE DATOS'!$A:$I,3,0),0)</f>
        <v>0</v>
      </c>
      <c r="K1265" s="46">
        <f>IFERROR(VLOOKUP($E1524,'BASE DE DATOS'!$A:$I,3,0),0)</f>
        <v>0</v>
      </c>
      <c r="L1265" s="46">
        <f>IFERROR(VLOOKUP($E1265,'BASE DE DATOS'!$A:$I,3,0),0)</f>
        <v>0</v>
      </c>
    </row>
    <row r="1266" spans="6:12" x14ac:dyDescent="0.25">
      <c r="F1266" s="46">
        <f>IFERROR(VLOOKUP($E1279,'BASE DE DATOS'!$A:$I,3,0),0)</f>
        <v>0</v>
      </c>
      <c r="G1266" s="46">
        <f>IFERROR(VLOOKUP($E1266,'BASE DE DATOS'!$A:$I,3,0),0)</f>
        <v>0</v>
      </c>
      <c r="H1266" s="46">
        <f>IFERROR(VLOOKUP($E1266,'BASE DE DATOS'!$A:$I,3,0),0)</f>
        <v>0</v>
      </c>
      <c r="I1266" s="46">
        <f>IFERROR(VLOOKUP($E1266,'BASE DE DATOS'!$A:$I,3,0),0)</f>
        <v>0</v>
      </c>
      <c r="J1266" s="46">
        <f>IFERROR(VLOOKUP($E1266,'BASE DE DATOS'!$A:$I,3,0),0)</f>
        <v>0</v>
      </c>
      <c r="K1266" s="46">
        <f>IFERROR(VLOOKUP($E1525,'BASE DE DATOS'!$A:$I,3,0),0)</f>
        <v>0</v>
      </c>
      <c r="L1266" s="46">
        <f>IFERROR(VLOOKUP($E1266,'BASE DE DATOS'!$A:$I,3,0),0)</f>
        <v>0</v>
      </c>
    </row>
    <row r="1267" spans="6:12" x14ac:dyDescent="0.25">
      <c r="F1267" s="46">
        <f>IFERROR(VLOOKUP($E1280,'BASE DE DATOS'!$A:$I,3,0),0)</f>
        <v>0</v>
      </c>
      <c r="G1267" s="46">
        <f>IFERROR(VLOOKUP($E1267,'BASE DE DATOS'!$A:$I,3,0),0)</f>
        <v>0</v>
      </c>
      <c r="H1267" s="46">
        <f>IFERROR(VLOOKUP($E1267,'BASE DE DATOS'!$A:$I,3,0),0)</f>
        <v>0</v>
      </c>
      <c r="I1267" s="46">
        <f>IFERROR(VLOOKUP($E1267,'BASE DE DATOS'!$A:$I,3,0),0)</f>
        <v>0</v>
      </c>
      <c r="J1267" s="46">
        <f>IFERROR(VLOOKUP($E1267,'BASE DE DATOS'!$A:$I,3,0),0)</f>
        <v>0</v>
      </c>
      <c r="K1267" s="46">
        <f>IFERROR(VLOOKUP($E1526,'BASE DE DATOS'!$A:$I,3,0),0)</f>
        <v>0</v>
      </c>
      <c r="L1267" s="46">
        <f>IFERROR(VLOOKUP($E1267,'BASE DE DATOS'!$A:$I,3,0),0)</f>
        <v>0</v>
      </c>
    </row>
    <row r="1268" spans="6:12" x14ac:dyDescent="0.25">
      <c r="F1268" s="46">
        <f>IFERROR(VLOOKUP($E1281,'BASE DE DATOS'!$A:$I,3,0),0)</f>
        <v>0</v>
      </c>
      <c r="G1268" s="46">
        <f>IFERROR(VLOOKUP($E1268,'BASE DE DATOS'!$A:$I,3,0),0)</f>
        <v>0</v>
      </c>
      <c r="H1268" s="46">
        <f>IFERROR(VLOOKUP($E1268,'BASE DE DATOS'!$A:$I,3,0),0)</f>
        <v>0</v>
      </c>
      <c r="I1268" s="46">
        <f>IFERROR(VLOOKUP($E1268,'BASE DE DATOS'!$A:$I,3,0),0)</f>
        <v>0</v>
      </c>
      <c r="J1268" s="46">
        <f>IFERROR(VLOOKUP($E1268,'BASE DE DATOS'!$A:$I,3,0),0)</f>
        <v>0</v>
      </c>
      <c r="K1268" s="46">
        <f>IFERROR(VLOOKUP($E1527,'BASE DE DATOS'!$A:$I,3,0),0)</f>
        <v>0</v>
      </c>
      <c r="L1268" s="46">
        <f>IFERROR(VLOOKUP($E1268,'BASE DE DATOS'!$A:$I,3,0),0)</f>
        <v>0</v>
      </c>
    </row>
    <row r="1269" spans="6:12" x14ac:dyDescent="0.25">
      <c r="F1269" s="46">
        <f>IFERROR(VLOOKUP($E1282,'BASE DE DATOS'!$A:$I,3,0),0)</f>
        <v>0</v>
      </c>
      <c r="G1269" s="46">
        <f>IFERROR(VLOOKUP($E1269,'BASE DE DATOS'!$A:$I,3,0),0)</f>
        <v>0</v>
      </c>
      <c r="H1269" s="46">
        <f>IFERROR(VLOOKUP($E1269,'BASE DE DATOS'!$A:$I,3,0),0)</f>
        <v>0</v>
      </c>
      <c r="I1269" s="46">
        <f>IFERROR(VLOOKUP($E1269,'BASE DE DATOS'!$A:$I,3,0),0)</f>
        <v>0</v>
      </c>
      <c r="J1269" s="46">
        <f>IFERROR(VLOOKUP($E1269,'BASE DE DATOS'!$A:$I,3,0),0)</f>
        <v>0</v>
      </c>
      <c r="K1269" s="46">
        <f>IFERROR(VLOOKUP($E1528,'BASE DE DATOS'!$A:$I,3,0),0)</f>
        <v>0</v>
      </c>
      <c r="L1269" s="46">
        <f>IFERROR(VLOOKUP($E1269,'BASE DE DATOS'!$A:$I,3,0),0)</f>
        <v>0</v>
      </c>
    </row>
    <row r="1270" spans="6:12" x14ac:dyDescent="0.25">
      <c r="F1270" s="46">
        <f>IFERROR(VLOOKUP($E1283,'BASE DE DATOS'!$A:$I,3,0),0)</f>
        <v>0</v>
      </c>
      <c r="G1270" s="46">
        <f>IFERROR(VLOOKUP($E1270,'BASE DE DATOS'!$A:$I,3,0),0)</f>
        <v>0</v>
      </c>
      <c r="H1270" s="46">
        <f>IFERROR(VLOOKUP($E1270,'BASE DE DATOS'!$A:$I,3,0),0)</f>
        <v>0</v>
      </c>
      <c r="I1270" s="46">
        <f>IFERROR(VLOOKUP($E1270,'BASE DE DATOS'!$A:$I,3,0),0)</f>
        <v>0</v>
      </c>
      <c r="J1270" s="46">
        <f>IFERROR(VLOOKUP($E1270,'BASE DE DATOS'!$A:$I,3,0),0)</f>
        <v>0</v>
      </c>
      <c r="K1270" s="46">
        <f>IFERROR(VLOOKUP($E1529,'BASE DE DATOS'!$A:$I,3,0),0)</f>
        <v>0</v>
      </c>
      <c r="L1270" s="46">
        <f>IFERROR(VLOOKUP($E1270,'BASE DE DATOS'!$A:$I,3,0),0)</f>
        <v>0</v>
      </c>
    </row>
    <row r="1271" spans="6:12" x14ac:dyDescent="0.25">
      <c r="F1271" s="46">
        <f>IFERROR(VLOOKUP($E1284,'BASE DE DATOS'!$A:$I,3,0),0)</f>
        <v>0</v>
      </c>
      <c r="G1271" s="46">
        <f>IFERROR(VLOOKUP($E1271,'BASE DE DATOS'!$A:$I,3,0),0)</f>
        <v>0</v>
      </c>
      <c r="H1271" s="46">
        <f>IFERROR(VLOOKUP($E1271,'BASE DE DATOS'!$A:$I,3,0),0)</f>
        <v>0</v>
      </c>
      <c r="I1271" s="46">
        <f>IFERROR(VLOOKUP($E1271,'BASE DE DATOS'!$A:$I,3,0),0)</f>
        <v>0</v>
      </c>
      <c r="J1271" s="46">
        <f>IFERROR(VLOOKUP($E1271,'BASE DE DATOS'!$A:$I,3,0),0)</f>
        <v>0</v>
      </c>
      <c r="K1271" s="46">
        <f>IFERROR(VLOOKUP($E1530,'BASE DE DATOS'!$A:$I,3,0),0)</f>
        <v>0</v>
      </c>
      <c r="L1271" s="46">
        <f>IFERROR(VLOOKUP($E1271,'BASE DE DATOS'!$A:$I,3,0),0)</f>
        <v>0</v>
      </c>
    </row>
    <row r="1272" spans="6:12" x14ac:dyDescent="0.25">
      <c r="F1272" s="46">
        <f>IFERROR(VLOOKUP($E1285,'BASE DE DATOS'!$A:$I,3,0),0)</f>
        <v>0</v>
      </c>
      <c r="G1272" s="46">
        <f>IFERROR(VLOOKUP($E1272,'BASE DE DATOS'!$A:$I,3,0),0)</f>
        <v>0</v>
      </c>
      <c r="H1272" s="46">
        <f>IFERROR(VLOOKUP($E1272,'BASE DE DATOS'!$A:$I,3,0),0)</f>
        <v>0</v>
      </c>
      <c r="I1272" s="46">
        <f>IFERROR(VLOOKUP($E1272,'BASE DE DATOS'!$A:$I,3,0),0)</f>
        <v>0</v>
      </c>
      <c r="J1272" s="46">
        <f>IFERROR(VLOOKUP($E1272,'BASE DE DATOS'!$A:$I,3,0),0)</f>
        <v>0</v>
      </c>
      <c r="K1272" s="46">
        <f>IFERROR(VLOOKUP($E1531,'BASE DE DATOS'!$A:$I,3,0),0)</f>
        <v>0</v>
      </c>
      <c r="L1272" s="46">
        <f>IFERROR(VLOOKUP($E1272,'BASE DE DATOS'!$A:$I,3,0),0)</f>
        <v>0</v>
      </c>
    </row>
    <row r="1273" spans="6:12" x14ac:dyDescent="0.25">
      <c r="F1273" s="46">
        <f>IFERROR(VLOOKUP($E1286,'BASE DE DATOS'!$A:$I,3,0),0)</f>
        <v>0</v>
      </c>
      <c r="G1273" s="46">
        <f>IFERROR(VLOOKUP($E1273,'BASE DE DATOS'!$A:$I,3,0),0)</f>
        <v>0</v>
      </c>
      <c r="H1273" s="46">
        <f>IFERROR(VLOOKUP($E1273,'BASE DE DATOS'!$A:$I,3,0),0)</f>
        <v>0</v>
      </c>
      <c r="I1273" s="46">
        <f>IFERROR(VLOOKUP($E1273,'BASE DE DATOS'!$A:$I,3,0),0)</f>
        <v>0</v>
      </c>
      <c r="J1273" s="46">
        <f>IFERROR(VLOOKUP($E1273,'BASE DE DATOS'!$A:$I,3,0),0)</f>
        <v>0</v>
      </c>
      <c r="K1273" s="46">
        <f>IFERROR(VLOOKUP($E1532,'BASE DE DATOS'!$A:$I,3,0),0)</f>
        <v>0</v>
      </c>
      <c r="L1273" s="46">
        <f>IFERROR(VLOOKUP($E1273,'BASE DE DATOS'!$A:$I,3,0),0)</f>
        <v>0</v>
      </c>
    </row>
    <row r="1274" spans="6:12" x14ac:dyDescent="0.25">
      <c r="F1274" s="46">
        <f>IFERROR(VLOOKUP($E1287,'BASE DE DATOS'!$A:$I,3,0),0)</f>
        <v>0</v>
      </c>
      <c r="G1274" s="46">
        <f>IFERROR(VLOOKUP($E1274,'BASE DE DATOS'!$A:$I,3,0),0)</f>
        <v>0</v>
      </c>
      <c r="H1274" s="46">
        <f>IFERROR(VLOOKUP($E1274,'BASE DE DATOS'!$A:$I,3,0),0)</f>
        <v>0</v>
      </c>
      <c r="I1274" s="46">
        <f>IFERROR(VLOOKUP($E1274,'BASE DE DATOS'!$A:$I,3,0),0)</f>
        <v>0</v>
      </c>
      <c r="J1274" s="46">
        <f>IFERROR(VLOOKUP($E1274,'BASE DE DATOS'!$A:$I,3,0),0)</f>
        <v>0</v>
      </c>
      <c r="K1274" s="46">
        <f>IFERROR(VLOOKUP($E1533,'BASE DE DATOS'!$A:$I,3,0),0)</f>
        <v>0</v>
      </c>
      <c r="L1274" s="46">
        <f>IFERROR(VLOOKUP($E1274,'BASE DE DATOS'!$A:$I,3,0),0)</f>
        <v>0</v>
      </c>
    </row>
    <row r="1275" spans="6:12" x14ac:dyDescent="0.25">
      <c r="F1275" s="46">
        <f>IFERROR(VLOOKUP($E1288,'BASE DE DATOS'!$A:$I,3,0),0)</f>
        <v>0</v>
      </c>
      <c r="G1275" s="46">
        <f>IFERROR(VLOOKUP($E1275,'BASE DE DATOS'!$A:$I,3,0),0)</f>
        <v>0</v>
      </c>
      <c r="H1275" s="46">
        <f>IFERROR(VLOOKUP($E1275,'BASE DE DATOS'!$A:$I,3,0),0)</f>
        <v>0</v>
      </c>
      <c r="I1275" s="46">
        <f>IFERROR(VLOOKUP($E1275,'BASE DE DATOS'!$A:$I,3,0),0)</f>
        <v>0</v>
      </c>
      <c r="J1275" s="46">
        <f>IFERROR(VLOOKUP($E1275,'BASE DE DATOS'!$A:$I,3,0),0)</f>
        <v>0</v>
      </c>
      <c r="K1275" s="46">
        <f>IFERROR(VLOOKUP($E1534,'BASE DE DATOS'!$A:$I,3,0),0)</f>
        <v>0</v>
      </c>
      <c r="L1275" s="46">
        <f>IFERROR(VLOOKUP($E1275,'BASE DE DATOS'!$A:$I,3,0),0)</f>
        <v>0</v>
      </c>
    </row>
    <row r="1276" spans="6:12" x14ac:dyDescent="0.25">
      <c r="F1276" s="46">
        <f>IFERROR(VLOOKUP($E1289,'BASE DE DATOS'!$A:$I,3,0),0)</f>
        <v>0</v>
      </c>
      <c r="G1276" s="46">
        <f>IFERROR(VLOOKUP($E1276,'BASE DE DATOS'!$A:$I,3,0),0)</f>
        <v>0</v>
      </c>
      <c r="H1276" s="46">
        <f>IFERROR(VLOOKUP($E1276,'BASE DE DATOS'!$A:$I,3,0),0)</f>
        <v>0</v>
      </c>
      <c r="I1276" s="46">
        <f>IFERROR(VLOOKUP($E1276,'BASE DE DATOS'!$A:$I,3,0),0)</f>
        <v>0</v>
      </c>
      <c r="J1276" s="46">
        <f>IFERROR(VLOOKUP($E1276,'BASE DE DATOS'!$A:$I,3,0),0)</f>
        <v>0</v>
      </c>
      <c r="K1276" s="46">
        <f>IFERROR(VLOOKUP($E1535,'BASE DE DATOS'!$A:$I,3,0),0)</f>
        <v>0</v>
      </c>
      <c r="L1276" s="46">
        <f>IFERROR(VLOOKUP($E1276,'BASE DE DATOS'!$A:$I,3,0),0)</f>
        <v>0</v>
      </c>
    </row>
    <row r="1277" spans="6:12" x14ac:dyDescent="0.25">
      <c r="F1277" s="46">
        <f>IFERROR(VLOOKUP($E1290,'BASE DE DATOS'!$A:$I,3,0),0)</f>
        <v>0</v>
      </c>
      <c r="G1277" s="46">
        <f>IFERROR(VLOOKUP($E1277,'BASE DE DATOS'!$A:$I,3,0),0)</f>
        <v>0</v>
      </c>
      <c r="H1277" s="46">
        <f>IFERROR(VLOOKUP($E1277,'BASE DE DATOS'!$A:$I,3,0),0)</f>
        <v>0</v>
      </c>
      <c r="I1277" s="46">
        <f>IFERROR(VLOOKUP($E1277,'BASE DE DATOS'!$A:$I,3,0),0)</f>
        <v>0</v>
      </c>
      <c r="J1277" s="46">
        <f>IFERROR(VLOOKUP($E1277,'BASE DE DATOS'!$A:$I,3,0),0)</f>
        <v>0</v>
      </c>
      <c r="K1277" s="46">
        <f>IFERROR(VLOOKUP($E1536,'BASE DE DATOS'!$A:$I,3,0),0)</f>
        <v>0</v>
      </c>
      <c r="L1277" s="46">
        <f>IFERROR(VLOOKUP($E1277,'BASE DE DATOS'!$A:$I,3,0),0)</f>
        <v>0</v>
      </c>
    </row>
    <row r="1278" spans="6:12" x14ac:dyDescent="0.25">
      <c r="F1278" s="46">
        <f>IFERROR(VLOOKUP($E1291,'BASE DE DATOS'!$A:$I,3,0),0)</f>
        <v>0</v>
      </c>
      <c r="G1278" s="46">
        <f>IFERROR(VLOOKUP($E1278,'BASE DE DATOS'!$A:$I,3,0),0)</f>
        <v>0</v>
      </c>
      <c r="H1278" s="46">
        <f>IFERROR(VLOOKUP($E1278,'BASE DE DATOS'!$A:$I,3,0),0)</f>
        <v>0</v>
      </c>
      <c r="I1278" s="46">
        <f>IFERROR(VLOOKUP($E1278,'BASE DE DATOS'!$A:$I,3,0),0)</f>
        <v>0</v>
      </c>
      <c r="J1278" s="46">
        <f>IFERROR(VLOOKUP($E1278,'BASE DE DATOS'!$A:$I,3,0),0)</f>
        <v>0</v>
      </c>
      <c r="K1278" s="46">
        <f>IFERROR(VLOOKUP($E1537,'BASE DE DATOS'!$A:$I,3,0),0)</f>
        <v>0</v>
      </c>
      <c r="L1278" s="46">
        <f>IFERROR(VLOOKUP($E1278,'BASE DE DATOS'!$A:$I,3,0),0)</f>
        <v>0</v>
      </c>
    </row>
    <row r="1279" spans="6:12" x14ac:dyDescent="0.25">
      <c r="F1279" s="46">
        <f>IFERROR(VLOOKUP($E1292,'BASE DE DATOS'!$A:$I,3,0),0)</f>
        <v>0</v>
      </c>
      <c r="G1279" s="46">
        <f>IFERROR(VLOOKUP($E1279,'BASE DE DATOS'!$A:$I,3,0),0)</f>
        <v>0</v>
      </c>
      <c r="H1279" s="46">
        <f>IFERROR(VLOOKUP($E1279,'BASE DE DATOS'!$A:$I,3,0),0)</f>
        <v>0</v>
      </c>
      <c r="I1279" s="46">
        <f>IFERROR(VLOOKUP($E1279,'BASE DE DATOS'!$A:$I,3,0),0)</f>
        <v>0</v>
      </c>
      <c r="J1279" s="46">
        <f>IFERROR(VLOOKUP($E1279,'BASE DE DATOS'!$A:$I,3,0),0)</f>
        <v>0</v>
      </c>
      <c r="K1279" s="46">
        <f>IFERROR(VLOOKUP($E1538,'BASE DE DATOS'!$A:$I,3,0),0)</f>
        <v>0</v>
      </c>
      <c r="L1279" s="46">
        <f>IFERROR(VLOOKUP($E1279,'BASE DE DATOS'!$A:$I,3,0),0)</f>
        <v>0</v>
      </c>
    </row>
    <row r="1280" spans="6:12" x14ac:dyDescent="0.25">
      <c r="F1280" s="46">
        <f>IFERROR(VLOOKUP($E1293,'BASE DE DATOS'!$A:$I,3,0),0)</f>
        <v>0</v>
      </c>
      <c r="G1280" s="46">
        <f>IFERROR(VLOOKUP($E1280,'BASE DE DATOS'!$A:$I,3,0),0)</f>
        <v>0</v>
      </c>
      <c r="H1280" s="46">
        <f>IFERROR(VLOOKUP($E1280,'BASE DE DATOS'!$A:$I,3,0),0)</f>
        <v>0</v>
      </c>
      <c r="I1280" s="46">
        <f>IFERROR(VLOOKUP($E1280,'BASE DE DATOS'!$A:$I,3,0),0)</f>
        <v>0</v>
      </c>
      <c r="J1280" s="46">
        <f>IFERROR(VLOOKUP($E1280,'BASE DE DATOS'!$A:$I,3,0),0)</f>
        <v>0</v>
      </c>
      <c r="K1280" s="46">
        <f>IFERROR(VLOOKUP($E1539,'BASE DE DATOS'!$A:$I,3,0),0)</f>
        <v>0</v>
      </c>
      <c r="L1280" s="46">
        <f>IFERROR(VLOOKUP($E1280,'BASE DE DATOS'!$A:$I,3,0),0)</f>
        <v>0</v>
      </c>
    </row>
    <row r="1281" spans="6:12" x14ac:dyDescent="0.25">
      <c r="F1281" s="46">
        <f>IFERROR(VLOOKUP($E1294,'BASE DE DATOS'!$A:$I,3,0),0)</f>
        <v>0</v>
      </c>
      <c r="G1281" s="46">
        <f>IFERROR(VLOOKUP($E1281,'BASE DE DATOS'!$A:$I,3,0),0)</f>
        <v>0</v>
      </c>
      <c r="H1281" s="46">
        <f>IFERROR(VLOOKUP($E1281,'BASE DE DATOS'!$A:$I,3,0),0)</f>
        <v>0</v>
      </c>
      <c r="I1281" s="46">
        <f>IFERROR(VLOOKUP($E1281,'BASE DE DATOS'!$A:$I,3,0),0)</f>
        <v>0</v>
      </c>
      <c r="J1281" s="46">
        <f>IFERROR(VLOOKUP($E1281,'BASE DE DATOS'!$A:$I,3,0),0)</f>
        <v>0</v>
      </c>
      <c r="K1281" s="46">
        <f>IFERROR(VLOOKUP($E1540,'BASE DE DATOS'!$A:$I,3,0),0)</f>
        <v>0</v>
      </c>
      <c r="L1281" s="46">
        <f>IFERROR(VLOOKUP($E1281,'BASE DE DATOS'!$A:$I,3,0),0)</f>
        <v>0</v>
      </c>
    </row>
    <row r="1282" spans="6:12" x14ac:dyDescent="0.25">
      <c r="F1282" s="46">
        <f>IFERROR(VLOOKUP($E1295,'BASE DE DATOS'!$A:$I,3,0),0)</f>
        <v>0</v>
      </c>
      <c r="G1282" s="46">
        <f>IFERROR(VLOOKUP($E1282,'BASE DE DATOS'!$A:$I,3,0),0)</f>
        <v>0</v>
      </c>
      <c r="H1282" s="46">
        <f>IFERROR(VLOOKUP($E1282,'BASE DE DATOS'!$A:$I,3,0),0)</f>
        <v>0</v>
      </c>
      <c r="I1282" s="46">
        <f>IFERROR(VLOOKUP($E1282,'BASE DE DATOS'!$A:$I,3,0),0)</f>
        <v>0</v>
      </c>
      <c r="J1282" s="46">
        <f>IFERROR(VLOOKUP($E1282,'BASE DE DATOS'!$A:$I,3,0),0)</f>
        <v>0</v>
      </c>
      <c r="K1282" s="46">
        <f>IFERROR(VLOOKUP($E1541,'BASE DE DATOS'!$A:$I,3,0),0)</f>
        <v>0</v>
      </c>
      <c r="L1282" s="46">
        <f>IFERROR(VLOOKUP($E1282,'BASE DE DATOS'!$A:$I,3,0),0)</f>
        <v>0</v>
      </c>
    </row>
    <row r="1283" spans="6:12" x14ac:dyDescent="0.25">
      <c r="F1283" s="46">
        <f>IFERROR(VLOOKUP($E1296,'BASE DE DATOS'!$A:$I,3,0),0)</f>
        <v>0</v>
      </c>
      <c r="G1283" s="46">
        <f>IFERROR(VLOOKUP($E1283,'BASE DE DATOS'!$A:$I,3,0),0)</f>
        <v>0</v>
      </c>
      <c r="H1283" s="46">
        <f>IFERROR(VLOOKUP($E1283,'BASE DE DATOS'!$A:$I,3,0),0)</f>
        <v>0</v>
      </c>
      <c r="I1283" s="46">
        <f>IFERROR(VLOOKUP($E1283,'BASE DE DATOS'!$A:$I,3,0),0)</f>
        <v>0</v>
      </c>
      <c r="J1283" s="46">
        <f>IFERROR(VLOOKUP($E1283,'BASE DE DATOS'!$A:$I,3,0),0)</f>
        <v>0</v>
      </c>
      <c r="K1283" s="46">
        <f>IFERROR(VLOOKUP($E1542,'BASE DE DATOS'!$A:$I,3,0),0)</f>
        <v>0</v>
      </c>
      <c r="L1283" s="46">
        <f>IFERROR(VLOOKUP($E1283,'BASE DE DATOS'!$A:$I,3,0),0)</f>
        <v>0</v>
      </c>
    </row>
    <row r="1284" spans="6:12" x14ac:dyDescent="0.25">
      <c r="F1284" s="46">
        <f>IFERROR(VLOOKUP($E1297,'BASE DE DATOS'!$A:$I,3,0),0)</f>
        <v>0</v>
      </c>
      <c r="G1284" s="46">
        <f>IFERROR(VLOOKUP($E1284,'BASE DE DATOS'!$A:$I,3,0),0)</f>
        <v>0</v>
      </c>
      <c r="H1284" s="46">
        <f>IFERROR(VLOOKUP($E1284,'BASE DE DATOS'!$A:$I,3,0),0)</f>
        <v>0</v>
      </c>
      <c r="I1284" s="46">
        <f>IFERROR(VLOOKUP($E1284,'BASE DE DATOS'!$A:$I,3,0),0)</f>
        <v>0</v>
      </c>
      <c r="J1284" s="46">
        <f>IFERROR(VLOOKUP($E1284,'BASE DE DATOS'!$A:$I,3,0),0)</f>
        <v>0</v>
      </c>
      <c r="K1284" s="46">
        <f>IFERROR(VLOOKUP($E1543,'BASE DE DATOS'!$A:$I,3,0),0)</f>
        <v>0</v>
      </c>
      <c r="L1284" s="46">
        <f>IFERROR(VLOOKUP($E1284,'BASE DE DATOS'!$A:$I,3,0),0)</f>
        <v>0</v>
      </c>
    </row>
    <row r="1285" spans="6:12" x14ac:dyDescent="0.25">
      <c r="F1285" s="46">
        <f>IFERROR(VLOOKUP($E1298,'BASE DE DATOS'!$A:$I,3,0),0)</f>
        <v>0</v>
      </c>
      <c r="G1285" s="46">
        <f>IFERROR(VLOOKUP($E1285,'BASE DE DATOS'!$A:$I,3,0),0)</f>
        <v>0</v>
      </c>
      <c r="H1285" s="46">
        <f>IFERROR(VLOOKUP($E1285,'BASE DE DATOS'!$A:$I,3,0),0)</f>
        <v>0</v>
      </c>
      <c r="I1285" s="46">
        <f>IFERROR(VLOOKUP($E1285,'BASE DE DATOS'!$A:$I,3,0),0)</f>
        <v>0</v>
      </c>
      <c r="J1285" s="46">
        <f>IFERROR(VLOOKUP($E1285,'BASE DE DATOS'!$A:$I,3,0),0)</f>
        <v>0</v>
      </c>
      <c r="K1285" s="46">
        <f>IFERROR(VLOOKUP($E1544,'BASE DE DATOS'!$A:$I,3,0),0)</f>
        <v>0</v>
      </c>
      <c r="L1285" s="46">
        <f>IFERROR(VLOOKUP($E1285,'BASE DE DATOS'!$A:$I,3,0),0)</f>
        <v>0</v>
      </c>
    </row>
    <row r="1286" spans="6:12" x14ac:dyDescent="0.25">
      <c r="F1286" s="46">
        <f>IFERROR(VLOOKUP($E1299,'BASE DE DATOS'!$A:$I,3,0),0)</f>
        <v>0</v>
      </c>
      <c r="G1286" s="46">
        <f>IFERROR(VLOOKUP($E1286,'BASE DE DATOS'!$A:$I,3,0),0)</f>
        <v>0</v>
      </c>
      <c r="H1286" s="46">
        <f>IFERROR(VLOOKUP($E1286,'BASE DE DATOS'!$A:$I,3,0),0)</f>
        <v>0</v>
      </c>
      <c r="I1286" s="46">
        <f>IFERROR(VLOOKUP($E1286,'BASE DE DATOS'!$A:$I,3,0),0)</f>
        <v>0</v>
      </c>
      <c r="J1286" s="46">
        <f>IFERROR(VLOOKUP($E1286,'BASE DE DATOS'!$A:$I,3,0),0)</f>
        <v>0</v>
      </c>
      <c r="K1286" s="46">
        <f>IFERROR(VLOOKUP($E1545,'BASE DE DATOS'!$A:$I,3,0),0)</f>
        <v>0</v>
      </c>
      <c r="L1286" s="46">
        <f>IFERROR(VLOOKUP($E1286,'BASE DE DATOS'!$A:$I,3,0),0)</f>
        <v>0</v>
      </c>
    </row>
    <row r="1287" spans="6:12" x14ac:dyDescent="0.25">
      <c r="F1287" s="46">
        <f>IFERROR(VLOOKUP($E1300,'BASE DE DATOS'!$A:$I,3,0),0)</f>
        <v>0</v>
      </c>
      <c r="G1287" s="46">
        <f>IFERROR(VLOOKUP($E1287,'BASE DE DATOS'!$A:$I,3,0),0)</f>
        <v>0</v>
      </c>
      <c r="H1287" s="46">
        <f>IFERROR(VLOOKUP($E1287,'BASE DE DATOS'!$A:$I,3,0),0)</f>
        <v>0</v>
      </c>
      <c r="I1287" s="46">
        <f>IFERROR(VLOOKUP($E1287,'BASE DE DATOS'!$A:$I,3,0),0)</f>
        <v>0</v>
      </c>
      <c r="J1287" s="46">
        <f>IFERROR(VLOOKUP($E1287,'BASE DE DATOS'!$A:$I,3,0),0)</f>
        <v>0</v>
      </c>
      <c r="K1287" s="46">
        <f>IFERROR(VLOOKUP($E1546,'BASE DE DATOS'!$A:$I,3,0),0)</f>
        <v>0</v>
      </c>
      <c r="L1287" s="46">
        <f>IFERROR(VLOOKUP($E1287,'BASE DE DATOS'!$A:$I,3,0),0)</f>
        <v>0</v>
      </c>
    </row>
    <row r="1288" spans="6:12" x14ac:dyDescent="0.25">
      <c r="F1288" s="46">
        <f>IFERROR(VLOOKUP($E1301,'BASE DE DATOS'!$A:$I,3,0),0)</f>
        <v>0</v>
      </c>
      <c r="G1288" s="46">
        <f>IFERROR(VLOOKUP($E1288,'BASE DE DATOS'!$A:$I,3,0),0)</f>
        <v>0</v>
      </c>
      <c r="H1288" s="46">
        <f>IFERROR(VLOOKUP($E1288,'BASE DE DATOS'!$A:$I,3,0),0)</f>
        <v>0</v>
      </c>
      <c r="I1288" s="46">
        <f>IFERROR(VLOOKUP($E1288,'BASE DE DATOS'!$A:$I,3,0),0)</f>
        <v>0</v>
      </c>
      <c r="J1288" s="46">
        <f>IFERROR(VLOOKUP($E1288,'BASE DE DATOS'!$A:$I,3,0),0)</f>
        <v>0</v>
      </c>
      <c r="K1288" s="46">
        <f>IFERROR(VLOOKUP($E1547,'BASE DE DATOS'!$A:$I,3,0),0)</f>
        <v>0</v>
      </c>
      <c r="L1288" s="46">
        <f>IFERROR(VLOOKUP($E1288,'BASE DE DATOS'!$A:$I,3,0),0)</f>
        <v>0</v>
      </c>
    </row>
    <row r="1289" spans="6:12" x14ac:dyDescent="0.25">
      <c r="F1289" s="46">
        <f>IFERROR(VLOOKUP($E1302,'BASE DE DATOS'!$A:$I,3,0),0)</f>
        <v>0</v>
      </c>
      <c r="G1289" s="46">
        <f>IFERROR(VLOOKUP($E1289,'BASE DE DATOS'!$A:$I,3,0),0)</f>
        <v>0</v>
      </c>
      <c r="H1289" s="46">
        <f>IFERROR(VLOOKUP($E1289,'BASE DE DATOS'!$A:$I,3,0),0)</f>
        <v>0</v>
      </c>
      <c r="I1289" s="46">
        <f>IFERROR(VLOOKUP($E1289,'BASE DE DATOS'!$A:$I,3,0),0)</f>
        <v>0</v>
      </c>
      <c r="J1289" s="46">
        <f>IFERROR(VLOOKUP($E1289,'BASE DE DATOS'!$A:$I,3,0),0)</f>
        <v>0</v>
      </c>
      <c r="K1289" s="46">
        <f>IFERROR(VLOOKUP($E1548,'BASE DE DATOS'!$A:$I,3,0),0)</f>
        <v>0</v>
      </c>
      <c r="L1289" s="46">
        <f>IFERROR(VLOOKUP($E1289,'BASE DE DATOS'!$A:$I,3,0),0)</f>
        <v>0</v>
      </c>
    </row>
    <row r="1290" spans="6:12" x14ac:dyDescent="0.25">
      <c r="F1290" s="46">
        <f>IFERROR(VLOOKUP($E1303,'BASE DE DATOS'!$A:$I,3,0),0)</f>
        <v>0</v>
      </c>
      <c r="G1290" s="46">
        <f>IFERROR(VLOOKUP($E1290,'BASE DE DATOS'!$A:$I,3,0),0)</f>
        <v>0</v>
      </c>
      <c r="H1290" s="46">
        <f>IFERROR(VLOOKUP($E1290,'BASE DE DATOS'!$A:$I,3,0),0)</f>
        <v>0</v>
      </c>
      <c r="I1290" s="46">
        <f>IFERROR(VLOOKUP($E1290,'BASE DE DATOS'!$A:$I,3,0),0)</f>
        <v>0</v>
      </c>
      <c r="J1290" s="46">
        <f>IFERROR(VLOOKUP($E1290,'BASE DE DATOS'!$A:$I,3,0),0)</f>
        <v>0</v>
      </c>
      <c r="K1290" s="46">
        <f>IFERROR(VLOOKUP($E1549,'BASE DE DATOS'!$A:$I,3,0),0)</f>
        <v>0</v>
      </c>
      <c r="L1290" s="46">
        <f>IFERROR(VLOOKUP($E1290,'BASE DE DATOS'!$A:$I,3,0),0)</f>
        <v>0</v>
      </c>
    </row>
    <row r="1291" spans="6:12" x14ac:dyDescent="0.25">
      <c r="F1291" s="46">
        <f>IFERROR(VLOOKUP($E1304,'BASE DE DATOS'!$A:$I,3,0),0)</f>
        <v>0</v>
      </c>
      <c r="G1291" s="46">
        <f>IFERROR(VLOOKUP($E1291,'BASE DE DATOS'!$A:$I,3,0),0)</f>
        <v>0</v>
      </c>
      <c r="H1291" s="46">
        <f>IFERROR(VLOOKUP($E1291,'BASE DE DATOS'!$A:$I,3,0),0)</f>
        <v>0</v>
      </c>
      <c r="I1291" s="46">
        <f>IFERROR(VLOOKUP($E1291,'BASE DE DATOS'!$A:$I,3,0),0)</f>
        <v>0</v>
      </c>
      <c r="J1291" s="46">
        <f>IFERROR(VLOOKUP($E1291,'BASE DE DATOS'!$A:$I,3,0),0)</f>
        <v>0</v>
      </c>
      <c r="K1291" s="46">
        <f>IFERROR(VLOOKUP($E1550,'BASE DE DATOS'!$A:$I,3,0),0)</f>
        <v>0</v>
      </c>
      <c r="L1291" s="46">
        <f>IFERROR(VLOOKUP($E1291,'BASE DE DATOS'!$A:$I,3,0),0)</f>
        <v>0</v>
      </c>
    </row>
    <row r="1292" spans="6:12" x14ac:dyDescent="0.25">
      <c r="F1292" s="46">
        <f>IFERROR(VLOOKUP($E1305,'BASE DE DATOS'!$A:$I,3,0),0)</f>
        <v>0</v>
      </c>
      <c r="G1292" s="46">
        <f>IFERROR(VLOOKUP($E1292,'BASE DE DATOS'!$A:$I,3,0),0)</f>
        <v>0</v>
      </c>
      <c r="H1292" s="46">
        <f>IFERROR(VLOOKUP($E1292,'BASE DE DATOS'!$A:$I,3,0),0)</f>
        <v>0</v>
      </c>
      <c r="I1292" s="46">
        <f>IFERROR(VLOOKUP($E1292,'BASE DE DATOS'!$A:$I,3,0),0)</f>
        <v>0</v>
      </c>
      <c r="J1292" s="46">
        <f>IFERROR(VLOOKUP($E1292,'BASE DE DATOS'!$A:$I,3,0),0)</f>
        <v>0</v>
      </c>
      <c r="K1292" s="46">
        <f>IFERROR(VLOOKUP($E1551,'BASE DE DATOS'!$A:$I,3,0),0)</f>
        <v>0</v>
      </c>
      <c r="L1292" s="46">
        <f>IFERROR(VLOOKUP($E1292,'BASE DE DATOS'!$A:$I,3,0),0)</f>
        <v>0</v>
      </c>
    </row>
    <row r="1293" spans="6:12" x14ac:dyDescent="0.25">
      <c r="F1293" s="46">
        <f>IFERROR(VLOOKUP($E1306,'BASE DE DATOS'!$A:$I,3,0),0)</f>
        <v>0</v>
      </c>
      <c r="G1293" s="46">
        <f>IFERROR(VLOOKUP($E1293,'BASE DE DATOS'!$A:$I,3,0),0)</f>
        <v>0</v>
      </c>
      <c r="H1293" s="46">
        <f>IFERROR(VLOOKUP($E1293,'BASE DE DATOS'!$A:$I,3,0),0)</f>
        <v>0</v>
      </c>
      <c r="I1293" s="46">
        <f>IFERROR(VLOOKUP($E1293,'BASE DE DATOS'!$A:$I,3,0),0)</f>
        <v>0</v>
      </c>
      <c r="J1293" s="46">
        <f>IFERROR(VLOOKUP($E1293,'BASE DE DATOS'!$A:$I,3,0),0)</f>
        <v>0</v>
      </c>
      <c r="K1293" s="46">
        <f>IFERROR(VLOOKUP($E1552,'BASE DE DATOS'!$A:$I,3,0),0)</f>
        <v>0</v>
      </c>
      <c r="L1293" s="46">
        <f>IFERROR(VLOOKUP($E1293,'BASE DE DATOS'!$A:$I,3,0),0)</f>
        <v>0</v>
      </c>
    </row>
    <row r="1294" spans="6:12" x14ac:dyDescent="0.25">
      <c r="F1294" s="46">
        <f>IFERROR(VLOOKUP($E1307,'BASE DE DATOS'!$A:$I,3,0),0)</f>
        <v>0</v>
      </c>
      <c r="G1294" s="46">
        <f>IFERROR(VLOOKUP($E1294,'BASE DE DATOS'!$A:$I,3,0),0)</f>
        <v>0</v>
      </c>
      <c r="H1294" s="46">
        <f>IFERROR(VLOOKUP($E1294,'BASE DE DATOS'!$A:$I,3,0),0)</f>
        <v>0</v>
      </c>
      <c r="I1294" s="46">
        <f>IFERROR(VLOOKUP($E1294,'BASE DE DATOS'!$A:$I,3,0),0)</f>
        <v>0</v>
      </c>
      <c r="J1294" s="46">
        <f>IFERROR(VLOOKUP($E1294,'BASE DE DATOS'!$A:$I,3,0),0)</f>
        <v>0</v>
      </c>
      <c r="K1294" s="46">
        <f>IFERROR(VLOOKUP($E1553,'BASE DE DATOS'!$A:$I,3,0),0)</f>
        <v>0</v>
      </c>
      <c r="L1294" s="46">
        <f>IFERROR(VLOOKUP($E1294,'BASE DE DATOS'!$A:$I,3,0),0)</f>
        <v>0</v>
      </c>
    </row>
    <row r="1295" spans="6:12" x14ac:dyDescent="0.25">
      <c r="F1295" s="46">
        <f>IFERROR(VLOOKUP($E1308,'BASE DE DATOS'!$A:$I,3,0),0)</f>
        <v>0</v>
      </c>
      <c r="G1295" s="46">
        <f>IFERROR(VLOOKUP($E1295,'BASE DE DATOS'!$A:$I,3,0),0)</f>
        <v>0</v>
      </c>
      <c r="H1295" s="46">
        <f>IFERROR(VLOOKUP($E1295,'BASE DE DATOS'!$A:$I,3,0),0)</f>
        <v>0</v>
      </c>
      <c r="I1295" s="46">
        <f>IFERROR(VLOOKUP($E1295,'BASE DE DATOS'!$A:$I,3,0),0)</f>
        <v>0</v>
      </c>
      <c r="J1295" s="46">
        <f>IFERROR(VLOOKUP($E1295,'BASE DE DATOS'!$A:$I,3,0),0)</f>
        <v>0</v>
      </c>
      <c r="K1295" s="46">
        <f>IFERROR(VLOOKUP($E1554,'BASE DE DATOS'!$A:$I,3,0),0)</f>
        <v>0</v>
      </c>
      <c r="L1295" s="46">
        <f>IFERROR(VLOOKUP($E1295,'BASE DE DATOS'!$A:$I,3,0),0)</f>
        <v>0</v>
      </c>
    </row>
    <row r="1296" spans="6:12" x14ac:dyDescent="0.25">
      <c r="F1296" s="46">
        <f>IFERROR(VLOOKUP($E1309,'BASE DE DATOS'!$A:$I,3,0),0)</f>
        <v>0</v>
      </c>
      <c r="G1296" s="46">
        <f>IFERROR(VLOOKUP($E1296,'BASE DE DATOS'!$A:$I,3,0),0)</f>
        <v>0</v>
      </c>
      <c r="H1296" s="46">
        <f>IFERROR(VLOOKUP($E1296,'BASE DE DATOS'!$A:$I,3,0),0)</f>
        <v>0</v>
      </c>
      <c r="I1296" s="46">
        <f>IFERROR(VLOOKUP($E1296,'BASE DE DATOS'!$A:$I,3,0),0)</f>
        <v>0</v>
      </c>
      <c r="J1296" s="46">
        <f>IFERROR(VLOOKUP($E1296,'BASE DE DATOS'!$A:$I,3,0),0)</f>
        <v>0</v>
      </c>
      <c r="K1296" s="46">
        <f>IFERROR(VLOOKUP($E1555,'BASE DE DATOS'!$A:$I,3,0),0)</f>
        <v>0</v>
      </c>
      <c r="L1296" s="46">
        <f>IFERROR(VLOOKUP($E1296,'BASE DE DATOS'!$A:$I,3,0),0)</f>
        <v>0</v>
      </c>
    </row>
    <row r="1297" spans="6:12" x14ac:dyDescent="0.25">
      <c r="F1297" s="46">
        <f>IFERROR(VLOOKUP($E1310,'BASE DE DATOS'!$A:$I,3,0),0)</f>
        <v>0</v>
      </c>
      <c r="G1297" s="46">
        <f>IFERROR(VLOOKUP($E1297,'BASE DE DATOS'!$A:$I,3,0),0)</f>
        <v>0</v>
      </c>
      <c r="H1297" s="46">
        <f>IFERROR(VLOOKUP($E1297,'BASE DE DATOS'!$A:$I,3,0),0)</f>
        <v>0</v>
      </c>
      <c r="I1297" s="46">
        <f>IFERROR(VLOOKUP($E1297,'BASE DE DATOS'!$A:$I,3,0),0)</f>
        <v>0</v>
      </c>
      <c r="J1297" s="46">
        <f>IFERROR(VLOOKUP($E1297,'BASE DE DATOS'!$A:$I,3,0),0)</f>
        <v>0</v>
      </c>
      <c r="K1297" s="46">
        <f>IFERROR(VLOOKUP($E1556,'BASE DE DATOS'!$A:$I,3,0),0)</f>
        <v>0</v>
      </c>
      <c r="L1297" s="46">
        <f>IFERROR(VLOOKUP($E1297,'BASE DE DATOS'!$A:$I,3,0),0)</f>
        <v>0</v>
      </c>
    </row>
    <row r="1298" spans="6:12" x14ac:dyDescent="0.25">
      <c r="F1298" s="46">
        <f>IFERROR(VLOOKUP($E1311,'BASE DE DATOS'!$A:$I,3,0),0)</f>
        <v>0</v>
      </c>
      <c r="G1298" s="46">
        <f>IFERROR(VLOOKUP($E1298,'BASE DE DATOS'!$A:$I,3,0),0)</f>
        <v>0</v>
      </c>
      <c r="H1298" s="46">
        <f>IFERROR(VLOOKUP($E1298,'BASE DE DATOS'!$A:$I,3,0),0)</f>
        <v>0</v>
      </c>
      <c r="I1298" s="46">
        <f>IFERROR(VLOOKUP($E1298,'BASE DE DATOS'!$A:$I,3,0),0)</f>
        <v>0</v>
      </c>
      <c r="J1298" s="46">
        <f>IFERROR(VLOOKUP($E1298,'BASE DE DATOS'!$A:$I,3,0),0)</f>
        <v>0</v>
      </c>
      <c r="K1298" s="46">
        <f>IFERROR(VLOOKUP($E1557,'BASE DE DATOS'!$A:$I,3,0),0)</f>
        <v>0</v>
      </c>
      <c r="L1298" s="46">
        <f>IFERROR(VLOOKUP($E1298,'BASE DE DATOS'!$A:$I,3,0),0)</f>
        <v>0</v>
      </c>
    </row>
    <row r="1299" spans="6:12" x14ac:dyDescent="0.25">
      <c r="F1299" s="46">
        <f>IFERROR(VLOOKUP($E1312,'BASE DE DATOS'!$A:$I,3,0),0)</f>
        <v>0</v>
      </c>
      <c r="G1299" s="46">
        <f>IFERROR(VLOOKUP($E1299,'BASE DE DATOS'!$A:$I,3,0),0)</f>
        <v>0</v>
      </c>
      <c r="H1299" s="46">
        <f>IFERROR(VLOOKUP($E1299,'BASE DE DATOS'!$A:$I,3,0),0)</f>
        <v>0</v>
      </c>
      <c r="I1299" s="46">
        <f>IFERROR(VLOOKUP($E1299,'BASE DE DATOS'!$A:$I,3,0),0)</f>
        <v>0</v>
      </c>
      <c r="J1299" s="46">
        <f>IFERROR(VLOOKUP($E1299,'BASE DE DATOS'!$A:$I,3,0),0)</f>
        <v>0</v>
      </c>
      <c r="K1299" s="46">
        <f>IFERROR(VLOOKUP($E1558,'BASE DE DATOS'!$A:$I,3,0),0)</f>
        <v>0</v>
      </c>
      <c r="L1299" s="46">
        <f>IFERROR(VLOOKUP($E1299,'BASE DE DATOS'!$A:$I,3,0),0)</f>
        <v>0</v>
      </c>
    </row>
    <row r="1300" spans="6:12" x14ac:dyDescent="0.25">
      <c r="F1300" s="46">
        <f>IFERROR(VLOOKUP($E1313,'BASE DE DATOS'!$A:$I,3,0),0)</f>
        <v>0</v>
      </c>
      <c r="G1300" s="46">
        <f>IFERROR(VLOOKUP($E1300,'BASE DE DATOS'!$A:$I,3,0),0)</f>
        <v>0</v>
      </c>
      <c r="H1300" s="46">
        <f>IFERROR(VLOOKUP($E1300,'BASE DE DATOS'!$A:$I,3,0),0)</f>
        <v>0</v>
      </c>
      <c r="I1300" s="46">
        <f>IFERROR(VLOOKUP($E1300,'BASE DE DATOS'!$A:$I,3,0),0)</f>
        <v>0</v>
      </c>
      <c r="J1300" s="46">
        <f>IFERROR(VLOOKUP($E1300,'BASE DE DATOS'!$A:$I,3,0),0)</f>
        <v>0</v>
      </c>
      <c r="K1300" s="46">
        <f>IFERROR(VLOOKUP($E1559,'BASE DE DATOS'!$A:$I,3,0),0)</f>
        <v>0</v>
      </c>
      <c r="L1300" s="46">
        <f>IFERROR(VLOOKUP($E1300,'BASE DE DATOS'!$A:$I,3,0),0)</f>
        <v>0</v>
      </c>
    </row>
    <row r="1301" spans="6:12" x14ac:dyDescent="0.25">
      <c r="F1301" s="46">
        <f>IFERROR(VLOOKUP($E1314,'BASE DE DATOS'!$A:$I,3,0),0)</f>
        <v>0</v>
      </c>
      <c r="G1301" s="46">
        <f>IFERROR(VLOOKUP($E1301,'BASE DE DATOS'!$A:$I,3,0),0)</f>
        <v>0</v>
      </c>
      <c r="H1301" s="46">
        <f>IFERROR(VLOOKUP($E1301,'BASE DE DATOS'!$A:$I,3,0),0)</f>
        <v>0</v>
      </c>
      <c r="I1301" s="46">
        <f>IFERROR(VLOOKUP($E1301,'BASE DE DATOS'!$A:$I,3,0),0)</f>
        <v>0</v>
      </c>
      <c r="J1301" s="46">
        <f>IFERROR(VLOOKUP($E1301,'BASE DE DATOS'!$A:$I,3,0),0)</f>
        <v>0</v>
      </c>
      <c r="K1301" s="46">
        <f>IFERROR(VLOOKUP($E1560,'BASE DE DATOS'!$A:$I,3,0),0)</f>
        <v>0</v>
      </c>
      <c r="L1301" s="46">
        <f>IFERROR(VLOOKUP($E1301,'BASE DE DATOS'!$A:$I,3,0),0)</f>
        <v>0</v>
      </c>
    </row>
    <row r="1302" spans="6:12" x14ac:dyDescent="0.25">
      <c r="F1302" s="46">
        <f>IFERROR(VLOOKUP($E1315,'BASE DE DATOS'!$A:$I,3,0),0)</f>
        <v>0</v>
      </c>
      <c r="G1302" s="46">
        <f>IFERROR(VLOOKUP($E1302,'BASE DE DATOS'!$A:$I,3,0),0)</f>
        <v>0</v>
      </c>
      <c r="H1302" s="46">
        <f>IFERROR(VLOOKUP($E1302,'BASE DE DATOS'!$A:$I,3,0),0)</f>
        <v>0</v>
      </c>
      <c r="I1302" s="46">
        <f>IFERROR(VLOOKUP($E1302,'BASE DE DATOS'!$A:$I,3,0),0)</f>
        <v>0</v>
      </c>
      <c r="J1302" s="46">
        <f>IFERROR(VLOOKUP($E1302,'BASE DE DATOS'!$A:$I,3,0),0)</f>
        <v>0</v>
      </c>
      <c r="K1302" s="46">
        <f>IFERROR(VLOOKUP($E1561,'BASE DE DATOS'!$A:$I,3,0),0)</f>
        <v>0</v>
      </c>
      <c r="L1302" s="46">
        <f>IFERROR(VLOOKUP($E1302,'BASE DE DATOS'!$A:$I,3,0),0)</f>
        <v>0</v>
      </c>
    </row>
    <row r="1303" spans="6:12" x14ac:dyDescent="0.25">
      <c r="F1303" s="46">
        <f>IFERROR(VLOOKUP($E1316,'BASE DE DATOS'!$A:$I,3,0),0)</f>
        <v>0</v>
      </c>
      <c r="G1303" s="46">
        <f>IFERROR(VLOOKUP($E1303,'BASE DE DATOS'!$A:$I,3,0),0)</f>
        <v>0</v>
      </c>
      <c r="H1303" s="46">
        <f>IFERROR(VLOOKUP($E1303,'BASE DE DATOS'!$A:$I,3,0),0)</f>
        <v>0</v>
      </c>
      <c r="I1303" s="46">
        <f>IFERROR(VLOOKUP($E1303,'BASE DE DATOS'!$A:$I,3,0),0)</f>
        <v>0</v>
      </c>
      <c r="J1303" s="46">
        <f>IFERROR(VLOOKUP($E1303,'BASE DE DATOS'!$A:$I,3,0),0)</f>
        <v>0</v>
      </c>
      <c r="K1303" s="46">
        <f>IFERROR(VLOOKUP($E1562,'BASE DE DATOS'!$A:$I,3,0),0)</f>
        <v>0</v>
      </c>
      <c r="L1303" s="46">
        <f>IFERROR(VLOOKUP($E1303,'BASE DE DATOS'!$A:$I,3,0),0)</f>
        <v>0</v>
      </c>
    </row>
    <row r="1304" spans="6:12" x14ac:dyDescent="0.25">
      <c r="F1304" s="46">
        <f>IFERROR(VLOOKUP($E1317,'BASE DE DATOS'!$A:$I,3,0),0)</f>
        <v>0</v>
      </c>
      <c r="G1304" s="46">
        <f>IFERROR(VLOOKUP($E1304,'BASE DE DATOS'!$A:$I,3,0),0)</f>
        <v>0</v>
      </c>
      <c r="H1304" s="46">
        <f>IFERROR(VLOOKUP($E1304,'BASE DE DATOS'!$A:$I,3,0),0)</f>
        <v>0</v>
      </c>
      <c r="I1304" s="46">
        <f>IFERROR(VLOOKUP($E1304,'BASE DE DATOS'!$A:$I,3,0),0)</f>
        <v>0</v>
      </c>
      <c r="J1304" s="46">
        <f>IFERROR(VLOOKUP($E1304,'BASE DE DATOS'!$A:$I,3,0),0)</f>
        <v>0</v>
      </c>
      <c r="K1304" s="46">
        <f>IFERROR(VLOOKUP($E1563,'BASE DE DATOS'!$A:$I,3,0),0)</f>
        <v>0</v>
      </c>
      <c r="L1304" s="46">
        <f>IFERROR(VLOOKUP($E1304,'BASE DE DATOS'!$A:$I,3,0),0)</f>
        <v>0</v>
      </c>
    </row>
    <row r="1305" spans="6:12" x14ac:dyDescent="0.25">
      <c r="F1305" s="46">
        <f>IFERROR(VLOOKUP($E1318,'BASE DE DATOS'!$A:$I,3,0),0)</f>
        <v>0</v>
      </c>
      <c r="G1305" s="46">
        <f>IFERROR(VLOOKUP($E1305,'BASE DE DATOS'!$A:$I,3,0),0)</f>
        <v>0</v>
      </c>
      <c r="H1305" s="46">
        <f>IFERROR(VLOOKUP($E1305,'BASE DE DATOS'!$A:$I,3,0),0)</f>
        <v>0</v>
      </c>
      <c r="I1305" s="46">
        <f>IFERROR(VLOOKUP($E1305,'BASE DE DATOS'!$A:$I,3,0),0)</f>
        <v>0</v>
      </c>
      <c r="J1305" s="46">
        <f>IFERROR(VLOOKUP($E1305,'BASE DE DATOS'!$A:$I,3,0),0)</f>
        <v>0</v>
      </c>
      <c r="K1305" s="46">
        <f>IFERROR(VLOOKUP($E1564,'BASE DE DATOS'!$A:$I,3,0),0)</f>
        <v>0</v>
      </c>
      <c r="L1305" s="46">
        <f>IFERROR(VLOOKUP($E1305,'BASE DE DATOS'!$A:$I,3,0),0)</f>
        <v>0</v>
      </c>
    </row>
    <row r="1306" spans="6:12" x14ac:dyDescent="0.25">
      <c r="F1306" s="46">
        <f>IFERROR(VLOOKUP($E1319,'BASE DE DATOS'!$A:$I,3,0),0)</f>
        <v>0</v>
      </c>
      <c r="G1306" s="46">
        <f>IFERROR(VLOOKUP($E1306,'BASE DE DATOS'!$A:$I,3,0),0)</f>
        <v>0</v>
      </c>
      <c r="H1306" s="46">
        <f>IFERROR(VLOOKUP($E1306,'BASE DE DATOS'!$A:$I,3,0),0)</f>
        <v>0</v>
      </c>
      <c r="I1306" s="46">
        <f>IFERROR(VLOOKUP($E1306,'BASE DE DATOS'!$A:$I,3,0),0)</f>
        <v>0</v>
      </c>
      <c r="J1306" s="46">
        <f>IFERROR(VLOOKUP($E1306,'BASE DE DATOS'!$A:$I,3,0),0)</f>
        <v>0</v>
      </c>
      <c r="K1306" s="46">
        <f>IFERROR(VLOOKUP($E1565,'BASE DE DATOS'!$A:$I,3,0),0)</f>
        <v>0</v>
      </c>
      <c r="L1306" s="46">
        <f>IFERROR(VLOOKUP($E1306,'BASE DE DATOS'!$A:$I,3,0),0)</f>
        <v>0</v>
      </c>
    </row>
    <row r="1307" spans="6:12" x14ac:dyDescent="0.25">
      <c r="F1307" s="46">
        <f>IFERROR(VLOOKUP($E1320,'BASE DE DATOS'!$A:$I,3,0),0)</f>
        <v>0</v>
      </c>
      <c r="G1307" s="46">
        <f>IFERROR(VLOOKUP($E1307,'BASE DE DATOS'!$A:$I,3,0),0)</f>
        <v>0</v>
      </c>
      <c r="H1307" s="46">
        <f>IFERROR(VLOOKUP($E1307,'BASE DE DATOS'!$A:$I,3,0),0)</f>
        <v>0</v>
      </c>
      <c r="I1307" s="46">
        <f>IFERROR(VLOOKUP($E1307,'BASE DE DATOS'!$A:$I,3,0),0)</f>
        <v>0</v>
      </c>
      <c r="J1307" s="46">
        <f>IFERROR(VLOOKUP($E1307,'BASE DE DATOS'!$A:$I,3,0),0)</f>
        <v>0</v>
      </c>
      <c r="K1307" s="46">
        <f>IFERROR(VLOOKUP($E1566,'BASE DE DATOS'!$A:$I,3,0),0)</f>
        <v>0</v>
      </c>
      <c r="L1307" s="46">
        <f>IFERROR(VLOOKUP($E1307,'BASE DE DATOS'!$A:$I,3,0),0)</f>
        <v>0</v>
      </c>
    </row>
    <row r="1308" spans="6:12" x14ac:dyDescent="0.25">
      <c r="F1308" s="46">
        <f>IFERROR(VLOOKUP($E1321,'BASE DE DATOS'!$A:$I,3,0),0)</f>
        <v>0</v>
      </c>
      <c r="G1308" s="46">
        <f>IFERROR(VLOOKUP($E1308,'BASE DE DATOS'!$A:$I,3,0),0)</f>
        <v>0</v>
      </c>
      <c r="H1308" s="46">
        <f>IFERROR(VLOOKUP($E1308,'BASE DE DATOS'!$A:$I,3,0),0)</f>
        <v>0</v>
      </c>
      <c r="I1308" s="46">
        <f>IFERROR(VLOOKUP($E1308,'BASE DE DATOS'!$A:$I,3,0),0)</f>
        <v>0</v>
      </c>
      <c r="J1308" s="46">
        <f>IFERROR(VLOOKUP($E1308,'BASE DE DATOS'!$A:$I,3,0),0)</f>
        <v>0</v>
      </c>
      <c r="K1308" s="46">
        <f>IFERROR(VLOOKUP($E1567,'BASE DE DATOS'!$A:$I,3,0),0)</f>
        <v>0</v>
      </c>
      <c r="L1308" s="46">
        <f>IFERROR(VLOOKUP($E1308,'BASE DE DATOS'!$A:$I,3,0),0)</f>
        <v>0</v>
      </c>
    </row>
    <row r="1309" spans="6:12" x14ac:dyDescent="0.25">
      <c r="F1309" s="46">
        <f>IFERROR(VLOOKUP($E1322,'BASE DE DATOS'!$A:$I,3,0),0)</f>
        <v>0</v>
      </c>
      <c r="G1309" s="46">
        <f>IFERROR(VLOOKUP($E1309,'BASE DE DATOS'!$A:$I,3,0),0)</f>
        <v>0</v>
      </c>
      <c r="H1309" s="46">
        <f>IFERROR(VLOOKUP($E1309,'BASE DE DATOS'!$A:$I,3,0),0)</f>
        <v>0</v>
      </c>
      <c r="I1309" s="46">
        <f>IFERROR(VLOOKUP($E1309,'BASE DE DATOS'!$A:$I,3,0),0)</f>
        <v>0</v>
      </c>
      <c r="J1309" s="46">
        <f>IFERROR(VLOOKUP($E1309,'BASE DE DATOS'!$A:$I,3,0),0)</f>
        <v>0</v>
      </c>
      <c r="K1309" s="46">
        <f>IFERROR(VLOOKUP($E1568,'BASE DE DATOS'!$A:$I,3,0),0)</f>
        <v>0</v>
      </c>
      <c r="L1309" s="46">
        <f>IFERROR(VLOOKUP($E1309,'BASE DE DATOS'!$A:$I,3,0),0)</f>
        <v>0</v>
      </c>
    </row>
    <row r="1310" spans="6:12" x14ac:dyDescent="0.25">
      <c r="F1310" s="46">
        <f>IFERROR(VLOOKUP($E1323,'BASE DE DATOS'!$A:$I,3,0),0)</f>
        <v>0</v>
      </c>
      <c r="G1310" s="46">
        <f>IFERROR(VLOOKUP($E1310,'BASE DE DATOS'!$A:$I,3,0),0)</f>
        <v>0</v>
      </c>
      <c r="H1310" s="46">
        <f>IFERROR(VLOOKUP($E1310,'BASE DE DATOS'!$A:$I,3,0),0)</f>
        <v>0</v>
      </c>
      <c r="I1310" s="46">
        <f>IFERROR(VLOOKUP($E1310,'BASE DE DATOS'!$A:$I,3,0),0)</f>
        <v>0</v>
      </c>
      <c r="J1310" s="46">
        <f>IFERROR(VLOOKUP($E1310,'BASE DE DATOS'!$A:$I,3,0),0)</f>
        <v>0</v>
      </c>
      <c r="K1310" s="46">
        <f>IFERROR(VLOOKUP($E1569,'BASE DE DATOS'!$A:$I,3,0),0)</f>
        <v>0</v>
      </c>
      <c r="L1310" s="46">
        <f>IFERROR(VLOOKUP($E1310,'BASE DE DATOS'!$A:$I,3,0),0)</f>
        <v>0</v>
      </c>
    </row>
    <row r="1311" spans="6:12" x14ac:dyDescent="0.25">
      <c r="F1311" s="46">
        <f>IFERROR(VLOOKUP($E1324,'BASE DE DATOS'!$A:$I,3,0),0)</f>
        <v>0</v>
      </c>
      <c r="G1311" s="46">
        <f>IFERROR(VLOOKUP($E1311,'BASE DE DATOS'!$A:$I,3,0),0)</f>
        <v>0</v>
      </c>
      <c r="H1311" s="46">
        <f>IFERROR(VLOOKUP($E1311,'BASE DE DATOS'!$A:$I,3,0),0)</f>
        <v>0</v>
      </c>
      <c r="I1311" s="46">
        <f>IFERROR(VLOOKUP($E1311,'BASE DE DATOS'!$A:$I,3,0),0)</f>
        <v>0</v>
      </c>
      <c r="J1311" s="46">
        <f>IFERROR(VLOOKUP($E1311,'BASE DE DATOS'!$A:$I,3,0),0)</f>
        <v>0</v>
      </c>
      <c r="K1311" s="46">
        <f>IFERROR(VLOOKUP($E1570,'BASE DE DATOS'!$A:$I,3,0),0)</f>
        <v>0</v>
      </c>
      <c r="L1311" s="46">
        <f>IFERROR(VLOOKUP($E1311,'BASE DE DATOS'!$A:$I,3,0),0)</f>
        <v>0</v>
      </c>
    </row>
    <row r="1312" spans="6:12" x14ac:dyDescent="0.25">
      <c r="F1312" s="46">
        <f>IFERROR(VLOOKUP($E1325,'BASE DE DATOS'!$A:$I,3,0),0)</f>
        <v>0</v>
      </c>
      <c r="G1312" s="46">
        <f>IFERROR(VLOOKUP($E1312,'BASE DE DATOS'!$A:$I,3,0),0)</f>
        <v>0</v>
      </c>
      <c r="H1312" s="46">
        <f>IFERROR(VLOOKUP($E1312,'BASE DE DATOS'!$A:$I,3,0),0)</f>
        <v>0</v>
      </c>
      <c r="I1312" s="46">
        <f>IFERROR(VLOOKUP($E1312,'BASE DE DATOS'!$A:$I,3,0),0)</f>
        <v>0</v>
      </c>
      <c r="J1312" s="46">
        <f>IFERROR(VLOOKUP($E1312,'BASE DE DATOS'!$A:$I,3,0),0)</f>
        <v>0</v>
      </c>
      <c r="K1312" s="46">
        <f>IFERROR(VLOOKUP($E1571,'BASE DE DATOS'!$A:$I,3,0),0)</f>
        <v>0</v>
      </c>
      <c r="L1312" s="46">
        <f>IFERROR(VLOOKUP($E1312,'BASE DE DATOS'!$A:$I,3,0),0)</f>
        <v>0</v>
      </c>
    </row>
    <row r="1313" spans="6:12" x14ac:dyDescent="0.25">
      <c r="F1313" s="46">
        <f>IFERROR(VLOOKUP($E1326,'BASE DE DATOS'!$A:$I,3,0),0)</f>
        <v>0</v>
      </c>
      <c r="G1313" s="46">
        <f>IFERROR(VLOOKUP($E1313,'BASE DE DATOS'!$A:$I,3,0),0)</f>
        <v>0</v>
      </c>
      <c r="H1313" s="46">
        <f>IFERROR(VLOOKUP($E1313,'BASE DE DATOS'!$A:$I,3,0),0)</f>
        <v>0</v>
      </c>
      <c r="I1313" s="46">
        <f>IFERROR(VLOOKUP($E1313,'BASE DE DATOS'!$A:$I,3,0),0)</f>
        <v>0</v>
      </c>
      <c r="J1313" s="46">
        <f>IFERROR(VLOOKUP($E1313,'BASE DE DATOS'!$A:$I,3,0),0)</f>
        <v>0</v>
      </c>
      <c r="K1313" s="46">
        <f>IFERROR(VLOOKUP($E1572,'BASE DE DATOS'!$A:$I,3,0),0)</f>
        <v>0</v>
      </c>
      <c r="L1313" s="46">
        <f>IFERROR(VLOOKUP($E1313,'BASE DE DATOS'!$A:$I,3,0),0)</f>
        <v>0</v>
      </c>
    </row>
    <row r="1314" spans="6:12" x14ac:dyDescent="0.25">
      <c r="F1314" s="46">
        <f>IFERROR(VLOOKUP($E1327,'BASE DE DATOS'!$A:$I,3,0),0)</f>
        <v>0</v>
      </c>
      <c r="G1314" s="46">
        <f>IFERROR(VLOOKUP($E1314,'BASE DE DATOS'!$A:$I,3,0),0)</f>
        <v>0</v>
      </c>
      <c r="H1314" s="46">
        <f>IFERROR(VLOOKUP($E1314,'BASE DE DATOS'!$A:$I,3,0),0)</f>
        <v>0</v>
      </c>
      <c r="I1314" s="46">
        <f>IFERROR(VLOOKUP($E1314,'BASE DE DATOS'!$A:$I,3,0),0)</f>
        <v>0</v>
      </c>
      <c r="J1314" s="46">
        <f>IFERROR(VLOOKUP($E1314,'BASE DE DATOS'!$A:$I,3,0),0)</f>
        <v>0</v>
      </c>
      <c r="K1314" s="46">
        <f>IFERROR(VLOOKUP($E1573,'BASE DE DATOS'!$A:$I,3,0),0)</f>
        <v>0</v>
      </c>
      <c r="L1314" s="46">
        <f>IFERROR(VLOOKUP($E1314,'BASE DE DATOS'!$A:$I,3,0),0)</f>
        <v>0</v>
      </c>
    </row>
    <row r="1315" spans="6:12" x14ac:dyDescent="0.25">
      <c r="F1315" s="46">
        <f>IFERROR(VLOOKUP($E1328,'BASE DE DATOS'!$A:$I,3,0),0)</f>
        <v>0</v>
      </c>
      <c r="G1315" s="46">
        <f>IFERROR(VLOOKUP($E1315,'BASE DE DATOS'!$A:$I,3,0),0)</f>
        <v>0</v>
      </c>
      <c r="H1315" s="46">
        <f>IFERROR(VLOOKUP($E1315,'BASE DE DATOS'!$A:$I,3,0),0)</f>
        <v>0</v>
      </c>
      <c r="I1315" s="46">
        <f>IFERROR(VLOOKUP($E1315,'BASE DE DATOS'!$A:$I,3,0),0)</f>
        <v>0</v>
      </c>
      <c r="J1315" s="46">
        <f>IFERROR(VLOOKUP($E1315,'BASE DE DATOS'!$A:$I,3,0),0)</f>
        <v>0</v>
      </c>
      <c r="K1315" s="46">
        <f>IFERROR(VLOOKUP($E1574,'BASE DE DATOS'!$A:$I,3,0),0)</f>
        <v>0</v>
      </c>
      <c r="L1315" s="46">
        <f>IFERROR(VLOOKUP($E1315,'BASE DE DATOS'!$A:$I,3,0),0)</f>
        <v>0</v>
      </c>
    </row>
    <row r="1316" spans="6:12" x14ac:dyDescent="0.25">
      <c r="F1316" s="46">
        <f>IFERROR(VLOOKUP($E1329,'BASE DE DATOS'!$A:$I,3,0),0)</f>
        <v>0</v>
      </c>
      <c r="G1316" s="46">
        <f>IFERROR(VLOOKUP($E1316,'BASE DE DATOS'!$A:$I,3,0),0)</f>
        <v>0</v>
      </c>
      <c r="H1316" s="46">
        <f>IFERROR(VLOOKUP($E1316,'BASE DE DATOS'!$A:$I,3,0),0)</f>
        <v>0</v>
      </c>
      <c r="I1316" s="46">
        <f>IFERROR(VLOOKUP($E1316,'BASE DE DATOS'!$A:$I,3,0),0)</f>
        <v>0</v>
      </c>
      <c r="J1316" s="46">
        <f>IFERROR(VLOOKUP($E1316,'BASE DE DATOS'!$A:$I,3,0),0)</f>
        <v>0</v>
      </c>
      <c r="K1316" s="46">
        <f>IFERROR(VLOOKUP($E1575,'BASE DE DATOS'!$A:$I,3,0),0)</f>
        <v>0</v>
      </c>
      <c r="L1316" s="46">
        <f>IFERROR(VLOOKUP($E1316,'BASE DE DATOS'!$A:$I,3,0),0)</f>
        <v>0</v>
      </c>
    </row>
    <row r="1317" spans="6:12" x14ac:dyDescent="0.25">
      <c r="F1317" s="46">
        <f>IFERROR(VLOOKUP($E1330,'BASE DE DATOS'!$A:$I,3,0),0)</f>
        <v>0</v>
      </c>
      <c r="G1317" s="46">
        <f>IFERROR(VLOOKUP($E1317,'BASE DE DATOS'!$A:$I,3,0),0)</f>
        <v>0</v>
      </c>
      <c r="H1317" s="46">
        <f>IFERROR(VLOOKUP($E1317,'BASE DE DATOS'!$A:$I,3,0),0)</f>
        <v>0</v>
      </c>
      <c r="I1317" s="46">
        <f>IFERROR(VLOOKUP($E1317,'BASE DE DATOS'!$A:$I,3,0),0)</f>
        <v>0</v>
      </c>
      <c r="J1317" s="46">
        <f>IFERROR(VLOOKUP($E1317,'BASE DE DATOS'!$A:$I,3,0),0)</f>
        <v>0</v>
      </c>
      <c r="K1317" s="46">
        <f>IFERROR(VLOOKUP($E1576,'BASE DE DATOS'!$A:$I,3,0),0)</f>
        <v>0</v>
      </c>
      <c r="L1317" s="46">
        <f>IFERROR(VLOOKUP($E1317,'BASE DE DATOS'!$A:$I,3,0),0)</f>
        <v>0</v>
      </c>
    </row>
    <row r="1318" spans="6:12" x14ac:dyDescent="0.25">
      <c r="F1318" s="46">
        <f>IFERROR(VLOOKUP($E1331,'BASE DE DATOS'!$A:$I,3,0),0)</f>
        <v>0</v>
      </c>
      <c r="G1318" s="46">
        <f>IFERROR(VLOOKUP($E1318,'BASE DE DATOS'!$A:$I,3,0),0)</f>
        <v>0</v>
      </c>
      <c r="H1318" s="46">
        <f>IFERROR(VLOOKUP($E1318,'BASE DE DATOS'!$A:$I,3,0),0)</f>
        <v>0</v>
      </c>
      <c r="I1318" s="46">
        <f>IFERROR(VLOOKUP($E1318,'BASE DE DATOS'!$A:$I,3,0),0)</f>
        <v>0</v>
      </c>
      <c r="J1318" s="46">
        <f>IFERROR(VLOOKUP($E1318,'BASE DE DATOS'!$A:$I,3,0),0)</f>
        <v>0</v>
      </c>
      <c r="K1318" s="46">
        <f>IFERROR(VLOOKUP($E1577,'BASE DE DATOS'!$A:$I,3,0),0)</f>
        <v>0</v>
      </c>
      <c r="L1318" s="46">
        <f>IFERROR(VLOOKUP($E1318,'BASE DE DATOS'!$A:$I,3,0),0)</f>
        <v>0</v>
      </c>
    </row>
    <row r="1319" spans="6:12" x14ac:dyDescent="0.25">
      <c r="F1319" s="46">
        <f>IFERROR(VLOOKUP($E1332,'BASE DE DATOS'!$A:$I,3,0),0)</f>
        <v>0</v>
      </c>
      <c r="G1319" s="46">
        <f>IFERROR(VLOOKUP($E1319,'BASE DE DATOS'!$A:$I,3,0),0)</f>
        <v>0</v>
      </c>
      <c r="H1319" s="46">
        <f>IFERROR(VLOOKUP($E1319,'BASE DE DATOS'!$A:$I,3,0),0)</f>
        <v>0</v>
      </c>
      <c r="I1319" s="46">
        <f>IFERROR(VLOOKUP($E1319,'BASE DE DATOS'!$A:$I,3,0),0)</f>
        <v>0</v>
      </c>
      <c r="J1319" s="46">
        <f>IFERROR(VLOOKUP($E1319,'BASE DE DATOS'!$A:$I,3,0),0)</f>
        <v>0</v>
      </c>
      <c r="K1319" s="46">
        <f>IFERROR(VLOOKUP($E1578,'BASE DE DATOS'!$A:$I,3,0),0)</f>
        <v>0</v>
      </c>
      <c r="L1319" s="46">
        <f>IFERROR(VLOOKUP($E1319,'BASE DE DATOS'!$A:$I,3,0),0)</f>
        <v>0</v>
      </c>
    </row>
    <row r="1320" spans="6:12" x14ac:dyDescent="0.25">
      <c r="F1320" s="46">
        <f>IFERROR(VLOOKUP($E1333,'BASE DE DATOS'!$A:$I,3,0),0)</f>
        <v>0</v>
      </c>
      <c r="G1320" s="46">
        <f>IFERROR(VLOOKUP($E1320,'BASE DE DATOS'!$A:$I,3,0),0)</f>
        <v>0</v>
      </c>
      <c r="H1320" s="46">
        <f>IFERROR(VLOOKUP($E1320,'BASE DE DATOS'!$A:$I,3,0),0)</f>
        <v>0</v>
      </c>
      <c r="I1320" s="46">
        <f>IFERROR(VLOOKUP($E1320,'BASE DE DATOS'!$A:$I,3,0),0)</f>
        <v>0</v>
      </c>
      <c r="J1320" s="46">
        <f>IFERROR(VLOOKUP($E1320,'BASE DE DATOS'!$A:$I,3,0),0)</f>
        <v>0</v>
      </c>
      <c r="K1320" s="46">
        <f>IFERROR(VLOOKUP($E1579,'BASE DE DATOS'!$A:$I,3,0),0)</f>
        <v>0</v>
      </c>
      <c r="L1320" s="46">
        <f>IFERROR(VLOOKUP($E1320,'BASE DE DATOS'!$A:$I,3,0),0)</f>
        <v>0</v>
      </c>
    </row>
    <row r="1321" spans="6:12" x14ac:dyDescent="0.25">
      <c r="F1321" s="46">
        <f>IFERROR(VLOOKUP($E1334,'BASE DE DATOS'!$A:$I,3,0),0)</f>
        <v>0</v>
      </c>
      <c r="G1321" s="46">
        <f>IFERROR(VLOOKUP($E1321,'BASE DE DATOS'!$A:$I,3,0),0)</f>
        <v>0</v>
      </c>
      <c r="H1321" s="46">
        <f>IFERROR(VLOOKUP($E1321,'BASE DE DATOS'!$A:$I,3,0),0)</f>
        <v>0</v>
      </c>
      <c r="I1321" s="46">
        <f>IFERROR(VLOOKUP($E1321,'BASE DE DATOS'!$A:$I,3,0),0)</f>
        <v>0</v>
      </c>
      <c r="J1321" s="46">
        <f>IFERROR(VLOOKUP($E1321,'BASE DE DATOS'!$A:$I,3,0),0)</f>
        <v>0</v>
      </c>
      <c r="K1321" s="46">
        <f>IFERROR(VLOOKUP($E1580,'BASE DE DATOS'!$A:$I,3,0),0)</f>
        <v>0</v>
      </c>
      <c r="L1321" s="46">
        <f>IFERROR(VLOOKUP($E1321,'BASE DE DATOS'!$A:$I,3,0),0)</f>
        <v>0</v>
      </c>
    </row>
    <row r="1322" spans="6:12" x14ac:dyDescent="0.25">
      <c r="F1322" s="46">
        <f>IFERROR(VLOOKUP($E1335,'BASE DE DATOS'!$A:$I,3,0),0)</f>
        <v>0</v>
      </c>
      <c r="G1322" s="46">
        <f>IFERROR(VLOOKUP($E1322,'BASE DE DATOS'!$A:$I,3,0),0)</f>
        <v>0</v>
      </c>
      <c r="H1322" s="46">
        <f>IFERROR(VLOOKUP($E1322,'BASE DE DATOS'!$A:$I,3,0),0)</f>
        <v>0</v>
      </c>
      <c r="I1322" s="46">
        <f>IFERROR(VLOOKUP($E1322,'BASE DE DATOS'!$A:$I,3,0),0)</f>
        <v>0</v>
      </c>
      <c r="J1322" s="46">
        <f>IFERROR(VLOOKUP($E1322,'BASE DE DATOS'!$A:$I,3,0),0)</f>
        <v>0</v>
      </c>
      <c r="K1322" s="46">
        <f>IFERROR(VLOOKUP($E1581,'BASE DE DATOS'!$A:$I,3,0),0)</f>
        <v>0</v>
      </c>
      <c r="L1322" s="46">
        <f>IFERROR(VLOOKUP($E1322,'BASE DE DATOS'!$A:$I,3,0),0)</f>
        <v>0</v>
      </c>
    </row>
    <row r="1323" spans="6:12" x14ac:dyDescent="0.25">
      <c r="F1323" s="46">
        <f>IFERROR(VLOOKUP($E1336,'BASE DE DATOS'!$A:$I,3,0),0)</f>
        <v>0</v>
      </c>
      <c r="G1323" s="46">
        <f>IFERROR(VLOOKUP($E1323,'BASE DE DATOS'!$A:$I,3,0),0)</f>
        <v>0</v>
      </c>
      <c r="H1323" s="46">
        <f>IFERROR(VLOOKUP($E1323,'BASE DE DATOS'!$A:$I,3,0),0)</f>
        <v>0</v>
      </c>
      <c r="I1323" s="46">
        <f>IFERROR(VLOOKUP($E1323,'BASE DE DATOS'!$A:$I,3,0),0)</f>
        <v>0</v>
      </c>
      <c r="J1323" s="46">
        <f>IFERROR(VLOOKUP($E1323,'BASE DE DATOS'!$A:$I,3,0),0)</f>
        <v>0</v>
      </c>
      <c r="K1323" s="46">
        <f>IFERROR(VLOOKUP($E1582,'BASE DE DATOS'!$A:$I,3,0),0)</f>
        <v>0</v>
      </c>
      <c r="L1323" s="46">
        <f>IFERROR(VLOOKUP($E1323,'BASE DE DATOS'!$A:$I,3,0),0)</f>
        <v>0</v>
      </c>
    </row>
    <row r="1324" spans="6:12" x14ac:dyDescent="0.25">
      <c r="F1324" s="46">
        <f>IFERROR(VLOOKUP($E1337,'BASE DE DATOS'!$A:$I,3,0),0)</f>
        <v>0</v>
      </c>
      <c r="G1324" s="46">
        <f>IFERROR(VLOOKUP($E1324,'BASE DE DATOS'!$A:$I,3,0),0)</f>
        <v>0</v>
      </c>
      <c r="H1324" s="46">
        <f>IFERROR(VLOOKUP($E1324,'BASE DE DATOS'!$A:$I,3,0),0)</f>
        <v>0</v>
      </c>
      <c r="I1324" s="46">
        <f>IFERROR(VLOOKUP($E1324,'BASE DE DATOS'!$A:$I,3,0),0)</f>
        <v>0</v>
      </c>
      <c r="J1324" s="46">
        <f>IFERROR(VLOOKUP($E1324,'BASE DE DATOS'!$A:$I,3,0),0)</f>
        <v>0</v>
      </c>
      <c r="K1324" s="46">
        <f>IFERROR(VLOOKUP($E1583,'BASE DE DATOS'!$A:$I,3,0),0)</f>
        <v>0</v>
      </c>
      <c r="L1324" s="46">
        <f>IFERROR(VLOOKUP($E1324,'BASE DE DATOS'!$A:$I,3,0),0)</f>
        <v>0</v>
      </c>
    </row>
    <row r="1325" spans="6:12" x14ac:dyDescent="0.25">
      <c r="F1325" s="46">
        <f>IFERROR(VLOOKUP($E1338,'BASE DE DATOS'!$A:$I,3,0),0)</f>
        <v>0</v>
      </c>
      <c r="G1325" s="46">
        <f>IFERROR(VLOOKUP($E1325,'BASE DE DATOS'!$A:$I,3,0),0)</f>
        <v>0</v>
      </c>
      <c r="H1325" s="46">
        <f>IFERROR(VLOOKUP($E1325,'BASE DE DATOS'!$A:$I,3,0),0)</f>
        <v>0</v>
      </c>
      <c r="I1325" s="46">
        <f>IFERROR(VLOOKUP($E1325,'BASE DE DATOS'!$A:$I,3,0),0)</f>
        <v>0</v>
      </c>
      <c r="J1325" s="46">
        <f>IFERROR(VLOOKUP($E1325,'BASE DE DATOS'!$A:$I,3,0),0)</f>
        <v>0</v>
      </c>
      <c r="K1325" s="46">
        <f>IFERROR(VLOOKUP($E1584,'BASE DE DATOS'!$A:$I,3,0),0)</f>
        <v>0</v>
      </c>
      <c r="L1325" s="46">
        <f>IFERROR(VLOOKUP($E1325,'BASE DE DATOS'!$A:$I,3,0),0)</f>
        <v>0</v>
      </c>
    </row>
    <row r="1326" spans="6:12" x14ac:dyDescent="0.25">
      <c r="F1326" s="46">
        <f>IFERROR(VLOOKUP($E1339,'BASE DE DATOS'!$A:$I,3,0),0)</f>
        <v>0</v>
      </c>
      <c r="G1326" s="46">
        <f>IFERROR(VLOOKUP($E1326,'BASE DE DATOS'!$A:$I,3,0),0)</f>
        <v>0</v>
      </c>
      <c r="H1326" s="46">
        <f>IFERROR(VLOOKUP($E1326,'BASE DE DATOS'!$A:$I,3,0),0)</f>
        <v>0</v>
      </c>
      <c r="I1326" s="46">
        <f>IFERROR(VLOOKUP($E1326,'BASE DE DATOS'!$A:$I,3,0),0)</f>
        <v>0</v>
      </c>
      <c r="J1326" s="46">
        <f>IFERROR(VLOOKUP($E1326,'BASE DE DATOS'!$A:$I,3,0),0)</f>
        <v>0</v>
      </c>
      <c r="K1326" s="46">
        <f>IFERROR(VLOOKUP($E1585,'BASE DE DATOS'!$A:$I,3,0),0)</f>
        <v>0</v>
      </c>
      <c r="L1326" s="46">
        <f>IFERROR(VLOOKUP($E1326,'BASE DE DATOS'!$A:$I,3,0),0)</f>
        <v>0</v>
      </c>
    </row>
    <row r="1327" spans="6:12" x14ac:dyDescent="0.25">
      <c r="F1327" s="46">
        <f>IFERROR(VLOOKUP($E1340,'BASE DE DATOS'!$A:$I,3,0),0)</f>
        <v>0</v>
      </c>
      <c r="G1327" s="46">
        <f>IFERROR(VLOOKUP($E1327,'BASE DE DATOS'!$A:$I,3,0),0)</f>
        <v>0</v>
      </c>
      <c r="H1327" s="46">
        <f>IFERROR(VLOOKUP($E1327,'BASE DE DATOS'!$A:$I,3,0),0)</f>
        <v>0</v>
      </c>
      <c r="I1327" s="46">
        <f>IFERROR(VLOOKUP($E1327,'BASE DE DATOS'!$A:$I,3,0),0)</f>
        <v>0</v>
      </c>
      <c r="J1327" s="46">
        <f>IFERROR(VLOOKUP($E1327,'BASE DE DATOS'!$A:$I,3,0),0)</f>
        <v>0</v>
      </c>
      <c r="K1327" s="46">
        <f>IFERROR(VLOOKUP($E1586,'BASE DE DATOS'!$A:$I,3,0),0)</f>
        <v>0</v>
      </c>
      <c r="L1327" s="46">
        <f>IFERROR(VLOOKUP($E1327,'BASE DE DATOS'!$A:$I,3,0),0)</f>
        <v>0</v>
      </c>
    </row>
    <row r="1328" spans="6:12" x14ac:dyDescent="0.25">
      <c r="F1328" s="46">
        <f>IFERROR(VLOOKUP($E1341,'BASE DE DATOS'!$A:$I,3,0),0)</f>
        <v>0</v>
      </c>
      <c r="G1328" s="46">
        <f>IFERROR(VLOOKUP($E1328,'BASE DE DATOS'!$A:$I,3,0),0)</f>
        <v>0</v>
      </c>
      <c r="H1328" s="46">
        <f>IFERROR(VLOOKUP($E1328,'BASE DE DATOS'!$A:$I,3,0),0)</f>
        <v>0</v>
      </c>
      <c r="I1328" s="46">
        <f>IFERROR(VLOOKUP($E1328,'BASE DE DATOS'!$A:$I,3,0),0)</f>
        <v>0</v>
      </c>
      <c r="J1328" s="46">
        <f>IFERROR(VLOOKUP($E1328,'BASE DE DATOS'!$A:$I,3,0),0)</f>
        <v>0</v>
      </c>
      <c r="K1328" s="46">
        <f>IFERROR(VLOOKUP($E1587,'BASE DE DATOS'!$A:$I,3,0),0)</f>
        <v>0</v>
      </c>
      <c r="L1328" s="46">
        <f>IFERROR(VLOOKUP($E1328,'BASE DE DATOS'!$A:$I,3,0),0)</f>
        <v>0</v>
      </c>
    </row>
    <row r="1329" spans="6:12" x14ac:dyDescent="0.25">
      <c r="F1329" s="46">
        <f>IFERROR(VLOOKUP($E1342,'BASE DE DATOS'!$A:$I,3,0),0)</f>
        <v>0</v>
      </c>
      <c r="G1329" s="46">
        <f>IFERROR(VLOOKUP($E1329,'BASE DE DATOS'!$A:$I,3,0),0)</f>
        <v>0</v>
      </c>
      <c r="H1329" s="46">
        <f>IFERROR(VLOOKUP($E1329,'BASE DE DATOS'!$A:$I,3,0),0)</f>
        <v>0</v>
      </c>
      <c r="I1329" s="46">
        <f>IFERROR(VLOOKUP($E1329,'BASE DE DATOS'!$A:$I,3,0),0)</f>
        <v>0</v>
      </c>
      <c r="J1329" s="46">
        <f>IFERROR(VLOOKUP($E1329,'BASE DE DATOS'!$A:$I,3,0),0)</f>
        <v>0</v>
      </c>
      <c r="K1329" s="46">
        <f>IFERROR(VLOOKUP($E1588,'BASE DE DATOS'!$A:$I,3,0),0)</f>
        <v>0</v>
      </c>
      <c r="L1329" s="46">
        <f>IFERROR(VLOOKUP($E1329,'BASE DE DATOS'!$A:$I,3,0),0)</f>
        <v>0</v>
      </c>
    </row>
    <row r="1330" spans="6:12" x14ac:dyDescent="0.25">
      <c r="F1330" s="46">
        <f>IFERROR(VLOOKUP($E1343,'BASE DE DATOS'!$A:$I,3,0),0)</f>
        <v>0</v>
      </c>
      <c r="G1330" s="46">
        <f>IFERROR(VLOOKUP($E1330,'BASE DE DATOS'!$A:$I,3,0),0)</f>
        <v>0</v>
      </c>
      <c r="H1330" s="46">
        <f>IFERROR(VLOOKUP($E1330,'BASE DE DATOS'!$A:$I,3,0),0)</f>
        <v>0</v>
      </c>
      <c r="I1330" s="46">
        <f>IFERROR(VLOOKUP($E1330,'BASE DE DATOS'!$A:$I,3,0),0)</f>
        <v>0</v>
      </c>
      <c r="J1330" s="46">
        <f>IFERROR(VLOOKUP($E1330,'BASE DE DATOS'!$A:$I,3,0),0)</f>
        <v>0</v>
      </c>
      <c r="K1330" s="46">
        <f>IFERROR(VLOOKUP($E1589,'BASE DE DATOS'!$A:$I,3,0),0)</f>
        <v>0</v>
      </c>
      <c r="L1330" s="46">
        <f>IFERROR(VLOOKUP($E1330,'BASE DE DATOS'!$A:$I,3,0),0)</f>
        <v>0</v>
      </c>
    </row>
    <row r="1331" spans="6:12" x14ac:dyDescent="0.25">
      <c r="F1331" s="46">
        <f>IFERROR(VLOOKUP($E1344,'BASE DE DATOS'!$A:$I,3,0),0)</f>
        <v>0</v>
      </c>
      <c r="G1331" s="46">
        <f>IFERROR(VLOOKUP($E1331,'BASE DE DATOS'!$A:$I,3,0),0)</f>
        <v>0</v>
      </c>
      <c r="H1331" s="46">
        <f>IFERROR(VLOOKUP($E1331,'BASE DE DATOS'!$A:$I,3,0),0)</f>
        <v>0</v>
      </c>
      <c r="I1331" s="46">
        <f>IFERROR(VLOOKUP($E1331,'BASE DE DATOS'!$A:$I,3,0),0)</f>
        <v>0</v>
      </c>
      <c r="J1331" s="46">
        <f>IFERROR(VLOOKUP($E1331,'BASE DE DATOS'!$A:$I,3,0),0)</f>
        <v>0</v>
      </c>
      <c r="K1331" s="46">
        <f>IFERROR(VLOOKUP($E1590,'BASE DE DATOS'!$A:$I,3,0),0)</f>
        <v>0</v>
      </c>
      <c r="L1331" s="46">
        <f>IFERROR(VLOOKUP($E1331,'BASE DE DATOS'!$A:$I,3,0),0)</f>
        <v>0</v>
      </c>
    </row>
    <row r="1332" spans="6:12" x14ac:dyDescent="0.25">
      <c r="F1332" s="46">
        <f>IFERROR(VLOOKUP($E1345,'BASE DE DATOS'!$A:$I,3,0),0)</f>
        <v>0</v>
      </c>
      <c r="G1332" s="46">
        <f>IFERROR(VLOOKUP($E1332,'BASE DE DATOS'!$A:$I,3,0),0)</f>
        <v>0</v>
      </c>
      <c r="H1332" s="46">
        <f>IFERROR(VLOOKUP($E1332,'BASE DE DATOS'!$A:$I,3,0),0)</f>
        <v>0</v>
      </c>
      <c r="I1332" s="46">
        <f>IFERROR(VLOOKUP($E1332,'BASE DE DATOS'!$A:$I,3,0),0)</f>
        <v>0</v>
      </c>
      <c r="J1332" s="46">
        <f>IFERROR(VLOOKUP($E1332,'BASE DE DATOS'!$A:$I,3,0),0)</f>
        <v>0</v>
      </c>
      <c r="K1332" s="46">
        <f>IFERROR(VLOOKUP($E1591,'BASE DE DATOS'!$A:$I,3,0),0)</f>
        <v>0</v>
      </c>
      <c r="L1332" s="46">
        <f>IFERROR(VLOOKUP($E1332,'BASE DE DATOS'!$A:$I,3,0),0)</f>
        <v>0</v>
      </c>
    </row>
    <row r="1333" spans="6:12" x14ac:dyDescent="0.25">
      <c r="F1333" s="46">
        <f>IFERROR(VLOOKUP($E1346,'BASE DE DATOS'!$A:$I,3,0),0)</f>
        <v>0</v>
      </c>
      <c r="G1333" s="46">
        <f>IFERROR(VLOOKUP($E1333,'BASE DE DATOS'!$A:$I,3,0),0)</f>
        <v>0</v>
      </c>
      <c r="H1333" s="46">
        <f>IFERROR(VLOOKUP($E1333,'BASE DE DATOS'!$A:$I,3,0),0)</f>
        <v>0</v>
      </c>
      <c r="I1333" s="46">
        <f>IFERROR(VLOOKUP($E1333,'BASE DE DATOS'!$A:$I,3,0),0)</f>
        <v>0</v>
      </c>
      <c r="J1333" s="46">
        <f>IFERROR(VLOOKUP($E1333,'BASE DE DATOS'!$A:$I,3,0),0)</f>
        <v>0</v>
      </c>
      <c r="K1333" s="46">
        <f>IFERROR(VLOOKUP($E1592,'BASE DE DATOS'!$A:$I,3,0),0)</f>
        <v>0</v>
      </c>
      <c r="L1333" s="46">
        <f>IFERROR(VLOOKUP($E1333,'BASE DE DATOS'!$A:$I,3,0),0)</f>
        <v>0</v>
      </c>
    </row>
    <row r="1334" spans="6:12" x14ac:dyDescent="0.25">
      <c r="F1334" s="46">
        <f>IFERROR(VLOOKUP($E1347,'BASE DE DATOS'!$A:$I,3,0),0)</f>
        <v>0</v>
      </c>
      <c r="G1334" s="46">
        <f>IFERROR(VLOOKUP($E1334,'BASE DE DATOS'!$A:$I,3,0),0)</f>
        <v>0</v>
      </c>
      <c r="H1334" s="46">
        <f>IFERROR(VLOOKUP($E1334,'BASE DE DATOS'!$A:$I,3,0),0)</f>
        <v>0</v>
      </c>
      <c r="I1334" s="46">
        <f>IFERROR(VLOOKUP($E1334,'BASE DE DATOS'!$A:$I,3,0),0)</f>
        <v>0</v>
      </c>
      <c r="J1334" s="46">
        <f>IFERROR(VLOOKUP($E1334,'BASE DE DATOS'!$A:$I,3,0),0)</f>
        <v>0</v>
      </c>
      <c r="K1334" s="46">
        <f>IFERROR(VLOOKUP($E1593,'BASE DE DATOS'!$A:$I,3,0),0)</f>
        <v>0</v>
      </c>
      <c r="L1334" s="46">
        <f>IFERROR(VLOOKUP($E1334,'BASE DE DATOS'!$A:$I,3,0),0)</f>
        <v>0</v>
      </c>
    </row>
    <row r="1335" spans="6:12" x14ac:dyDescent="0.25">
      <c r="F1335" s="46">
        <f>IFERROR(VLOOKUP($E1348,'BASE DE DATOS'!$A:$I,3,0),0)</f>
        <v>0</v>
      </c>
      <c r="G1335" s="46">
        <f>IFERROR(VLOOKUP($E1335,'BASE DE DATOS'!$A:$I,3,0),0)</f>
        <v>0</v>
      </c>
      <c r="H1335" s="46">
        <f>IFERROR(VLOOKUP($E1335,'BASE DE DATOS'!$A:$I,3,0),0)</f>
        <v>0</v>
      </c>
      <c r="I1335" s="46">
        <f>IFERROR(VLOOKUP($E1335,'BASE DE DATOS'!$A:$I,3,0),0)</f>
        <v>0</v>
      </c>
      <c r="J1335" s="46">
        <f>IFERROR(VLOOKUP($E1335,'BASE DE DATOS'!$A:$I,3,0),0)</f>
        <v>0</v>
      </c>
      <c r="K1335" s="46">
        <f>IFERROR(VLOOKUP($E1594,'BASE DE DATOS'!$A:$I,3,0),0)</f>
        <v>0</v>
      </c>
      <c r="L1335" s="46">
        <f>IFERROR(VLOOKUP($E1335,'BASE DE DATOS'!$A:$I,3,0),0)</f>
        <v>0</v>
      </c>
    </row>
    <row r="1336" spans="6:12" x14ac:dyDescent="0.25">
      <c r="F1336" s="46">
        <f>IFERROR(VLOOKUP($E1349,'BASE DE DATOS'!$A:$I,3,0),0)</f>
        <v>0</v>
      </c>
      <c r="G1336" s="46">
        <f>IFERROR(VLOOKUP($E1336,'BASE DE DATOS'!$A:$I,3,0),0)</f>
        <v>0</v>
      </c>
      <c r="H1336" s="46">
        <f>IFERROR(VLOOKUP($E1336,'BASE DE DATOS'!$A:$I,3,0),0)</f>
        <v>0</v>
      </c>
      <c r="I1336" s="46">
        <f>IFERROR(VLOOKUP($E1336,'BASE DE DATOS'!$A:$I,3,0),0)</f>
        <v>0</v>
      </c>
      <c r="J1336" s="46">
        <f>IFERROR(VLOOKUP($E1336,'BASE DE DATOS'!$A:$I,3,0),0)</f>
        <v>0</v>
      </c>
      <c r="K1336" s="46">
        <f>IFERROR(VLOOKUP($E1595,'BASE DE DATOS'!$A:$I,3,0),0)</f>
        <v>0</v>
      </c>
      <c r="L1336" s="46">
        <f>IFERROR(VLOOKUP($E1336,'BASE DE DATOS'!$A:$I,3,0),0)</f>
        <v>0</v>
      </c>
    </row>
    <row r="1337" spans="6:12" x14ac:dyDescent="0.25">
      <c r="F1337" s="46">
        <f>IFERROR(VLOOKUP($E1350,'BASE DE DATOS'!$A:$I,3,0),0)</f>
        <v>0</v>
      </c>
      <c r="G1337" s="46">
        <f>IFERROR(VLOOKUP($E1337,'BASE DE DATOS'!$A:$I,3,0),0)</f>
        <v>0</v>
      </c>
      <c r="H1337" s="46">
        <f>IFERROR(VLOOKUP($E1337,'BASE DE DATOS'!$A:$I,3,0),0)</f>
        <v>0</v>
      </c>
      <c r="I1337" s="46">
        <f>IFERROR(VLOOKUP($E1337,'BASE DE DATOS'!$A:$I,3,0),0)</f>
        <v>0</v>
      </c>
      <c r="J1337" s="46">
        <f>IFERROR(VLOOKUP($E1337,'BASE DE DATOS'!$A:$I,3,0),0)</f>
        <v>0</v>
      </c>
      <c r="K1337" s="46">
        <f>IFERROR(VLOOKUP($E1596,'BASE DE DATOS'!$A:$I,3,0),0)</f>
        <v>0</v>
      </c>
      <c r="L1337" s="46">
        <f>IFERROR(VLOOKUP($E1337,'BASE DE DATOS'!$A:$I,3,0),0)</f>
        <v>0</v>
      </c>
    </row>
    <row r="1338" spans="6:12" x14ac:dyDescent="0.25">
      <c r="F1338" s="46">
        <f>IFERROR(VLOOKUP($E1351,'BASE DE DATOS'!$A:$I,3,0),0)</f>
        <v>0</v>
      </c>
      <c r="G1338" s="46">
        <f>IFERROR(VLOOKUP($E1338,'BASE DE DATOS'!$A:$I,3,0),0)</f>
        <v>0</v>
      </c>
      <c r="H1338" s="46">
        <f>IFERROR(VLOOKUP($E1338,'BASE DE DATOS'!$A:$I,3,0),0)</f>
        <v>0</v>
      </c>
      <c r="I1338" s="46">
        <f>IFERROR(VLOOKUP($E1338,'BASE DE DATOS'!$A:$I,3,0),0)</f>
        <v>0</v>
      </c>
      <c r="J1338" s="46">
        <f>IFERROR(VLOOKUP($E1338,'BASE DE DATOS'!$A:$I,3,0),0)</f>
        <v>0</v>
      </c>
      <c r="K1338" s="46">
        <f>IFERROR(VLOOKUP($E1597,'BASE DE DATOS'!$A:$I,3,0),0)</f>
        <v>0</v>
      </c>
      <c r="L1338" s="46">
        <f>IFERROR(VLOOKUP($E1338,'BASE DE DATOS'!$A:$I,3,0),0)</f>
        <v>0</v>
      </c>
    </row>
    <row r="1339" spans="6:12" x14ac:dyDescent="0.25">
      <c r="F1339" s="46">
        <f>IFERROR(VLOOKUP($E1352,'BASE DE DATOS'!$A:$I,3,0),0)</f>
        <v>0</v>
      </c>
      <c r="G1339" s="46">
        <f>IFERROR(VLOOKUP($E1339,'BASE DE DATOS'!$A:$I,3,0),0)</f>
        <v>0</v>
      </c>
      <c r="H1339" s="46">
        <f>IFERROR(VLOOKUP($E1339,'BASE DE DATOS'!$A:$I,3,0),0)</f>
        <v>0</v>
      </c>
      <c r="I1339" s="46">
        <f>IFERROR(VLOOKUP($E1339,'BASE DE DATOS'!$A:$I,3,0),0)</f>
        <v>0</v>
      </c>
      <c r="J1339" s="46">
        <f>IFERROR(VLOOKUP($E1339,'BASE DE DATOS'!$A:$I,3,0),0)</f>
        <v>0</v>
      </c>
      <c r="K1339" s="46">
        <f>IFERROR(VLOOKUP($E1598,'BASE DE DATOS'!$A:$I,3,0),0)</f>
        <v>0</v>
      </c>
      <c r="L1339" s="46">
        <f>IFERROR(VLOOKUP($E1339,'BASE DE DATOS'!$A:$I,3,0),0)</f>
        <v>0</v>
      </c>
    </row>
    <row r="1340" spans="6:12" x14ac:dyDescent="0.25">
      <c r="F1340" s="46">
        <f>IFERROR(VLOOKUP($E1353,'BASE DE DATOS'!$A:$I,3,0),0)</f>
        <v>0</v>
      </c>
      <c r="G1340" s="46">
        <f>IFERROR(VLOOKUP($E1340,'BASE DE DATOS'!$A:$I,3,0),0)</f>
        <v>0</v>
      </c>
      <c r="H1340" s="46">
        <f>IFERROR(VLOOKUP($E1340,'BASE DE DATOS'!$A:$I,3,0),0)</f>
        <v>0</v>
      </c>
      <c r="I1340" s="46">
        <f>IFERROR(VLOOKUP($E1340,'BASE DE DATOS'!$A:$I,3,0),0)</f>
        <v>0</v>
      </c>
      <c r="J1340" s="46">
        <f>IFERROR(VLOOKUP($E1340,'BASE DE DATOS'!$A:$I,3,0),0)</f>
        <v>0</v>
      </c>
      <c r="K1340" s="46">
        <f>IFERROR(VLOOKUP($E1599,'BASE DE DATOS'!$A:$I,3,0),0)</f>
        <v>0</v>
      </c>
      <c r="L1340" s="46">
        <f>IFERROR(VLOOKUP($E1340,'BASE DE DATOS'!$A:$I,3,0),0)</f>
        <v>0</v>
      </c>
    </row>
    <row r="1341" spans="6:12" x14ac:dyDescent="0.25">
      <c r="F1341" s="46">
        <f>IFERROR(VLOOKUP($E1354,'BASE DE DATOS'!$A:$I,3,0),0)</f>
        <v>0</v>
      </c>
      <c r="G1341" s="46">
        <f>IFERROR(VLOOKUP($E1341,'BASE DE DATOS'!$A:$I,3,0),0)</f>
        <v>0</v>
      </c>
      <c r="H1341" s="46">
        <f>IFERROR(VLOOKUP($E1341,'BASE DE DATOS'!$A:$I,3,0),0)</f>
        <v>0</v>
      </c>
      <c r="I1341" s="46">
        <f>IFERROR(VLOOKUP($E1341,'BASE DE DATOS'!$A:$I,3,0),0)</f>
        <v>0</v>
      </c>
      <c r="J1341" s="46">
        <f>IFERROR(VLOOKUP($E1341,'BASE DE DATOS'!$A:$I,3,0),0)</f>
        <v>0</v>
      </c>
      <c r="K1341" s="46">
        <f>IFERROR(VLOOKUP($E1600,'BASE DE DATOS'!$A:$I,3,0),0)</f>
        <v>0</v>
      </c>
      <c r="L1341" s="46">
        <f>IFERROR(VLOOKUP($E1341,'BASE DE DATOS'!$A:$I,3,0),0)</f>
        <v>0</v>
      </c>
    </row>
    <row r="1342" spans="6:12" x14ac:dyDescent="0.25">
      <c r="F1342" s="46">
        <f>IFERROR(VLOOKUP($E1355,'BASE DE DATOS'!$A:$I,3,0),0)</f>
        <v>0</v>
      </c>
      <c r="G1342" s="46">
        <f>IFERROR(VLOOKUP($E1342,'BASE DE DATOS'!$A:$I,3,0),0)</f>
        <v>0</v>
      </c>
      <c r="H1342" s="46">
        <f>IFERROR(VLOOKUP($E1342,'BASE DE DATOS'!$A:$I,3,0),0)</f>
        <v>0</v>
      </c>
      <c r="I1342" s="46">
        <f>IFERROR(VLOOKUP($E1342,'BASE DE DATOS'!$A:$I,3,0),0)</f>
        <v>0</v>
      </c>
      <c r="J1342" s="46">
        <f>IFERROR(VLOOKUP($E1342,'BASE DE DATOS'!$A:$I,3,0),0)</f>
        <v>0</v>
      </c>
      <c r="K1342" s="46">
        <f>IFERROR(VLOOKUP($E1601,'BASE DE DATOS'!$A:$I,3,0),0)</f>
        <v>0</v>
      </c>
      <c r="L1342" s="46">
        <f>IFERROR(VLOOKUP($E1342,'BASE DE DATOS'!$A:$I,3,0),0)</f>
        <v>0</v>
      </c>
    </row>
    <row r="1343" spans="6:12" x14ac:dyDescent="0.25">
      <c r="F1343" s="46">
        <f>IFERROR(VLOOKUP($E1356,'BASE DE DATOS'!$A:$I,3,0),0)</f>
        <v>0</v>
      </c>
      <c r="G1343" s="46">
        <f>IFERROR(VLOOKUP($E1343,'BASE DE DATOS'!$A:$I,3,0),0)</f>
        <v>0</v>
      </c>
      <c r="H1343" s="46">
        <f>IFERROR(VLOOKUP($E1343,'BASE DE DATOS'!$A:$I,3,0),0)</f>
        <v>0</v>
      </c>
      <c r="I1343" s="46">
        <f>IFERROR(VLOOKUP($E1343,'BASE DE DATOS'!$A:$I,3,0),0)</f>
        <v>0</v>
      </c>
      <c r="J1343" s="46">
        <f>IFERROR(VLOOKUP($E1343,'BASE DE DATOS'!$A:$I,3,0),0)</f>
        <v>0</v>
      </c>
      <c r="K1343" s="46">
        <f>IFERROR(VLOOKUP($E1602,'BASE DE DATOS'!$A:$I,3,0),0)</f>
        <v>0</v>
      </c>
      <c r="L1343" s="46">
        <f>IFERROR(VLOOKUP($E1343,'BASE DE DATOS'!$A:$I,3,0),0)</f>
        <v>0</v>
      </c>
    </row>
    <row r="1344" spans="6:12" x14ac:dyDescent="0.25">
      <c r="F1344" s="46">
        <f>IFERROR(VLOOKUP($E1357,'BASE DE DATOS'!$A:$I,3,0),0)</f>
        <v>0</v>
      </c>
      <c r="G1344" s="46">
        <f>IFERROR(VLOOKUP($E1344,'BASE DE DATOS'!$A:$I,3,0),0)</f>
        <v>0</v>
      </c>
      <c r="H1344" s="46">
        <f>IFERROR(VLOOKUP($E1344,'BASE DE DATOS'!$A:$I,3,0),0)</f>
        <v>0</v>
      </c>
      <c r="I1344" s="46">
        <f>IFERROR(VLOOKUP($E1344,'BASE DE DATOS'!$A:$I,3,0),0)</f>
        <v>0</v>
      </c>
      <c r="J1344" s="46">
        <f>IFERROR(VLOOKUP($E1344,'BASE DE DATOS'!$A:$I,3,0),0)</f>
        <v>0</v>
      </c>
      <c r="K1344" s="46">
        <f>IFERROR(VLOOKUP($E1603,'BASE DE DATOS'!$A:$I,3,0),0)</f>
        <v>0</v>
      </c>
      <c r="L1344" s="46">
        <f>IFERROR(VLOOKUP($E1344,'BASE DE DATOS'!$A:$I,3,0),0)</f>
        <v>0</v>
      </c>
    </row>
    <row r="1345" spans="6:12" x14ac:dyDescent="0.25">
      <c r="F1345" s="46">
        <f>IFERROR(VLOOKUP($E1358,'BASE DE DATOS'!$A:$I,3,0),0)</f>
        <v>0</v>
      </c>
      <c r="G1345" s="46">
        <f>IFERROR(VLOOKUP($E1345,'BASE DE DATOS'!$A:$I,3,0),0)</f>
        <v>0</v>
      </c>
      <c r="H1345" s="46">
        <f>IFERROR(VLOOKUP($E1345,'BASE DE DATOS'!$A:$I,3,0),0)</f>
        <v>0</v>
      </c>
      <c r="I1345" s="46">
        <f>IFERROR(VLOOKUP($E1345,'BASE DE DATOS'!$A:$I,3,0),0)</f>
        <v>0</v>
      </c>
      <c r="J1345" s="46">
        <f>IFERROR(VLOOKUP($E1345,'BASE DE DATOS'!$A:$I,3,0),0)</f>
        <v>0</v>
      </c>
      <c r="K1345" s="46">
        <f>IFERROR(VLOOKUP($E1604,'BASE DE DATOS'!$A:$I,3,0),0)</f>
        <v>0</v>
      </c>
      <c r="L1345" s="46">
        <f>IFERROR(VLOOKUP($E1345,'BASE DE DATOS'!$A:$I,3,0),0)</f>
        <v>0</v>
      </c>
    </row>
    <row r="1346" spans="6:12" x14ac:dyDescent="0.25">
      <c r="F1346" s="46">
        <f>IFERROR(VLOOKUP($E1359,'BASE DE DATOS'!$A:$I,3,0),0)</f>
        <v>0</v>
      </c>
      <c r="G1346" s="46">
        <f>IFERROR(VLOOKUP($E1346,'BASE DE DATOS'!$A:$I,3,0),0)</f>
        <v>0</v>
      </c>
      <c r="H1346" s="46">
        <f>IFERROR(VLOOKUP($E1346,'BASE DE DATOS'!$A:$I,3,0),0)</f>
        <v>0</v>
      </c>
      <c r="I1346" s="46">
        <f>IFERROR(VLOOKUP($E1346,'BASE DE DATOS'!$A:$I,3,0),0)</f>
        <v>0</v>
      </c>
      <c r="J1346" s="46">
        <f>IFERROR(VLOOKUP($E1346,'BASE DE DATOS'!$A:$I,3,0),0)</f>
        <v>0</v>
      </c>
      <c r="K1346" s="46">
        <f>IFERROR(VLOOKUP($E1605,'BASE DE DATOS'!$A:$I,3,0),0)</f>
        <v>0</v>
      </c>
      <c r="L1346" s="46">
        <f>IFERROR(VLOOKUP($E1346,'BASE DE DATOS'!$A:$I,3,0),0)</f>
        <v>0</v>
      </c>
    </row>
    <row r="1347" spans="6:12" x14ac:dyDescent="0.25">
      <c r="F1347" s="46">
        <f>IFERROR(VLOOKUP($E1360,'BASE DE DATOS'!$A:$I,3,0),0)</f>
        <v>0</v>
      </c>
      <c r="G1347" s="46">
        <f>IFERROR(VLOOKUP($E1347,'BASE DE DATOS'!$A:$I,3,0),0)</f>
        <v>0</v>
      </c>
      <c r="H1347" s="46">
        <f>IFERROR(VLOOKUP($E1347,'BASE DE DATOS'!$A:$I,3,0),0)</f>
        <v>0</v>
      </c>
      <c r="I1347" s="46">
        <f>IFERROR(VLOOKUP($E1347,'BASE DE DATOS'!$A:$I,3,0),0)</f>
        <v>0</v>
      </c>
      <c r="J1347" s="46">
        <f>IFERROR(VLOOKUP($E1347,'BASE DE DATOS'!$A:$I,3,0),0)</f>
        <v>0</v>
      </c>
      <c r="K1347" s="46">
        <f>IFERROR(VLOOKUP($E1606,'BASE DE DATOS'!$A:$I,3,0),0)</f>
        <v>0</v>
      </c>
      <c r="L1347" s="46">
        <f>IFERROR(VLOOKUP($E1347,'BASE DE DATOS'!$A:$I,3,0),0)</f>
        <v>0</v>
      </c>
    </row>
    <row r="1348" spans="6:12" x14ac:dyDescent="0.25">
      <c r="F1348" s="46">
        <f>IFERROR(VLOOKUP($E1361,'BASE DE DATOS'!$A:$I,3,0),0)</f>
        <v>0</v>
      </c>
      <c r="G1348" s="46">
        <f>IFERROR(VLOOKUP($E1348,'BASE DE DATOS'!$A:$I,3,0),0)</f>
        <v>0</v>
      </c>
      <c r="H1348" s="46">
        <f>IFERROR(VLOOKUP($E1348,'BASE DE DATOS'!$A:$I,3,0),0)</f>
        <v>0</v>
      </c>
      <c r="I1348" s="46">
        <f>IFERROR(VLOOKUP($E1348,'BASE DE DATOS'!$A:$I,3,0),0)</f>
        <v>0</v>
      </c>
      <c r="J1348" s="46">
        <f>IFERROR(VLOOKUP($E1348,'BASE DE DATOS'!$A:$I,3,0),0)</f>
        <v>0</v>
      </c>
      <c r="K1348" s="46">
        <f>IFERROR(VLOOKUP($E1607,'BASE DE DATOS'!$A:$I,3,0),0)</f>
        <v>0</v>
      </c>
      <c r="L1348" s="46">
        <f>IFERROR(VLOOKUP($E1348,'BASE DE DATOS'!$A:$I,3,0),0)</f>
        <v>0</v>
      </c>
    </row>
    <row r="1349" spans="6:12" x14ac:dyDescent="0.25">
      <c r="F1349" s="46">
        <f>IFERROR(VLOOKUP($E1362,'BASE DE DATOS'!$A:$I,3,0),0)</f>
        <v>0</v>
      </c>
      <c r="G1349" s="46">
        <f>IFERROR(VLOOKUP($E1349,'BASE DE DATOS'!$A:$I,3,0),0)</f>
        <v>0</v>
      </c>
      <c r="H1349" s="46">
        <f>IFERROR(VLOOKUP($E1349,'BASE DE DATOS'!$A:$I,3,0),0)</f>
        <v>0</v>
      </c>
      <c r="I1349" s="46">
        <f>IFERROR(VLOOKUP($E1349,'BASE DE DATOS'!$A:$I,3,0),0)</f>
        <v>0</v>
      </c>
      <c r="J1349" s="46">
        <f>IFERROR(VLOOKUP($E1349,'BASE DE DATOS'!$A:$I,3,0),0)</f>
        <v>0</v>
      </c>
      <c r="K1349" s="46">
        <f>IFERROR(VLOOKUP($E1608,'BASE DE DATOS'!$A:$I,3,0),0)</f>
        <v>0</v>
      </c>
      <c r="L1349" s="46">
        <f>IFERROR(VLOOKUP($E1349,'BASE DE DATOS'!$A:$I,3,0),0)</f>
        <v>0</v>
      </c>
    </row>
    <row r="1350" spans="6:12" x14ac:dyDescent="0.25">
      <c r="F1350" s="46">
        <f>IFERROR(VLOOKUP($E1363,'BASE DE DATOS'!$A:$I,3,0),0)</f>
        <v>0</v>
      </c>
      <c r="G1350" s="46">
        <f>IFERROR(VLOOKUP($E1350,'BASE DE DATOS'!$A:$I,3,0),0)</f>
        <v>0</v>
      </c>
      <c r="H1350" s="46">
        <f>IFERROR(VLOOKUP($E1350,'BASE DE DATOS'!$A:$I,3,0),0)</f>
        <v>0</v>
      </c>
      <c r="I1350" s="46">
        <f>IFERROR(VLOOKUP($E1350,'BASE DE DATOS'!$A:$I,3,0),0)</f>
        <v>0</v>
      </c>
      <c r="J1350" s="46">
        <f>IFERROR(VLOOKUP($E1350,'BASE DE DATOS'!$A:$I,3,0),0)</f>
        <v>0</v>
      </c>
      <c r="K1350" s="46">
        <f>IFERROR(VLOOKUP($E1609,'BASE DE DATOS'!$A:$I,3,0),0)</f>
        <v>0</v>
      </c>
      <c r="L1350" s="46">
        <f>IFERROR(VLOOKUP($E1350,'BASE DE DATOS'!$A:$I,3,0),0)</f>
        <v>0</v>
      </c>
    </row>
    <row r="1351" spans="6:12" x14ac:dyDescent="0.25">
      <c r="F1351" s="46">
        <f>IFERROR(VLOOKUP($E1364,'BASE DE DATOS'!$A:$I,3,0),0)</f>
        <v>0</v>
      </c>
      <c r="G1351" s="46">
        <f>IFERROR(VLOOKUP($E1351,'BASE DE DATOS'!$A:$I,3,0),0)</f>
        <v>0</v>
      </c>
      <c r="H1351" s="46">
        <f>IFERROR(VLOOKUP($E1351,'BASE DE DATOS'!$A:$I,3,0),0)</f>
        <v>0</v>
      </c>
      <c r="I1351" s="46">
        <f>IFERROR(VLOOKUP($E1351,'BASE DE DATOS'!$A:$I,3,0),0)</f>
        <v>0</v>
      </c>
      <c r="J1351" s="46">
        <f>IFERROR(VLOOKUP($E1351,'BASE DE DATOS'!$A:$I,3,0),0)</f>
        <v>0</v>
      </c>
      <c r="K1351" s="46">
        <f>IFERROR(VLOOKUP($E1610,'BASE DE DATOS'!$A:$I,3,0),0)</f>
        <v>0</v>
      </c>
      <c r="L1351" s="46">
        <f>IFERROR(VLOOKUP($E1351,'BASE DE DATOS'!$A:$I,3,0),0)</f>
        <v>0</v>
      </c>
    </row>
    <row r="1352" spans="6:12" x14ac:dyDescent="0.25">
      <c r="F1352" s="46">
        <f>IFERROR(VLOOKUP($E1365,'BASE DE DATOS'!$A:$I,3,0),0)</f>
        <v>0</v>
      </c>
      <c r="G1352" s="46">
        <f>IFERROR(VLOOKUP($E1352,'BASE DE DATOS'!$A:$I,3,0),0)</f>
        <v>0</v>
      </c>
      <c r="H1352" s="46">
        <f>IFERROR(VLOOKUP($E1352,'BASE DE DATOS'!$A:$I,3,0),0)</f>
        <v>0</v>
      </c>
      <c r="I1352" s="46">
        <f>IFERROR(VLOOKUP($E1352,'BASE DE DATOS'!$A:$I,3,0),0)</f>
        <v>0</v>
      </c>
      <c r="J1352" s="46">
        <f>IFERROR(VLOOKUP($E1352,'BASE DE DATOS'!$A:$I,3,0),0)</f>
        <v>0</v>
      </c>
      <c r="K1352" s="46">
        <f>IFERROR(VLOOKUP($E1611,'BASE DE DATOS'!$A:$I,3,0),0)</f>
        <v>0</v>
      </c>
      <c r="L1352" s="46">
        <f>IFERROR(VLOOKUP($E1352,'BASE DE DATOS'!$A:$I,3,0),0)</f>
        <v>0</v>
      </c>
    </row>
    <row r="1353" spans="6:12" x14ac:dyDescent="0.25">
      <c r="F1353" s="46">
        <f>IFERROR(VLOOKUP($E1366,'BASE DE DATOS'!$A:$I,3,0),0)</f>
        <v>0</v>
      </c>
      <c r="G1353" s="46">
        <f>IFERROR(VLOOKUP($E1353,'BASE DE DATOS'!$A:$I,3,0),0)</f>
        <v>0</v>
      </c>
      <c r="H1353" s="46">
        <f>IFERROR(VLOOKUP($E1353,'BASE DE DATOS'!$A:$I,3,0),0)</f>
        <v>0</v>
      </c>
      <c r="I1353" s="46">
        <f>IFERROR(VLOOKUP($E1353,'BASE DE DATOS'!$A:$I,3,0),0)</f>
        <v>0</v>
      </c>
      <c r="J1353" s="46">
        <f>IFERROR(VLOOKUP($E1353,'BASE DE DATOS'!$A:$I,3,0),0)</f>
        <v>0</v>
      </c>
      <c r="K1353" s="46">
        <f>IFERROR(VLOOKUP($E1612,'BASE DE DATOS'!$A:$I,3,0),0)</f>
        <v>0</v>
      </c>
      <c r="L1353" s="46">
        <f>IFERROR(VLOOKUP($E1353,'BASE DE DATOS'!$A:$I,3,0),0)</f>
        <v>0</v>
      </c>
    </row>
    <row r="1354" spans="6:12" x14ac:dyDescent="0.25">
      <c r="F1354" s="46">
        <f>IFERROR(VLOOKUP($E1367,'BASE DE DATOS'!$A:$I,3,0),0)</f>
        <v>0</v>
      </c>
      <c r="G1354" s="46">
        <f>IFERROR(VLOOKUP($E1354,'BASE DE DATOS'!$A:$I,3,0),0)</f>
        <v>0</v>
      </c>
      <c r="H1354" s="46">
        <f>IFERROR(VLOOKUP($E1354,'BASE DE DATOS'!$A:$I,3,0),0)</f>
        <v>0</v>
      </c>
      <c r="I1354" s="46">
        <f>IFERROR(VLOOKUP($E1354,'BASE DE DATOS'!$A:$I,3,0),0)</f>
        <v>0</v>
      </c>
      <c r="J1354" s="46">
        <f>IFERROR(VLOOKUP($E1354,'BASE DE DATOS'!$A:$I,3,0),0)</f>
        <v>0</v>
      </c>
      <c r="K1354" s="46">
        <f>IFERROR(VLOOKUP($E1613,'BASE DE DATOS'!$A:$I,3,0),0)</f>
        <v>0</v>
      </c>
      <c r="L1354" s="46">
        <f>IFERROR(VLOOKUP($E1354,'BASE DE DATOS'!$A:$I,3,0),0)</f>
        <v>0</v>
      </c>
    </row>
    <row r="1355" spans="6:12" x14ac:dyDescent="0.25">
      <c r="F1355" s="46">
        <f>IFERROR(VLOOKUP($E1368,'BASE DE DATOS'!$A:$I,3,0),0)</f>
        <v>0</v>
      </c>
      <c r="G1355" s="46">
        <f>IFERROR(VLOOKUP($E1355,'BASE DE DATOS'!$A:$I,3,0),0)</f>
        <v>0</v>
      </c>
      <c r="H1355" s="46">
        <f>IFERROR(VLOOKUP($E1355,'BASE DE DATOS'!$A:$I,3,0),0)</f>
        <v>0</v>
      </c>
      <c r="I1355" s="46">
        <f>IFERROR(VLOOKUP($E1355,'BASE DE DATOS'!$A:$I,3,0),0)</f>
        <v>0</v>
      </c>
      <c r="J1355" s="46">
        <f>IFERROR(VLOOKUP($E1355,'BASE DE DATOS'!$A:$I,3,0),0)</f>
        <v>0</v>
      </c>
      <c r="K1355" s="46">
        <f>IFERROR(VLOOKUP($E1614,'BASE DE DATOS'!$A:$I,3,0),0)</f>
        <v>0</v>
      </c>
      <c r="L1355" s="46">
        <f>IFERROR(VLOOKUP($E1355,'BASE DE DATOS'!$A:$I,3,0),0)</f>
        <v>0</v>
      </c>
    </row>
    <row r="1356" spans="6:12" x14ac:dyDescent="0.25">
      <c r="F1356" s="46">
        <f>IFERROR(VLOOKUP($E1369,'BASE DE DATOS'!$A:$I,3,0),0)</f>
        <v>0</v>
      </c>
      <c r="G1356" s="46">
        <f>IFERROR(VLOOKUP($E1356,'BASE DE DATOS'!$A:$I,3,0),0)</f>
        <v>0</v>
      </c>
      <c r="H1356" s="46">
        <f>IFERROR(VLOOKUP($E1356,'BASE DE DATOS'!$A:$I,3,0),0)</f>
        <v>0</v>
      </c>
      <c r="I1356" s="46">
        <f>IFERROR(VLOOKUP($E1356,'BASE DE DATOS'!$A:$I,3,0),0)</f>
        <v>0</v>
      </c>
      <c r="J1356" s="46">
        <f>IFERROR(VLOOKUP($E1356,'BASE DE DATOS'!$A:$I,3,0),0)</f>
        <v>0</v>
      </c>
      <c r="K1356" s="46">
        <f>IFERROR(VLOOKUP($E1615,'BASE DE DATOS'!$A:$I,3,0),0)</f>
        <v>0</v>
      </c>
      <c r="L1356" s="46">
        <f>IFERROR(VLOOKUP($E1356,'BASE DE DATOS'!$A:$I,3,0),0)</f>
        <v>0</v>
      </c>
    </row>
    <row r="1357" spans="6:12" x14ac:dyDescent="0.25">
      <c r="F1357" s="46">
        <f>IFERROR(VLOOKUP($E1370,'BASE DE DATOS'!$A:$I,3,0),0)</f>
        <v>0</v>
      </c>
      <c r="G1357" s="46">
        <f>IFERROR(VLOOKUP($E1357,'BASE DE DATOS'!$A:$I,3,0),0)</f>
        <v>0</v>
      </c>
      <c r="H1357" s="46">
        <f>IFERROR(VLOOKUP($E1357,'BASE DE DATOS'!$A:$I,3,0),0)</f>
        <v>0</v>
      </c>
      <c r="I1357" s="46">
        <f>IFERROR(VLOOKUP($E1357,'BASE DE DATOS'!$A:$I,3,0),0)</f>
        <v>0</v>
      </c>
      <c r="J1357" s="46">
        <f>IFERROR(VLOOKUP($E1357,'BASE DE DATOS'!$A:$I,3,0),0)</f>
        <v>0</v>
      </c>
      <c r="K1357" s="46">
        <f>IFERROR(VLOOKUP($E1616,'BASE DE DATOS'!$A:$I,3,0),0)</f>
        <v>0</v>
      </c>
      <c r="L1357" s="46">
        <f>IFERROR(VLOOKUP($E1357,'BASE DE DATOS'!$A:$I,3,0),0)</f>
        <v>0</v>
      </c>
    </row>
    <row r="1358" spans="6:12" x14ac:dyDescent="0.25">
      <c r="F1358" s="46">
        <f>IFERROR(VLOOKUP($E1371,'BASE DE DATOS'!$A:$I,3,0),0)</f>
        <v>0</v>
      </c>
      <c r="G1358" s="46">
        <f>IFERROR(VLOOKUP($E1358,'BASE DE DATOS'!$A:$I,3,0),0)</f>
        <v>0</v>
      </c>
      <c r="H1358" s="46">
        <f>IFERROR(VLOOKUP($E1358,'BASE DE DATOS'!$A:$I,3,0),0)</f>
        <v>0</v>
      </c>
      <c r="I1358" s="46">
        <f>IFERROR(VLOOKUP($E1358,'BASE DE DATOS'!$A:$I,3,0),0)</f>
        <v>0</v>
      </c>
      <c r="J1358" s="46">
        <f>IFERROR(VLOOKUP($E1358,'BASE DE DATOS'!$A:$I,3,0),0)</f>
        <v>0</v>
      </c>
      <c r="K1358" s="46">
        <f>IFERROR(VLOOKUP($E1617,'BASE DE DATOS'!$A:$I,3,0),0)</f>
        <v>0</v>
      </c>
      <c r="L1358" s="46">
        <f>IFERROR(VLOOKUP($E1358,'BASE DE DATOS'!$A:$I,3,0),0)</f>
        <v>0</v>
      </c>
    </row>
    <row r="1359" spans="6:12" x14ac:dyDescent="0.25">
      <c r="F1359" s="46">
        <f>IFERROR(VLOOKUP($E1372,'BASE DE DATOS'!$A:$I,3,0),0)</f>
        <v>0</v>
      </c>
      <c r="G1359" s="46">
        <f>IFERROR(VLOOKUP($E1359,'BASE DE DATOS'!$A:$I,3,0),0)</f>
        <v>0</v>
      </c>
      <c r="H1359" s="46">
        <f>IFERROR(VLOOKUP($E1359,'BASE DE DATOS'!$A:$I,3,0),0)</f>
        <v>0</v>
      </c>
      <c r="I1359" s="46">
        <f>IFERROR(VLOOKUP($E1359,'BASE DE DATOS'!$A:$I,3,0),0)</f>
        <v>0</v>
      </c>
      <c r="J1359" s="46">
        <f>IFERROR(VLOOKUP($E1359,'BASE DE DATOS'!$A:$I,3,0),0)</f>
        <v>0</v>
      </c>
      <c r="K1359" s="46">
        <f>IFERROR(VLOOKUP($E1618,'BASE DE DATOS'!$A:$I,3,0),0)</f>
        <v>0</v>
      </c>
      <c r="L1359" s="46">
        <f>IFERROR(VLOOKUP($E1359,'BASE DE DATOS'!$A:$I,3,0),0)</f>
        <v>0</v>
      </c>
    </row>
    <row r="1360" spans="6:12" x14ac:dyDescent="0.25">
      <c r="F1360" s="46">
        <f>IFERROR(VLOOKUP($E1373,'BASE DE DATOS'!$A:$I,3,0),0)</f>
        <v>0</v>
      </c>
      <c r="G1360" s="46">
        <f>IFERROR(VLOOKUP($E1360,'BASE DE DATOS'!$A:$I,3,0),0)</f>
        <v>0</v>
      </c>
      <c r="H1360" s="46">
        <f>IFERROR(VLOOKUP($E1360,'BASE DE DATOS'!$A:$I,3,0),0)</f>
        <v>0</v>
      </c>
      <c r="I1360" s="46">
        <f>IFERROR(VLOOKUP($E1360,'BASE DE DATOS'!$A:$I,3,0),0)</f>
        <v>0</v>
      </c>
      <c r="J1360" s="46">
        <f>IFERROR(VLOOKUP($E1360,'BASE DE DATOS'!$A:$I,3,0),0)</f>
        <v>0</v>
      </c>
      <c r="K1360" s="46">
        <f>IFERROR(VLOOKUP($E1619,'BASE DE DATOS'!$A:$I,3,0),0)</f>
        <v>0</v>
      </c>
      <c r="L1360" s="46">
        <f>IFERROR(VLOOKUP($E1360,'BASE DE DATOS'!$A:$I,3,0),0)</f>
        <v>0</v>
      </c>
    </row>
    <row r="1361" spans="6:12" x14ac:dyDescent="0.25">
      <c r="F1361" s="46">
        <f>IFERROR(VLOOKUP($E1374,'BASE DE DATOS'!$A:$I,3,0),0)</f>
        <v>0</v>
      </c>
      <c r="G1361" s="46">
        <f>IFERROR(VLOOKUP($E1361,'BASE DE DATOS'!$A:$I,3,0),0)</f>
        <v>0</v>
      </c>
      <c r="H1361" s="46">
        <f>IFERROR(VLOOKUP($E1361,'BASE DE DATOS'!$A:$I,3,0),0)</f>
        <v>0</v>
      </c>
      <c r="I1361" s="46">
        <f>IFERROR(VLOOKUP($E1361,'BASE DE DATOS'!$A:$I,3,0),0)</f>
        <v>0</v>
      </c>
      <c r="J1361" s="46">
        <f>IFERROR(VLOOKUP($E1361,'BASE DE DATOS'!$A:$I,3,0),0)</f>
        <v>0</v>
      </c>
      <c r="K1361" s="46">
        <f>IFERROR(VLOOKUP($E1620,'BASE DE DATOS'!$A:$I,3,0),0)</f>
        <v>0</v>
      </c>
      <c r="L1361" s="46">
        <f>IFERROR(VLOOKUP($E1361,'BASE DE DATOS'!$A:$I,3,0),0)</f>
        <v>0</v>
      </c>
    </row>
    <row r="1362" spans="6:12" x14ac:dyDescent="0.25">
      <c r="F1362" s="46">
        <f>IFERROR(VLOOKUP($E1375,'BASE DE DATOS'!$A:$I,3,0),0)</f>
        <v>0</v>
      </c>
      <c r="G1362" s="46">
        <f>IFERROR(VLOOKUP($E1362,'BASE DE DATOS'!$A:$I,3,0),0)</f>
        <v>0</v>
      </c>
      <c r="H1362" s="46">
        <f>IFERROR(VLOOKUP($E1362,'BASE DE DATOS'!$A:$I,3,0),0)</f>
        <v>0</v>
      </c>
      <c r="I1362" s="46">
        <f>IFERROR(VLOOKUP($E1362,'BASE DE DATOS'!$A:$I,3,0),0)</f>
        <v>0</v>
      </c>
      <c r="J1362" s="46">
        <f>IFERROR(VLOOKUP($E1362,'BASE DE DATOS'!$A:$I,3,0),0)</f>
        <v>0</v>
      </c>
      <c r="K1362" s="46">
        <f>IFERROR(VLOOKUP($E1621,'BASE DE DATOS'!$A:$I,3,0),0)</f>
        <v>0</v>
      </c>
      <c r="L1362" s="46">
        <f>IFERROR(VLOOKUP($E1362,'BASE DE DATOS'!$A:$I,3,0),0)</f>
        <v>0</v>
      </c>
    </row>
    <row r="1363" spans="6:12" x14ac:dyDescent="0.25">
      <c r="F1363" s="46">
        <f>IFERROR(VLOOKUP($E1376,'BASE DE DATOS'!$A:$I,3,0),0)</f>
        <v>0</v>
      </c>
      <c r="G1363" s="46">
        <f>IFERROR(VLOOKUP($E1363,'BASE DE DATOS'!$A:$I,3,0),0)</f>
        <v>0</v>
      </c>
      <c r="H1363" s="46">
        <f>IFERROR(VLOOKUP($E1363,'BASE DE DATOS'!$A:$I,3,0),0)</f>
        <v>0</v>
      </c>
      <c r="I1363" s="46">
        <f>IFERROR(VLOOKUP($E1363,'BASE DE DATOS'!$A:$I,3,0),0)</f>
        <v>0</v>
      </c>
      <c r="J1363" s="46">
        <f>IFERROR(VLOOKUP($E1363,'BASE DE DATOS'!$A:$I,3,0),0)</f>
        <v>0</v>
      </c>
      <c r="K1363" s="46">
        <f>IFERROR(VLOOKUP($E1622,'BASE DE DATOS'!$A:$I,3,0),0)</f>
        <v>0</v>
      </c>
      <c r="L1363" s="46">
        <f>IFERROR(VLOOKUP($E1363,'BASE DE DATOS'!$A:$I,3,0),0)</f>
        <v>0</v>
      </c>
    </row>
    <row r="1364" spans="6:12" x14ac:dyDescent="0.25">
      <c r="F1364" s="46">
        <f>IFERROR(VLOOKUP($E1377,'BASE DE DATOS'!$A:$I,3,0),0)</f>
        <v>0</v>
      </c>
      <c r="G1364" s="46">
        <f>IFERROR(VLOOKUP($E1364,'BASE DE DATOS'!$A:$I,3,0),0)</f>
        <v>0</v>
      </c>
      <c r="H1364" s="46">
        <f>IFERROR(VLOOKUP($E1364,'BASE DE DATOS'!$A:$I,3,0),0)</f>
        <v>0</v>
      </c>
      <c r="I1364" s="46">
        <f>IFERROR(VLOOKUP($E1364,'BASE DE DATOS'!$A:$I,3,0),0)</f>
        <v>0</v>
      </c>
      <c r="J1364" s="46">
        <f>IFERROR(VLOOKUP($E1364,'BASE DE DATOS'!$A:$I,3,0),0)</f>
        <v>0</v>
      </c>
      <c r="K1364" s="46">
        <f>IFERROR(VLOOKUP($E1623,'BASE DE DATOS'!$A:$I,3,0),0)</f>
        <v>0</v>
      </c>
      <c r="L1364" s="46">
        <f>IFERROR(VLOOKUP($E1364,'BASE DE DATOS'!$A:$I,3,0),0)</f>
        <v>0</v>
      </c>
    </row>
    <row r="1365" spans="6:12" x14ac:dyDescent="0.25">
      <c r="F1365" s="46">
        <f>IFERROR(VLOOKUP($E1378,'BASE DE DATOS'!$A:$I,3,0),0)</f>
        <v>0</v>
      </c>
      <c r="G1365" s="46">
        <f>IFERROR(VLOOKUP($E1365,'BASE DE DATOS'!$A:$I,3,0),0)</f>
        <v>0</v>
      </c>
      <c r="H1365" s="46">
        <f>IFERROR(VLOOKUP($E1365,'BASE DE DATOS'!$A:$I,3,0),0)</f>
        <v>0</v>
      </c>
      <c r="I1365" s="46">
        <f>IFERROR(VLOOKUP($E1365,'BASE DE DATOS'!$A:$I,3,0),0)</f>
        <v>0</v>
      </c>
      <c r="J1365" s="46">
        <f>IFERROR(VLOOKUP($E1365,'BASE DE DATOS'!$A:$I,3,0),0)</f>
        <v>0</v>
      </c>
      <c r="K1365" s="46">
        <f>IFERROR(VLOOKUP($E1624,'BASE DE DATOS'!$A:$I,3,0),0)</f>
        <v>0</v>
      </c>
      <c r="L1365" s="46">
        <f>IFERROR(VLOOKUP($E1365,'BASE DE DATOS'!$A:$I,3,0),0)</f>
        <v>0</v>
      </c>
    </row>
    <row r="1366" spans="6:12" x14ac:dyDescent="0.25">
      <c r="F1366" s="46">
        <f>IFERROR(VLOOKUP($E1379,'BASE DE DATOS'!$A:$I,3,0),0)</f>
        <v>0</v>
      </c>
      <c r="G1366" s="46">
        <f>IFERROR(VLOOKUP($E1366,'BASE DE DATOS'!$A:$I,3,0),0)</f>
        <v>0</v>
      </c>
      <c r="H1366" s="46">
        <f>IFERROR(VLOOKUP($E1366,'BASE DE DATOS'!$A:$I,3,0),0)</f>
        <v>0</v>
      </c>
      <c r="I1366" s="46">
        <f>IFERROR(VLOOKUP($E1366,'BASE DE DATOS'!$A:$I,3,0),0)</f>
        <v>0</v>
      </c>
      <c r="J1366" s="46">
        <f>IFERROR(VLOOKUP($E1366,'BASE DE DATOS'!$A:$I,3,0),0)</f>
        <v>0</v>
      </c>
      <c r="K1366" s="46">
        <f>IFERROR(VLOOKUP($E1625,'BASE DE DATOS'!$A:$I,3,0),0)</f>
        <v>0</v>
      </c>
      <c r="L1366" s="46">
        <f>IFERROR(VLOOKUP($E1366,'BASE DE DATOS'!$A:$I,3,0),0)</f>
        <v>0</v>
      </c>
    </row>
    <row r="1367" spans="6:12" x14ac:dyDescent="0.25">
      <c r="F1367" s="46">
        <f>IFERROR(VLOOKUP($E1380,'BASE DE DATOS'!$A:$I,3,0),0)</f>
        <v>0</v>
      </c>
      <c r="G1367" s="46">
        <f>IFERROR(VLOOKUP($E1367,'BASE DE DATOS'!$A:$I,3,0),0)</f>
        <v>0</v>
      </c>
      <c r="H1367" s="46">
        <f>IFERROR(VLOOKUP($E1367,'BASE DE DATOS'!$A:$I,3,0),0)</f>
        <v>0</v>
      </c>
      <c r="I1367" s="46">
        <f>IFERROR(VLOOKUP($E1367,'BASE DE DATOS'!$A:$I,3,0),0)</f>
        <v>0</v>
      </c>
      <c r="J1367" s="46">
        <f>IFERROR(VLOOKUP($E1367,'BASE DE DATOS'!$A:$I,3,0),0)</f>
        <v>0</v>
      </c>
      <c r="K1367" s="46">
        <f>IFERROR(VLOOKUP($E1626,'BASE DE DATOS'!$A:$I,3,0),0)</f>
        <v>0</v>
      </c>
      <c r="L1367" s="46">
        <f>IFERROR(VLOOKUP($E1367,'BASE DE DATOS'!$A:$I,3,0),0)</f>
        <v>0</v>
      </c>
    </row>
    <row r="1368" spans="6:12" x14ac:dyDescent="0.25">
      <c r="F1368" s="46">
        <f>IFERROR(VLOOKUP($E1381,'BASE DE DATOS'!$A:$I,3,0),0)</f>
        <v>0</v>
      </c>
      <c r="G1368" s="46">
        <f>IFERROR(VLOOKUP($E1368,'BASE DE DATOS'!$A:$I,3,0),0)</f>
        <v>0</v>
      </c>
      <c r="H1368" s="46">
        <f>IFERROR(VLOOKUP($E1368,'BASE DE DATOS'!$A:$I,3,0),0)</f>
        <v>0</v>
      </c>
      <c r="I1368" s="46">
        <f>IFERROR(VLOOKUP($E1368,'BASE DE DATOS'!$A:$I,3,0),0)</f>
        <v>0</v>
      </c>
      <c r="J1368" s="46">
        <f>IFERROR(VLOOKUP($E1368,'BASE DE DATOS'!$A:$I,3,0),0)</f>
        <v>0</v>
      </c>
      <c r="K1368" s="46">
        <f>IFERROR(VLOOKUP($E1627,'BASE DE DATOS'!$A:$I,3,0),0)</f>
        <v>0</v>
      </c>
      <c r="L1368" s="46">
        <f>IFERROR(VLOOKUP($E1368,'BASE DE DATOS'!$A:$I,3,0),0)</f>
        <v>0</v>
      </c>
    </row>
    <row r="1369" spans="6:12" x14ac:dyDescent="0.25">
      <c r="F1369" s="46">
        <f>IFERROR(VLOOKUP($E1382,'BASE DE DATOS'!$A:$I,3,0),0)</f>
        <v>0</v>
      </c>
      <c r="G1369" s="46">
        <f>IFERROR(VLOOKUP($E1369,'BASE DE DATOS'!$A:$I,3,0),0)</f>
        <v>0</v>
      </c>
      <c r="H1369" s="46">
        <f>IFERROR(VLOOKUP($E1369,'BASE DE DATOS'!$A:$I,3,0),0)</f>
        <v>0</v>
      </c>
      <c r="I1369" s="46">
        <f>IFERROR(VLOOKUP($E1369,'BASE DE DATOS'!$A:$I,3,0),0)</f>
        <v>0</v>
      </c>
      <c r="J1369" s="46">
        <f>IFERROR(VLOOKUP($E1369,'BASE DE DATOS'!$A:$I,3,0),0)</f>
        <v>0</v>
      </c>
      <c r="K1369" s="46">
        <f>IFERROR(VLOOKUP($E1628,'BASE DE DATOS'!$A:$I,3,0),0)</f>
        <v>0</v>
      </c>
      <c r="L1369" s="46">
        <f>IFERROR(VLOOKUP($E1369,'BASE DE DATOS'!$A:$I,3,0),0)</f>
        <v>0</v>
      </c>
    </row>
    <row r="1370" spans="6:12" x14ac:dyDescent="0.25">
      <c r="F1370" s="46">
        <f>IFERROR(VLOOKUP($E1383,'BASE DE DATOS'!$A:$I,3,0),0)</f>
        <v>0</v>
      </c>
      <c r="G1370" s="46">
        <f>IFERROR(VLOOKUP($E1370,'BASE DE DATOS'!$A:$I,3,0),0)</f>
        <v>0</v>
      </c>
      <c r="H1370" s="46">
        <f>IFERROR(VLOOKUP($E1370,'BASE DE DATOS'!$A:$I,3,0),0)</f>
        <v>0</v>
      </c>
      <c r="I1370" s="46">
        <f>IFERROR(VLOOKUP($E1370,'BASE DE DATOS'!$A:$I,3,0),0)</f>
        <v>0</v>
      </c>
      <c r="J1370" s="46">
        <f>IFERROR(VLOOKUP($E1370,'BASE DE DATOS'!$A:$I,3,0),0)</f>
        <v>0</v>
      </c>
      <c r="K1370" s="46">
        <f>IFERROR(VLOOKUP($E1629,'BASE DE DATOS'!$A:$I,3,0),0)</f>
        <v>0</v>
      </c>
      <c r="L1370" s="46">
        <f>IFERROR(VLOOKUP($E1370,'BASE DE DATOS'!$A:$I,3,0),0)</f>
        <v>0</v>
      </c>
    </row>
    <row r="1371" spans="6:12" x14ac:dyDescent="0.25">
      <c r="F1371" s="46">
        <f>IFERROR(VLOOKUP($E1384,'BASE DE DATOS'!$A:$I,3,0),0)</f>
        <v>0</v>
      </c>
      <c r="G1371" s="46">
        <f>IFERROR(VLOOKUP($E1371,'BASE DE DATOS'!$A:$I,3,0),0)</f>
        <v>0</v>
      </c>
      <c r="H1371" s="46">
        <f>IFERROR(VLOOKUP($E1371,'BASE DE DATOS'!$A:$I,3,0),0)</f>
        <v>0</v>
      </c>
      <c r="I1371" s="46">
        <f>IFERROR(VLOOKUP($E1371,'BASE DE DATOS'!$A:$I,3,0),0)</f>
        <v>0</v>
      </c>
      <c r="J1371" s="46">
        <f>IFERROR(VLOOKUP($E1371,'BASE DE DATOS'!$A:$I,3,0),0)</f>
        <v>0</v>
      </c>
      <c r="K1371" s="46">
        <f>IFERROR(VLOOKUP($E1630,'BASE DE DATOS'!$A:$I,3,0),0)</f>
        <v>0</v>
      </c>
      <c r="L1371" s="46">
        <f>IFERROR(VLOOKUP($E1371,'BASE DE DATOS'!$A:$I,3,0),0)</f>
        <v>0</v>
      </c>
    </row>
    <row r="1372" spans="6:12" x14ac:dyDescent="0.25">
      <c r="F1372" s="46">
        <f>IFERROR(VLOOKUP($E1385,'BASE DE DATOS'!$A:$I,3,0),0)</f>
        <v>0</v>
      </c>
      <c r="G1372" s="46">
        <f>IFERROR(VLOOKUP($E1372,'BASE DE DATOS'!$A:$I,3,0),0)</f>
        <v>0</v>
      </c>
      <c r="H1372" s="46">
        <f>IFERROR(VLOOKUP($E1372,'BASE DE DATOS'!$A:$I,3,0),0)</f>
        <v>0</v>
      </c>
      <c r="I1372" s="46">
        <f>IFERROR(VLOOKUP($E1372,'BASE DE DATOS'!$A:$I,3,0),0)</f>
        <v>0</v>
      </c>
      <c r="J1372" s="46">
        <f>IFERROR(VLOOKUP($E1372,'BASE DE DATOS'!$A:$I,3,0),0)</f>
        <v>0</v>
      </c>
      <c r="K1372" s="46">
        <f>IFERROR(VLOOKUP($E1631,'BASE DE DATOS'!$A:$I,3,0),0)</f>
        <v>0</v>
      </c>
      <c r="L1372" s="46">
        <f>IFERROR(VLOOKUP($E1372,'BASE DE DATOS'!$A:$I,3,0),0)</f>
        <v>0</v>
      </c>
    </row>
    <row r="1373" spans="6:12" x14ac:dyDescent="0.25">
      <c r="F1373" s="46">
        <f>IFERROR(VLOOKUP($E1386,'BASE DE DATOS'!$A:$I,3,0),0)</f>
        <v>0</v>
      </c>
      <c r="G1373" s="46">
        <f>IFERROR(VLOOKUP($E1373,'BASE DE DATOS'!$A:$I,3,0),0)</f>
        <v>0</v>
      </c>
      <c r="H1373" s="46">
        <f>IFERROR(VLOOKUP($E1373,'BASE DE DATOS'!$A:$I,3,0),0)</f>
        <v>0</v>
      </c>
      <c r="I1373" s="46">
        <f>IFERROR(VLOOKUP($E1373,'BASE DE DATOS'!$A:$I,3,0),0)</f>
        <v>0</v>
      </c>
      <c r="J1373" s="46">
        <f>IFERROR(VLOOKUP($E1373,'BASE DE DATOS'!$A:$I,3,0),0)</f>
        <v>0</v>
      </c>
      <c r="K1373" s="46">
        <f>IFERROR(VLOOKUP($E1632,'BASE DE DATOS'!$A:$I,3,0),0)</f>
        <v>0</v>
      </c>
      <c r="L1373" s="46">
        <f>IFERROR(VLOOKUP($E1373,'BASE DE DATOS'!$A:$I,3,0),0)</f>
        <v>0</v>
      </c>
    </row>
    <row r="1374" spans="6:12" x14ac:dyDescent="0.25">
      <c r="F1374" s="46">
        <f>IFERROR(VLOOKUP($E1387,'BASE DE DATOS'!$A:$I,3,0),0)</f>
        <v>0</v>
      </c>
      <c r="G1374" s="46">
        <f>IFERROR(VLOOKUP($E1374,'BASE DE DATOS'!$A:$I,3,0),0)</f>
        <v>0</v>
      </c>
      <c r="H1374" s="46">
        <f>IFERROR(VLOOKUP($E1374,'BASE DE DATOS'!$A:$I,3,0),0)</f>
        <v>0</v>
      </c>
      <c r="I1374" s="46">
        <f>IFERROR(VLOOKUP($E1374,'BASE DE DATOS'!$A:$I,3,0),0)</f>
        <v>0</v>
      </c>
      <c r="J1374" s="46">
        <f>IFERROR(VLOOKUP($E1374,'BASE DE DATOS'!$A:$I,3,0),0)</f>
        <v>0</v>
      </c>
      <c r="K1374" s="46">
        <f>IFERROR(VLOOKUP($E1633,'BASE DE DATOS'!$A:$I,3,0),0)</f>
        <v>0</v>
      </c>
      <c r="L1374" s="46">
        <f>IFERROR(VLOOKUP($E1374,'BASE DE DATOS'!$A:$I,3,0),0)</f>
        <v>0</v>
      </c>
    </row>
    <row r="1375" spans="6:12" x14ac:dyDescent="0.25">
      <c r="F1375" s="46">
        <f>IFERROR(VLOOKUP($E1388,'BASE DE DATOS'!$A:$I,3,0),0)</f>
        <v>0</v>
      </c>
      <c r="G1375" s="46">
        <f>IFERROR(VLOOKUP($E1375,'BASE DE DATOS'!$A:$I,3,0),0)</f>
        <v>0</v>
      </c>
      <c r="H1375" s="46">
        <f>IFERROR(VLOOKUP($E1375,'BASE DE DATOS'!$A:$I,3,0),0)</f>
        <v>0</v>
      </c>
      <c r="I1375" s="46">
        <f>IFERROR(VLOOKUP($E1375,'BASE DE DATOS'!$A:$I,3,0),0)</f>
        <v>0</v>
      </c>
      <c r="J1375" s="46">
        <f>IFERROR(VLOOKUP($E1375,'BASE DE DATOS'!$A:$I,3,0),0)</f>
        <v>0</v>
      </c>
      <c r="K1375" s="46">
        <f>IFERROR(VLOOKUP($E1634,'BASE DE DATOS'!$A:$I,3,0),0)</f>
        <v>0</v>
      </c>
      <c r="L1375" s="46">
        <f>IFERROR(VLOOKUP($E1375,'BASE DE DATOS'!$A:$I,3,0),0)</f>
        <v>0</v>
      </c>
    </row>
    <row r="1376" spans="6:12" x14ac:dyDescent="0.25">
      <c r="F1376" s="46">
        <f>IFERROR(VLOOKUP($E1389,'BASE DE DATOS'!$A:$I,3,0),0)</f>
        <v>0</v>
      </c>
      <c r="G1376" s="46">
        <f>IFERROR(VLOOKUP($E1376,'BASE DE DATOS'!$A:$I,3,0),0)</f>
        <v>0</v>
      </c>
      <c r="H1376" s="46">
        <f>IFERROR(VLOOKUP($E1376,'BASE DE DATOS'!$A:$I,3,0),0)</f>
        <v>0</v>
      </c>
      <c r="I1376" s="46">
        <f>IFERROR(VLOOKUP($E1376,'BASE DE DATOS'!$A:$I,3,0),0)</f>
        <v>0</v>
      </c>
      <c r="J1376" s="46">
        <f>IFERROR(VLOOKUP($E1376,'BASE DE DATOS'!$A:$I,3,0),0)</f>
        <v>0</v>
      </c>
      <c r="K1376" s="46">
        <f>IFERROR(VLOOKUP($E1635,'BASE DE DATOS'!$A:$I,3,0),0)</f>
        <v>0</v>
      </c>
      <c r="L1376" s="46">
        <f>IFERROR(VLOOKUP($E1376,'BASE DE DATOS'!$A:$I,3,0),0)</f>
        <v>0</v>
      </c>
    </row>
    <row r="1377" spans="6:12" x14ac:dyDescent="0.25">
      <c r="F1377" s="46">
        <f>IFERROR(VLOOKUP($E1390,'BASE DE DATOS'!$A:$I,3,0),0)</f>
        <v>0</v>
      </c>
      <c r="G1377" s="46">
        <f>IFERROR(VLOOKUP($E1377,'BASE DE DATOS'!$A:$I,3,0),0)</f>
        <v>0</v>
      </c>
      <c r="H1377" s="46">
        <f>IFERROR(VLOOKUP($E1377,'BASE DE DATOS'!$A:$I,3,0),0)</f>
        <v>0</v>
      </c>
      <c r="I1377" s="46">
        <f>IFERROR(VLOOKUP($E1377,'BASE DE DATOS'!$A:$I,3,0),0)</f>
        <v>0</v>
      </c>
      <c r="J1377" s="46">
        <f>IFERROR(VLOOKUP($E1377,'BASE DE DATOS'!$A:$I,3,0),0)</f>
        <v>0</v>
      </c>
      <c r="K1377" s="46">
        <f>IFERROR(VLOOKUP($E1636,'BASE DE DATOS'!$A:$I,3,0),0)</f>
        <v>0</v>
      </c>
      <c r="L1377" s="46">
        <f>IFERROR(VLOOKUP($E1377,'BASE DE DATOS'!$A:$I,3,0),0)</f>
        <v>0</v>
      </c>
    </row>
    <row r="1378" spans="6:12" x14ac:dyDescent="0.25">
      <c r="F1378" s="46">
        <f>IFERROR(VLOOKUP($E1391,'BASE DE DATOS'!$A:$I,3,0),0)</f>
        <v>0</v>
      </c>
      <c r="G1378" s="46">
        <f>IFERROR(VLOOKUP($E1378,'BASE DE DATOS'!$A:$I,3,0),0)</f>
        <v>0</v>
      </c>
      <c r="H1378" s="46">
        <f>IFERROR(VLOOKUP($E1378,'BASE DE DATOS'!$A:$I,3,0),0)</f>
        <v>0</v>
      </c>
      <c r="I1378" s="46">
        <f>IFERROR(VLOOKUP($E1378,'BASE DE DATOS'!$A:$I,3,0),0)</f>
        <v>0</v>
      </c>
      <c r="J1378" s="46">
        <f>IFERROR(VLOOKUP($E1378,'BASE DE DATOS'!$A:$I,3,0),0)</f>
        <v>0</v>
      </c>
      <c r="K1378" s="46">
        <f>IFERROR(VLOOKUP($E1637,'BASE DE DATOS'!$A:$I,3,0),0)</f>
        <v>0</v>
      </c>
      <c r="L1378" s="46">
        <f>IFERROR(VLOOKUP($E1378,'BASE DE DATOS'!$A:$I,3,0),0)</f>
        <v>0</v>
      </c>
    </row>
    <row r="1379" spans="6:12" x14ac:dyDescent="0.25">
      <c r="F1379" s="46">
        <f>IFERROR(VLOOKUP($E1392,'BASE DE DATOS'!$A:$I,3,0),0)</f>
        <v>0</v>
      </c>
      <c r="G1379" s="46">
        <f>IFERROR(VLOOKUP($E1379,'BASE DE DATOS'!$A:$I,3,0),0)</f>
        <v>0</v>
      </c>
      <c r="H1379" s="46">
        <f>IFERROR(VLOOKUP($E1379,'BASE DE DATOS'!$A:$I,3,0),0)</f>
        <v>0</v>
      </c>
      <c r="I1379" s="46">
        <f>IFERROR(VLOOKUP($E1379,'BASE DE DATOS'!$A:$I,3,0),0)</f>
        <v>0</v>
      </c>
      <c r="J1379" s="46">
        <f>IFERROR(VLOOKUP($E1379,'BASE DE DATOS'!$A:$I,3,0),0)</f>
        <v>0</v>
      </c>
      <c r="K1379" s="46">
        <f>IFERROR(VLOOKUP($E1638,'BASE DE DATOS'!$A:$I,3,0),0)</f>
        <v>0</v>
      </c>
      <c r="L1379" s="46">
        <f>IFERROR(VLOOKUP($E1379,'BASE DE DATOS'!$A:$I,3,0),0)</f>
        <v>0</v>
      </c>
    </row>
    <row r="1380" spans="6:12" x14ac:dyDescent="0.25">
      <c r="F1380" s="46">
        <f>IFERROR(VLOOKUP($E1393,'BASE DE DATOS'!$A:$I,3,0),0)</f>
        <v>0</v>
      </c>
      <c r="G1380" s="46">
        <f>IFERROR(VLOOKUP($E1380,'BASE DE DATOS'!$A:$I,3,0),0)</f>
        <v>0</v>
      </c>
      <c r="H1380" s="46">
        <f>IFERROR(VLOOKUP($E1380,'BASE DE DATOS'!$A:$I,3,0),0)</f>
        <v>0</v>
      </c>
      <c r="I1380" s="46">
        <f>IFERROR(VLOOKUP($E1380,'BASE DE DATOS'!$A:$I,3,0),0)</f>
        <v>0</v>
      </c>
      <c r="J1380" s="46">
        <f>IFERROR(VLOOKUP($E1380,'BASE DE DATOS'!$A:$I,3,0),0)</f>
        <v>0</v>
      </c>
      <c r="K1380" s="46">
        <f>IFERROR(VLOOKUP($E1639,'BASE DE DATOS'!$A:$I,3,0),0)</f>
        <v>0</v>
      </c>
      <c r="L1380" s="46">
        <f>IFERROR(VLOOKUP($E1380,'BASE DE DATOS'!$A:$I,3,0),0)</f>
        <v>0</v>
      </c>
    </row>
    <row r="1381" spans="6:12" x14ac:dyDescent="0.25">
      <c r="F1381" s="46">
        <f>IFERROR(VLOOKUP($E1394,'BASE DE DATOS'!$A:$I,3,0),0)</f>
        <v>0</v>
      </c>
      <c r="G1381" s="46">
        <f>IFERROR(VLOOKUP($E1381,'BASE DE DATOS'!$A:$I,3,0),0)</f>
        <v>0</v>
      </c>
      <c r="H1381" s="46">
        <f>IFERROR(VLOOKUP($E1381,'BASE DE DATOS'!$A:$I,3,0),0)</f>
        <v>0</v>
      </c>
      <c r="I1381" s="46">
        <f>IFERROR(VLOOKUP($E1381,'BASE DE DATOS'!$A:$I,3,0),0)</f>
        <v>0</v>
      </c>
      <c r="J1381" s="46">
        <f>IFERROR(VLOOKUP($E1381,'BASE DE DATOS'!$A:$I,3,0),0)</f>
        <v>0</v>
      </c>
      <c r="K1381" s="46">
        <f>IFERROR(VLOOKUP($E1640,'BASE DE DATOS'!$A:$I,3,0),0)</f>
        <v>0</v>
      </c>
      <c r="L1381" s="46">
        <f>IFERROR(VLOOKUP($E1381,'BASE DE DATOS'!$A:$I,3,0),0)</f>
        <v>0</v>
      </c>
    </row>
    <row r="1382" spans="6:12" x14ac:dyDescent="0.25">
      <c r="F1382" s="46">
        <f>IFERROR(VLOOKUP($E1395,'BASE DE DATOS'!$A:$I,3,0),0)</f>
        <v>0</v>
      </c>
      <c r="G1382" s="46">
        <f>IFERROR(VLOOKUP($E1382,'BASE DE DATOS'!$A:$I,3,0),0)</f>
        <v>0</v>
      </c>
      <c r="H1382" s="46">
        <f>IFERROR(VLOOKUP($E1382,'BASE DE DATOS'!$A:$I,3,0),0)</f>
        <v>0</v>
      </c>
      <c r="I1382" s="46">
        <f>IFERROR(VLOOKUP($E1382,'BASE DE DATOS'!$A:$I,3,0),0)</f>
        <v>0</v>
      </c>
      <c r="J1382" s="46">
        <f>IFERROR(VLOOKUP($E1382,'BASE DE DATOS'!$A:$I,3,0),0)</f>
        <v>0</v>
      </c>
      <c r="K1382" s="46">
        <f>IFERROR(VLOOKUP($E1641,'BASE DE DATOS'!$A:$I,3,0),0)</f>
        <v>0</v>
      </c>
      <c r="L1382" s="46">
        <f>IFERROR(VLOOKUP($E1382,'BASE DE DATOS'!$A:$I,3,0),0)</f>
        <v>0</v>
      </c>
    </row>
    <row r="1383" spans="6:12" x14ac:dyDescent="0.25">
      <c r="F1383" s="46">
        <f>IFERROR(VLOOKUP($E1396,'BASE DE DATOS'!$A:$I,3,0),0)</f>
        <v>0</v>
      </c>
      <c r="G1383" s="46">
        <f>IFERROR(VLOOKUP($E1383,'BASE DE DATOS'!$A:$I,3,0),0)</f>
        <v>0</v>
      </c>
      <c r="H1383" s="46">
        <f>IFERROR(VLOOKUP($E1383,'BASE DE DATOS'!$A:$I,3,0),0)</f>
        <v>0</v>
      </c>
      <c r="I1383" s="46">
        <f>IFERROR(VLOOKUP($E1383,'BASE DE DATOS'!$A:$I,3,0),0)</f>
        <v>0</v>
      </c>
      <c r="J1383" s="46">
        <f>IFERROR(VLOOKUP($E1383,'BASE DE DATOS'!$A:$I,3,0),0)</f>
        <v>0</v>
      </c>
      <c r="K1383" s="46">
        <f>IFERROR(VLOOKUP($E1642,'BASE DE DATOS'!$A:$I,3,0),0)</f>
        <v>0</v>
      </c>
      <c r="L1383" s="46">
        <f>IFERROR(VLOOKUP($E1383,'BASE DE DATOS'!$A:$I,3,0),0)</f>
        <v>0</v>
      </c>
    </row>
    <row r="1384" spans="6:12" x14ac:dyDescent="0.25">
      <c r="F1384" s="46">
        <f>IFERROR(VLOOKUP($E1397,'BASE DE DATOS'!$A:$I,3,0),0)</f>
        <v>0</v>
      </c>
      <c r="G1384" s="46">
        <f>IFERROR(VLOOKUP($E1384,'BASE DE DATOS'!$A:$I,3,0),0)</f>
        <v>0</v>
      </c>
      <c r="H1384" s="46">
        <f>IFERROR(VLOOKUP($E1384,'BASE DE DATOS'!$A:$I,3,0),0)</f>
        <v>0</v>
      </c>
      <c r="I1384" s="46">
        <f>IFERROR(VLOOKUP($E1384,'BASE DE DATOS'!$A:$I,3,0),0)</f>
        <v>0</v>
      </c>
      <c r="J1384" s="46">
        <f>IFERROR(VLOOKUP($E1384,'BASE DE DATOS'!$A:$I,3,0),0)</f>
        <v>0</v>
      </c>
      <c r="K1384" s="46">
        <f>IFERROR(VLOOKUP($E1643,'BASE DE DATOS'!$A:$I,3,0),0)</f>
        <v>0</v>
      </c>
      <c r="L1384" s="46">
        <f>IFERROR(VLOOKUP($E1384,'BASE DE DATOS'!$A:$I,3,0),0)</f>
        <v>0</v>
      </c>
    </row>
    <row r="1385" spans="6:12" x14ac:dyDescent="0.25">
      <c r="F1385" s="46">
        <f>IFERROR(VLOOKUP($E1398,'BASE DE DATOS'!$A:$I,3,0),0)</f>
        <v>0</v>
      </c>
      <c r="G1385" s="46">
        <f>IFERROR(VLOOKUP($E1385,'BASE DE DATOS'!$A:$I,3,0),0)</f>
        <v>0</v>
      </c>
      <c r="H1385" s="46">
        <f>IFERROR(VLOOKUP($E1385,'BASE DE DATOS'!$A:$I,3,0),0)</f>
        <v>0</v>
      </c>
      <c r="I1385" s="46">
        <f>IFERROR(VLOOKUP($E1385,'BASE DE DATOS'!$A:$I,3,0),0)</f>
        <v>0</v>
      </c>
      <c r="J1385" s="46">
        <f>IFERROR(VLOOKUP($E1385,'BASE DE DATOS'!$A:$I,3,0),0)</f>
        <v>0</v>
      </c>
      <c r="K1385" s="46">
        <f>IFERROR(VLOOKUP($E1644,'BASE DE DATOS'!$A:$I,3,0),0)</f>
        <v>0</v>
      </c>
      <c r="L1385" s="46">
        <f>IFERROR(VLOOKUP($E1385,'BASE DE DATOS'!$A:$I,3,0),0)</f>
        <v>0</v>
      </c>
    </row>
    <row r="1386" spans="6:12" x14ac:dyDescent="0.25">
      <c r="F1386" s="46">
        <f>IFERROR(VLOOKUP($E1399,'BASE DE DATOS'!$A:$I,3,0),0)</f>
        <v>0</v>
      </c>
      <c r="G1386" s="46">
        <f>IFERROR(VLOOKUP($E1386,'BASE DE DATOS'!$A:$I,3,0),0)</f>
        <v>0</v>
      </c>
      <c r="H1386" s="46">
        <f>IFERROR(VLOOKUP($E1386,'BASE DE DATOS'!$A:$I,3,0),0)</f>
        <v>0</v>
      </c>
      <c r="I1386" s="46">
        <f>IFERROR(VLOOKUP($E1386,'BASE DE DATOS'!$A:$I,3,0),0)</f>
        <v>0</v>
      </c>
      <c r="J1386" s="46">
        <f>IFERROR(VLOOKUP($E1386,'BASE DE DATOS'!$A:$I,3,0),0)</f>
        <v>0</v>
      </c>
      <c r="K1386" s="46">
        <f>IFERROR(VLOOKUP($E1645,'BASE DE DATOS'!$A:$I,3,0),0)</f>
        <v>0</v>
      </c>
      <c r="L1386" s="46">
        <f>IFERROR(VLOOKUP($E1386,'BASE DE DATOS'!$A:$I,3,0),0)</f>
        <v>0</v>
      </c>
    </row>
    <row r="1387" spans="6:12" x14ac:dyDescent="0.25">
      <c r="F1387" s="46">
        <f>IFERROR(VLOOKUP($E1400,'BASE DE DATOS'!$A:$I,3,0),0)</f>
        <v>0</v>
      </c>
      <c r="G1387" s="46">
        <f>IFERROR(VLOOKUP($E1387,'BASE DE DATOS'!$A:$I,3,0),0)</f>
        <v>0</v>
      </c>
      <c r="H1387" s="46">
        <f>IFERROR(VLOOKUP($E1387,'BASE DE DATOS'!$A:$I,3,0),0)</f>
        <v>0</v>
      </c>
      <c r="I1387" s="46">
        <f>IFERROR(VLOOKUP($E1387,'BASE DE DATOS'!$A:$I,3,0),0)</f>
        <v>0</v>
      </c>
      <c r="J1387" s="46">
        <f>IFERROR(VLOOKUP($E1387,'BASE DE DATOS'!$A:$I,3,0),0)</f>
        <v>0</v>
      </c>
      <c r="K1387" s="46">
        <f>IFERROR(VLOOKUP($E1646,'BASE DE DATOS'!$A:$I,3,0),0)</f>
        <v>0</v>
      </c>
      <c r="L1387" s="46">
        <f>IFERROR(VLOOKUP($E1387,'BASE DE DATOS'!$A:$I,3,0),0)</f>
        <v>0</v>
      </c>
    </row>
    <row r="1388" spans="6:12" x14ac:dyDescent="0.25">
      <c r="F1388" s="46">
        <f>IFERROR(VLOOKUP($E1401,'BASE DE DATOS'!$A:$I,3,0),0)</f>
        <v>0</v>
      </c>
      <c r="G1388" s="46">
        <f>IFERROR(VLOOKUP($E1388,'BASE DE DATOS'!$A:$I,3,0),0)</f>
        <v>0</v>
      </c>
      <c r="H1388" s="46">
        <f>IFERROR(VLOOKUP($E1388,'BASE DE DATOS'!$A:$I,3,0),0)</f>
        <v>0</v>
      </c>
      <c r="I1388" s="46">
        <f>IFERROR(VLOOKUP($E1388,'BASE DE DATOS'!$A:$I,3,0),0)</f>
        <v>0</v>
      </c>
      <c r="J1388" s="46">
        <f>IFERROR(VLOOKUP($E1388,'BASE DE DATOS'!$A:$I,3,0),0)</f>
        <v>0</v>
      </c>
      <c r="K1388" s="46">
        <f>IFERROR(VLOOKUP($E1647,'BASE DE DATOS'!$A:$I,3,0),0)</f>
        <v>0</v>
      </c>
      <c r="L1388" s="46">
        <f>IFERROR(VLOOKUP($E1388,'BASE DE DATOS'!$A:$I,3,0),0)</f>
        <v>0</v>
      </c>
    </row>
    <row r="1389" spans="6:12" x14ac:dyDescent="0.25">
      <c r="F1389" s="46">
        <f>IFERROR(VLOOKUP($E1402,'BASE DE DATOS'!$A:$I,3,0),0)</f>
        <v>0</v>
      </c>
      <c r="G1389" s="46">
        <f>IFERROR(VLOOKUP($E1389,'BASE DE DATOS'!$A:$I,3,0),0)</f>
        <v>0</v>
      </c>
      <c r="H1389" s="46">
        <f>IFERROR(VLOOKUP($E1389,'BASE DE DATOS'!$A:$I,3,0),0)</f>
        <v>0</v>
      </c>
      <c r="I1389" s="46">
        <f>IFERROR(VLOOKUP($E1389,'BASE DE DATOS'!$A:$I,3,0),0)</f>
        <v>0</v>
      </c>
      <c r="J1389" s="46">
        <f>IFERROR(VLOOKUP($E1389,'BASE DE DATOS'!$A:$I,3,0),0)</f>
        <v>0</v>
      </c>
      <c r="K1389" s="46">
        <f>IFERROR(VLOOKUP($E1648,'BASE DE DATOS'!$A:$I,3,0),0)</f>
        <v>0</v>
      </c>
      <c r="L1389" s="46">
        <f>IFERROR(VLOOKUP($E1389,'BASE DE DATOS'!$A:$I,3,0),0)</f>
        <v>0</v>
      </c>
    </row>
    <row r="1390" spans="6:12" x14ac:dyDescent="0.25">
      <c r="F1390" s="46">
        <f>IFERROR(VLOOKUP($E1403,'BASE DE DATOS'!$A:$I,3,0),0)</f>
        <v>0</v>
      </c>
      <c r="G1390" s="46">
        <f>IFERROR(VLOOKUP($E1390,'BASE DE DATOS'!$A:$I,3,0),0)</f>
        <v>0</v>
      </c>
      <c r="H1390" s="46">
        <f>IFERROR(VLOOKUP($E1390,'BASE DE DATOS'!$A:$I,3,0),0)</f>
        <v>0</v>
      </c>
      <c r="I1390" s="46">
        <f>IFERROR(VLOOKUP($E1390,'BASE DE DATOS'!$A:$I,3,0),0)</f>
        <v>0</v>
      </c>
      <c r="J1390" s="46">
        <f>IFERROR(VLOOKUP($E1390,'BASE DE DATOS'!$A:$I,3,0),0)</f>
        <v>0</v>
      </c>
      <c r="K1390" s="46">
        <f>IFERROR(VLOOKUP($E1649,'BASE DE DATOS'!$A:$I,3,0),0)</f>
        <v>0</v>
      </c>
      <c r="L1390" s="46">
        <f>IFERROR(VLOOKUP($E1390,'BASE DE DATOS'!$A:$I,3,0),0)</f>
        <v>0</v>
      </c>
    </row>
    <row r="1391" spans="6:12" x14ac:dyDescent="0.25">
      <c r="F1391" s="46">
        <f>IFERROR(VLOOKUP($E1404,'BASE DE DATOS'!$A:$I,3,0),0)</f>
        <v>0</v>
      </c>
      <c r="G1391" s="46">
        <f>IFERROR(VLOOKUP($E1391,'BASE DE DATOS'!$A:$I,3,0),0)</f>
        <v>0</v>
      </c>
      <c r="H1391" s="46">
        <f>IFERROR(VLOOKUP($E1391,'BASE DE DATOS'!$A:$I,3,0),0)</f>
        <v>0</v>
      </c>
      <c r="I1391" s="46">
        <f>IFERROR(VLOOKUP($E1391,'BASE DE DATOS'!$A:$I,3,0),0)</f>
        <v>0</v>
      </c>
      <c r="J1391" s="46">
        <f>IFERROR(VLOOKUP($E1391,'BASE DE DATOS'!$A:$I,3,0),0)</f>
        <v>0</v>
      </c>
      <c r="K1391" s="46">
        <f>IFERROR(VLOOKUP($E1650,'BASE DE DATOS'!$A:$I,3,0),0)</f>
        <v>0</v>
      </c>
      <c r="L1391" s="46">
        <f>IFERROR(VLOOKUP($E1391,'BASE DE DATOS'!$A:$I,3,0),0)</f>
        <v>0</v>
      </c>
    </row>
    <row r="1392" spans="6:12" x14ac:dyDescent="0.25">
      <c r="F1392" s="46">
        <f>IFERROR(VLOOKUP($E1405,'BASE DE DATOS'!$A:$I,3,0),0)</f>
        <v>0</v>
      </c>
      <c r="G1392" s="46">
        <f>IFERROR(VLOOKUP($E1392,'BASE DE DATOS'!$A:$I,3,0),0)</f>
        <v>0</v>
      </c>
      <c r="H1392" s="46">
        <f>IFERROR(VLOOKUP($E1392,'BASE DE DATOS'!$A:$I,3,0),0)</f>
        <v>0</v>
      </c>
      <c r="I1392" s="46">
        <f>IFERROR(VLOOKUP($E1392,'BASE DE DATOS'!$A:$I,3,0),0)</f>
        <v>0</v>
      </c>
      <c r="J1392" s="46">
        <f>IFERROR(VLOOKUP($E1392,'BASE DE DATOS'!$A:$I,3,0),0)</f>
        <v>0</v>
      </c>
      <c r="K1392" s="46">
        <f>IFERROR(VLOOKUP($E1651,'BASE DE DATOS'!$A:$I,3,0),0)</f>
        <v>0</v>
      </c>
      <c r="L1392" s="46">
        <f>IFERROR(VLOOKUP($E1392,'BASE DE DATOS'!$A:$I,3,0),0)</f>
        <v>0</v>
      </c>
    </row>
    <row r="1393" spans="6:12" x14ac:dyDescent="0.25">
      <c r="F1393" s="46">
        <f>IFERROR(VLOOKUP($E1406,'BASE DE DATOS'!$A:$I,3,0),0)</f>
        <v>0</v>
      </c>
      <c r="G1393" s="46">
        <f>IFERROR(VLOOKUP($E1393,'BASE DE DATOS'!$A:$I,3,0),0)</f>
        <v>0</v>
      </c>
      <c r="H1393" s="46">
        <f>IFERROR(VLOOKUP($E1393,'BASE DE DATOS'!$A:$I,3,0),0)</f>
        <v>0</v>
      </c>
      <c r="I1393" s="46">
        <f>IFERROR(VLOOKUP($E1393,'BASE DE DATOS'!$A:$I,3,0),0)</f>
        <v>0</v>
      </c>
      <c r="J1393" s="46">
        <f>IFERROR(VLOOKUP($E1393,'BASE DE DATOS'!$A:$I,3,0),0)</f>
        <v>0</v>
      </c>
      <c r="K1393" s="46">
        <f>IFERROR(VLOOKUP($E1652,'BASE DE DATOS'!$A:$I,3,0),0)</f>
        <v>0</v>
      </c>
      <c r="L1393" s="46">
        <f>IFERROR(VLOOKUP($E1393,'BASE DE DATOS'!$A:$I,3,0),0)</f>
        <v>0</v>
      </c>
    </row>
    <row r="1394" spans="6:12" x14ac:dyDescent="0.25">
      <c r="F1394" s="46">
        <f>IFERROR(VLOOKUP($E1407,'BASE DE DATOS'!$A:$I,3,0),0)</f>
        <v>0</v>
      </c>
      <c r="G1394" s="46">
        <f>IFERROR(VLOOKUP($E1394,'BASE DE DATOS'!$A:$I,3,0),0)</f>
        <v>0</v>
      </c>
      <c r="H1394" s="46">
        <f>IFERROR(VLOOKUP($E1394,'BASE DE DATOS'!$A:$I,3,0),0)</f>
        <v>0</v>
      </c>
      <c r="I1394" s="46">
        <f>IFERROR(VLOOKUP($E1394,'BASE DE DATOS'!$A:$I,3,0),0)</f>
        <v>0</v>
      </c>
      <c r="J1394" s="46">
        <f>IFERROR(VLOOKUP($E1394,'BASE DE DATOS'!$A:$I,3,0),0)</f>
        <v>0</v>
      </c>
      <c r="K1394" s="46">
        <f>IFERROR(VLOOKUP($E1653,'BASE DE DATOS'!$A:$I,3,0),0)</f>
        <v>0</v>
      </c>
      <c r="L1394" s="46">
        <f>IFERROR(VLOOKUP($E1394,'BASE DE DATOS'!$A:$I,3,0),0)</f>
        <v>0</v>
      </c>
    </row>
    <row r="1395" spans="6:12" x14ac:dyDescent="0.25">
      <c r="F1395" s="46">
        <f>IFERROR(VLOOKUP($E1408,'BASE DE DATOS'!$A:$I,3,0),0)</f>
        <v>0</v>
      </c>
      <c r="G1395" s="46">
        <f>IFERROR(VLOOKUP($E1395,'BASE DE DATOS'!$A:$I,3,0),0)</f>
        <v>0</v>
      </c>
      <c r="H1395" s="46">
        <f>IFERROR(VLOOKUP($E1395,'BASE DE DATOS'!$A:$I,3,0),0)</f>
        <v>0</v>
      </c>
      <c r="I1395" s="46">
        <f>IFERROR(VLOOKUP($E1395,'BASE DE DATOS'!$A:$I,3,0),0)</f>
        <v>0</v>
      </c>
      <c r="J1395" s="46">
        <f>IFERROR(VLOOKUP($E1395,'BASE DE DATOS'!$A:$I,3,0),0)</f>
        <v>0</v>
      </c>
      <c r="K1395" s="46">
        <f>IFERROR(VLOOKUP($E1654,'BASE DE DATOS'!$A:$I,3,0),0)</f>
        <v>0</v>
      </c>
      <c r="L1395" s="46">
        <f>IFERROR(VLOOKUP($E1395,'BASE DE DATOS'!$A:$I,3,0),0)</f>
        <v>0</v>
      </c>
    </row>
    <row r="1396" spans="6:12" x14ac:dyDescent="0.25">
      <c r="F1396" s="46">
        <f>IFERROR(VLOOKUP($E1409,'BASE DE DATOS'!$A:$I,3,0),0)</f>
        <v>0</v>
      </c>
      <c r="G1396" s="46">
        <f>IFERROR(VLOOKUP($E1396,'BASE DE DATOS'!$A:$I,3,0),0)</f>
        <v>0</v>
      </c>
      <c r="H1396" s="46">
        <f>IFERROR(VLOOKUP($E1396,'BASE DE DATOS'!$A:$I,3,0),0)</f>
        <v>0</v>
      </c>
      <c r="I1396" s="46">
        <f>IFERROR(VLOOKUP($E1396,'BASE DE DATOS'!$A:$I,3,0),0)</f>
        <v>0</v>
      </c>
      <c r="J1396" s="46">
        <f>IFERROR(VLOOKUP($E1396,'BASE DE DATOS'!$A:$I,3,0),0)</f>
        <v>0</v>
      </c>
      <c r="K1396" s="46">
        <f>IFERROR(VLOOKUP($E1655,'BASE DE DATOS'!$A:$I,3,0),0)</f>
        <v>0</v>
      </c>
      <c r="L1396" s="46">
        <f>IFERROR(VLOOKUP($E1396,'BASE DE DATOS'!$A:$I,3,0),0)</f>
        <v>0</v>
      </c>
    </row>
    <row r="1397" spans="6:12" x14ac:dyDescent="0.25">
      <c r="F1397" s="46">
        <f>IFERROR(VLOOKUP($E1410,'BASE DE DATOS'!$A:$I,3,0),0)</f>
        <v>0</v>
      </c>
      <c r="G1397" s="46">
        <f>IFERROR(VLOOKUP($E1397,'BASE DE DATOS'!$A:$I,3,0),0)</f>
        <v>0</v>
      </c>
      <c r="H1397" s="46">
        <f>IFERROR(VLOOKUP($E1397,'BASE DE DATOS'!$A:$I,3,0),0)</f>
        <v>0</v>
      </c>
      <c r="I1397" s="46">
        <f>IFERROR(VLOOKUP($E1397,'BASE DE DATOS'!$A:$I,3,0),0)</f>
        <v>0</v>
      </c>
      <c r="J1397" s="46">
        <f>IFERROR(VLOOKUP($E1397,'BASE DE DATOS'!$A:$I,3,0),0)</f>
        <v>0</v>
      </c>
      <c r="K1397" s="46">
        <f>IFERROR(VLOOKUP($E1656,'BASE DE DATOS'!$A:$I,3,0),0)</f>
        <v>0</v>
      </c>
      <c r="L1397" s="46">
        <f>IFERROR(VLOOKUP($E1397,'BASE DE DATOS'!$A:$I,3,0),0)</f>
        <v>0</v>
      </c>
    </row>
    <row r="1398" spans="6:12" x14ac:dyDescent="0.25">
      <c r="F1398" s="46">
        <f>IFERROR(VLOOKUP($E1411,'BASE DE DATOS'!$A:$I,3,0),0)</f>
        <v>0</v>
      </c>
      <c r="G1398" s="46">
        <f>IFERROR(VLOOKUP($E1398,'BASE DE DATOS'!$A:$I,3,0),0)</f>
        <v>0</v>
      </c>
      <c r="H1398" s="46">
        <f>IFERROR(VLOOKUP($E1398,'BASE DE DATOS'!$A:$I,3,0),0)</f>
        <v>0</v>
      </c>
      <c r="I1398" s="46">
        <f>IFERROR(VLOOKUP($E1398,'BASE DE DATOS'!$A:$I,3,0),0)</f>
        <v>0</v>
      </c>
      <c r="J1398" s="46">
        <f>IFERROR(VLOOKUP($E1398,'BASE DE DATOS'!$A:$I,3,0),0)</f>
        <v>0</v>
      </c>
      <c r="K1398" s="46">
        <f>IFERROR(VLOOKUP($E1657,'BASE DE DATOS'!$A:$I,3,0),0)</f>
        <v>0</v>
      </c>
      <c r="L1398" s="46">
        <f>IFERROR(VLOOKUP($E1398,'BASE DE DATOS'!$A:$I,3,0),0)</f>
        <v>0</v>
      </c>
    </row>
    <row r="1399" spans="6:12" x14ac:dyDescent="0.25">
      <c r="F1399" s="46">
        <f>IFERROR(VLOOKUP($E1412,'BASE DE DATOS'!$A:$I,3,0),0)</f>
        <v>0</v>
      </c>
      <c r="G1399" s="46">
        <f>IFERROR(VLOOKUP($E1399,'BASE DE DATOS'!$A:$I,3,0),0)</f>
        <v>0</v>
      </c>
      <c r="H1399" s="46">
        <f>IFERROR(VLOOKUP($E1399,'BASE DE DATOS'!$A:$I,3,0),0)</f>
        <v>0</v>
      </c>
      <c r="I1399" s="46">
        <f>IFERROR(VLOOKUP($E1399,'BASE DE DATOS'!$A:$I,3,0),0)</f>
        <v>0</v>
      </c>
      <c r="J1399" s="46">
        <f>IFERROR(VLOOKUP($E1399,'BASE DE DATOS'!$A:$I,3,0),0)</f>
        <v>0</v>
      </c>
      <c r="K1399" s="46">
        <f>IFERROR(VLOOKUP($E1658,'BASE DE DATOS'!$A:$I,3,0),0)</f>
        <v>0</v>
      </c>
      <c r="L1399" s="46">
        <f>IFERROR(VLOOKUP($E1399,'BASE DE DATOS'!$A:$I,3,0),0)</f>
        <v>0</v>
      </c>
    </row>
    <row r="1400" spans="6:12" x14ac:dyDescent="0.25">
      <c r="F1400" s="46">
        <f>IFERROR(VLOOKUP($E1413,'BASE DE DATOS'!$A:$I,3,0),0)</f>
        <v>0</v>
      </c>
      <c r="G1400" s="46">
        <f>IFERROR(VLOOKUP($E1400,'BASE DE DATOS'!$A:$I,3,0),0)</f>
        <v>0</v>
      </c>
      <c r="H1400" s="46">
        <f>IFERROR(VLOOKUP($E1400,'BASE DE DATOS'!$A:$I,3,0),0)</f>
        <v>0</v>
      </c>
      <c r="I1400" s="46">
        <f>IFERROR(VLOOKUP($E1400,'BASE DE DATOS'!$A:$I,3,0),0)</f>
        <v>0</v>
      </c>
      <c r="J1400" s="46">
        <f>IFERROR(VLOOKUP($E1400,'BASE DE DATOS'!$A:$I,3,0),0)</f>
        <v>0</v>
      </c>
      <c r="K1400" s="46">
        <f>IFERROR(VLOOKUP($E1659,'BASE DE DATOS'!$A:$I,3,0),0)</f>
        <v>0</v>
      </c>
      <c r="L1400" s="46">
        <f>IFERROR(VLOOKUP($E1400,'BASE DE DATOS'!$A:$I,3,0),0)</f>
        <v>0</v>
      </c>
    </row>
    <row r="1401" spans="6:12" x14ac:dyDescent="0.25">
      <c r="F1401" s="46">
        <f>IFERROR(VLOOKUP($E1414,'BASE DE DATOS'!$A:$I,3,0),0)</f>
        <v>0</v>
      </c>
      <c r="G1401" s="46">
        <f>IFERROR(VLOOKUP($E1401,'BASE DE DATOS'!$A:$I,3,0),0)</f>
        <v>0</v>
      </c>
      <c r="H1401" s="46">
        <f>IFERROR(VLOOKUP($E1401,'BASE DE DATOS'!$A:$I,3,0),0)</f>
        <v>0</v>
      </c>
      <c r="I1401" s="46">
        <f>IFERROR(VLOOKUP($E1401,'BASE DE DATOS'!$A:$I,3,0),0)</f>
        <v>0</v>
      </c>
      <c r="J1401" s="46">
        <f>IFERROR(VLOOKUP($E1401,'BASE DE DATOS'!$A:$I,3,0),0)</f>
        <v>0</v>
      </c>
      <c r="K1401" s="46">
        <f>IFERROR(VLOOKUP($E1660,'BASE DE DATOS'!$A:$I,3,0),0)</f>
        <v>0</v>
      </c>
      <c r="L1401" s="46">
        <f>IFERROR(VLOOKUP($E1401,'BASE DE DATOS'!$A:$I,3,0),0)</f>
        <v>0</v>
      </c>
    </row>
    <row r="1402" spans="6:12" x14ac:dyDescent="0.25">
      <c r="F1402" s="46">
        <f>IFERROR(VLOOKUP($E1415,'BASE DE DATOS'!$A:$I,3,0),0)</f>
        <v>0</v>
      </c>
      <c r="G1402" s="46">
        <f>IFERROR(VLOOKUP($E1402,'BASE DE DATOS'!$A:$I,3,0),0)</f>
        <v>0</v>
      </c>
      <c r="H1402" s="46">
        <f>IFERROR(VLOOKUP($E1402,'BASE DE DATOS'!$A:$I,3,0),0)</f>
        <v>0</v>
      </c>
      <c r="I1402" s="46">
        <f>IFERROR(VLOOKUP($E1402,'BASE DE DATOS'!$A:$I,3,0),0)</f>
        <v>0</v>
      </c>
      <c r="J1402" s="46">
        <f>IFERROR(VLOOKUP($E1402,'BASE DE DATOS'!$A:$I,3,0),0)</f>
        <v>0</v>
      </c>
      <c r="K1402" s="46">
        <f>IFERROR(VLOOKUP($E1661,'BASE DE DATOS'!$A:$I,3,0),0)</f>
        <v>0</v>
      </c>
      <c r="L1402" s="46">
        <f>IFERROR(VLOOKUP($E1402,'BASE DE DATOS'!$A:$I,3,0),0)</f>
        <v>0</v>
      </c>
    </row>
    <row r="1403" spans="6:12" x14ac:dyDescent="0.25">
      <c r="F1403" s="46">
        <f>IFERROR(VLOOKUP($E1416,'BASE DE DATOS'!$A:$I,3,0),0)</f>
        <v>0</v>
      </c>
      <c r="G1403" s="46">
        <f>IFERROR(VLOOKUP($E1403,'BASE DE DATOS'!$A:$I,3,0),0)</f>
        <v>0</v>
      </c>
      <c r="H1403" s="46">
        <f>IFERROR(VLOOKUP($E1403,'BASE DE DATOS'!$A:$I,3,0),0)</f>
        <v>0</v>
      </c>
      <c r="I1403" s="46">
        <f>IFERROR(VLOOKUP($E1403,'BASE DE DATOS'!$A:$I,3,0),0)</f>
        <v>0</v>
      </c>
      <c r="J1403" s="46">
        <f>IFERROR(VLOOKUP($E1403,'BASE DE DATOS'!$A:$I,3,0),0)</f>
        <v>0</v>
      </c>
      <c r="K1403" s="46">
        <f>IFERROR(VLOOKUP($E1662,'BASE DE DATOS'!$A:$I,3,0),0)</f>
        <v>0</v>
      </c>
      <c r="L1403" s="46">
        <f>IFERROR(VLOOKUP($E1403,'BASE DE DATOS'!$A:$I,3,0),0)</f>
        <v>0</v>
      </c>
    </row>
    <row r="1404" spans="6:12" x14ac:dyDescent="0.25">
      <c r="F1404" s="46">
        <f>IFERROR(VLOOKUP($E1417,'BASE DE DATOS'!$A:$I,3,0),0)</f>
        <v>0</v>
      </c>
      <c r="G1404" s="46">
        <f>IFERROR(VLOOKUP($E1404,'BASE DE DATOS'!$A:$I,3,0),0)</f>
        <v>0</v>
      </c>
      <c r="H1404" s="46">
        <f>IFERROR(VLOOKUP($E1404,'BASE DE DATOS'!$A:$I,3,0),0)</f>
        <v>0</v>
      </c>
      <c r="I1404" s="46">
        <f>IFERROR(VLOOKUP($E1404,'BASE DE DATOS'!$A:$I,3,0),0)</f>
        <v>0</v>
      </c>
      <c r="J1404" s="46">
        <f>IFERROR(VLOOKUP($E1404,'BASE DE DATOS'!$A:$I,3,0),0)</f>
        <v>0</v>
      </c>
      <c r="K1404" s="46">
        <f>IFERROR(VLOOKUP($E1663,'BASE DE DATOS'!$A:$I,3,0),0)</f>
        <v>0</v>
      </c>
      <c r="L1404" s="46">
        <f>IFERROR(VLOOKUP($E1404,'BASE DE DATOS'!$A:$I,3,0),0)</f>
        <v>0</v>
      </c>
    </row>
    <row r="1405" spans="6:12" x14ac:dyDescent="0.25">
      <c r="F1405" s="46">
        <f>IFERROR(VLOOKUP($E1418,'BASE DE DATOS'!$A:$I,3,0),0)</f>
        <v>0</v>
      </c>
      <c r="G1405" s="46">
        <f>IFERROR(VLOOKUP($E1405,'BASE DE DATOS'!$A:$I,3,0),0)</f>
        <v>0</v>
      </c>
      <c r="H1405" s="46">
        <f>IFERROR(VLOOKUP($E1405,'BASE DE DATOS'!$A:$I,3,0),0)</f>
        <v>0</v>
      </c>
      <c r="I1405" s="46">
        <f>IFERROR(VLOOKUP($E1405,'BASE DE DATOS'!$A:$I,3,0),0)</f>
        <v>0</v>
      </c>
      <c r="J1405" s="46">
        <f>IFERROR(VLOOKUP($E1405,'BASE DE DATOS'!$A:$I,3,0),0)</f>
        <v>0</v>
      </c>
      <c r="K1405" s="46">
        <f>IFERROR(VLOOKUP($E1664,'BASE DE DATOS'!$A:$I,3,0),0)</f>
        <v>0</v>
      </c>
      <c r="L1405" s="46">
        <f>IFERROR(VLOOKUP($E1405,'BASE DE DATOS'!$A:$I,3,0),0)</f>
        <v>0</v>
      </c>
    </row>
    <row r="1406" spans="6:12" x14ac:dyDescent="0.25">
      <c r="F1406" s="46">
        <f>IFERROR(VLOOKUP($E1419,'BASE DE DATOS'!$A:$I,3,0),0)</f>
        <v>0</v>
      </c>
      <c r="G1406" s="46">
        <f>IFERROR(VLOOKUP($E1406,'BASE DE DATOS'!$A:$I,3,0),0)</f>
        <v>0</v>
      </c>
      <c r="H1406" s="46">
        <f>IFERROR(VLOOKUP($E1406,'BASE DE DATOS'!$A:$I,3,0),0)</f>
        <v>0</v>
      </c>
      <c r="I1406" s="46">
        <f>IFERROR(VLOOKUP($E1406,'BASE DE DATOS'!$A:$I,3,0),0)</f>
        <v>0</v>
      </c>
      <c r="J1406" s="46">
        <f>IFERROR(VLOOKUP($E1406,'BASE DE DATOS'!$A:$I,3,0),0)</f>
        <v>0</v>
      </c>
      <c r="K1406" s="46">
        <f>IFERROR(VLOOKUP($E1665,'BASE DE DATOS'!$A:$I,3,0),0)</f>
        <v>0</v>
      </c>
      <c r="L1406" s="46">
        <f>IFERROR(VLOOKUP($E1406,'BASE DE DATOS'!$A:$I,3,0),0)</f>
        <v>0</v>
      </c>
    </row>
    <row r="1407" spans="6:12" x14ac:dyDescent="0.25">
      <c r="F1407" s="46">
        <f>IFERROR(VLOOKUP($E1420,'BASE DE DATOS'!$A:$I,3,0),0)</f>
        <v>0</v>
      </c>
      <c r="G1407" s="46">
        <f>IFERROR(VLOOKUP($E1407,'BASE DE DATOS'!$A:$I,3,0),0)</f>
        <v>0</v>
      </c>
      <c r="H1407" s="46">
        <f>IFERROR(VLOOKUP($E1407,'BASE DE DATOS'!$A:$I,3,0),0)</f>
        <v>0</v>
      </c>
      <c r="I1407" s="46">
        <f>IFERROR(VLOOKUP($E1407,'BASE DE DATOS'!$A:$I,3,0),0)</f>
        <v>0</v>
      </c>
      <c r="J1407" s="46">
        <f>IFERROR(VLOOKUP($E1407,'BASE DE DATOS'!$A:$I,3,0),0)</f>
        <v>0</v>
      </c>
      <c r="K1407" s="46">
        <f>IFERROR(VLOOKUP($E1666,'BASE DE DATOS'!$A:$I,3,0),0)</f>
        <v>0</v>
      </c>
      <c r="L1407" s="46">
        <f>IFERROR(VLOOKUP($E1407,'BASE DE DATOS'!$A:$I,3,0),0)</f>
        <v>0</v>
      </c>
    </row>
    <row r="1408" spans="6:12" x14ac:dyDescent="0.25">
      <c r="F1408" s="46">
        <f>IFERROR(VLOOKUP($E1421,'BASE DE DATOS'!$A:$I,3,0),0)</f>
        <v>0</v>
      </c>
      <c r="G1408" s="46">
        <f>IFERROR(VLOOKUP($E1408,'BASE DE DATOS'!$A:$I,3,0),0)</f>
        <v>0</v>
      </c>
      <c r="H1408" s="46">
        <f>IFERROR(VLOOKUP($E1408,'BASE DE DATOS'!$A:$I,3,0),0)</f>
        <v>0</v>
      </c>
      <c r="I1408" s="46">
        <f>IFERROR(VLOOKUP($E1408,'BASE DE DATOS'!$A:$I,3,0),0)</f>
        <v>0</v>
      </c>
      <c r="J1408" s="46">
        <f>IFERROR(VLOOKUP($E1408,'BASE DE DATOS'!$A:$I,3,0),0)</f>
        <v>0</v>
      </c>
      <c r="K1408" s="46">
        <f>IFERROR(VLOOKUP($E1667,'BASE DE DATOS'!$A:$I,3,0),0)</f>
        <v>0</v>
      </c>
      <c r="L1408" s="46">
        <f>IFERROR(VLOOKUP($E1408,'BASE DE DATOS'!$A:$I,3,0),0)</f>
        <v>0</v>
      </c>
    </row>
    <row r="1409" spans="6:12" x14ac:dyDescent="0.25">
      <c r="F1409" s="46">
        <f>IFERROR(VLOOKUP($E1422,'BASE DE DATOS'!$A:$I,3,0),0)</f>
        <v>0</v>
      </c>
      <c r="G1409" s="46">
        <f>IFERROR(VLOOKUP($E1409,'BASE DE DATOS'!$A:$I,3,0),0)</f>
        <v>0</v>
      </c>
      <c r="H1409" s="46">
        <f>IFERROR(VLOOKUP($E1409,'BASE DE DATOS'!$A:$I,3,0),0)</f>
        <v>0</v>
      </c>
      <c r="I1409" s="46">
        <f>IFERROR(VLOOKUP($E1409,'BASE DE DATOS'!$A:$I,3,0),0)</f>
        <v>0</v>
      </c>
      <c r="J1409" s="46">
        <f>IFERROR(VLOOKUP($E1409,'BASE DE DATOS'!$A:$I,3,0),0)</f>
        <v>0</v>
      </c>
      <c r="K1409" s="46">
        <f>IFERROR(VLOOKUP($E1668,'BASE DE DATOS'!$A:$I,3,0),0)</f>
        <v>0</v>
      </c>
      <c r="L1409" s="46">
        <f>IFERROR(VLOOKUP($E1409,'BASE DE DATOS'!$A:$I,3,0),0)</f>
        <v>0</v>
      </c>
    </row>
    <row r="1410" spans="6:12" x14ac:dyDescent="0.25">
      <c r="F1410" s="46">
        <f>IFERROR(VLOOKUP($E1423,'BASE DE DATOS'!$A:$I,3,0),0)</f>
        <v>0</v>
      </c>
      <c r="G1410" s="46">
        <f>IFERROR(VLOOKUP($E1410,'BASE DE DATOS'!$A:$I,3,0),0)</f>
        <v>0</v>
      </c>
      <c r="H1410" s="46">
        <f>IFERROR(VLOOKUP($E1410,'BASE DE DATOS'!$A:$I,3,0),0)</f>
        <v>0</v>
      </c>
      <c r="I1410" s="46">
        <f>IFERROR(VLOOKUP($E1410,'BASE DE DATOS'!$A:$I,3,0),0)</f>
        <v>0</v>
      </c>
      <c r="J1410" s="46">
        <f>IFERROR(VLOOKUP($E1410,'BASE DE DATOS'!$A:$I,3,0),0)</f>
        <v>0</v>
      </c>
      <c r="L1410" s="46">
        <f>IFERROR(VLOOKUP($E1410,'BASE DE DATOS'!$A:$I,3,0),0)</f>
        <v>0</v>
      </c>
    </row>
    <row r="1411" spans="6:12" x14ac:dyDescent="0.25">
      <c r="F1411" s="46">
        <f>IFERROR(VLOOKUP($E1424,'BASE DE DATOS'!$A:$I,3,0),0)</f>
        <v>0</v>
      </c>
      <c r="G1411" s="46">
        <f>IFERROR(VLOOKUP($E1411,'BASE DE DATOS'!$A:$I,3,0),0)</f>
        <v>0</v>
      </c>
      <c r="H1411" s="46">
        <f>IFERROR(VLOOKUP($E1411,'BASE DE DATOS'!$A:$I,3,0),0)</f>
        <v>0</v>
      </c>
      <c r="I1411" s="46">
        <f>IFERROR(VLOOKUP($E1411,'BASE DE DATOS'!$A:$I,3,0),0)</f>
        <v>0</v>
      </c>
      <c r="J1411" s="46">
        <f>IFERROR(VLOOKUP($E1411,'BASE DE DATOS'!$A:$I,3,0),0)</f>
        <v>0</v>
      </c>
      <c r="L1411" s="46">
        <f>IFERROR(VLOOKUP($E1411,'BASE DE DATOS'!$A:$I,3,0),0)</f>
        <v>0</v>
      </c>
    </row>
    <row r="1412" spans="6:12" x14ac:dyDescent="0.25">
      <c r="F1412" s="46">
        <f>IFERROR(VLOOKUP($E1425,'BASE DE DATOS'!$A:$I,3,0),0)</f>
        <v>0</v>
      </c>
      <c r="G1412" s="46">
        <f>IFERROR(VLOOKUP($E1412,'BASE DE DATOS'!$A:$I,3,0),0)</f>
        <v>0</v>
      </c>
      <c r="H1412" s="46">
        <f>IFERROR(VLOOKUP($E1412,'BASE DE DATOS'!$A:$I,3,0),0)</f>
        <v>0</v>
      </c>
      <c r="I1412" s="46">
        <f>IFERROR(VLOOKUP($E1412,'BASE DE DATOS'!$A:$I,3,0),0)</f>
        <v>0</v>
      </c>
      <c r="J1412" s="46">
        <f>IFERROR(VLOOKUP($E1412,'BASE DE DATOS'!$A:$I,3,0),0)</f>
        <v>0</v>
      </c>
      <c r="L1412" s="46">
        <f>IFERROR(VLOOKUP($E1412,'BASE DE DATOS'!$A:$I,3,0),0)</f>
        <v>0</v>
      </c>
    </row>
    <row r="1413" spans="6:12" x14ac:dyDescent="0.25">
      <c r="F1413" s="46">
        <f>IFERROR(VLOOKUP($E1426,'BASE DE DATOS'!$A:$I,3,0),0)</f>
        <v>0</v>
      </c>
      <c r="G1413" s="46">
        <f>IFERROR(VLOOKUP($E1413,'BASE DE DATOS'!$A:$I,3,0),0)</f>
        <v>0</v>
      </c>
      <c r="H1413" s="46">
        <f>IFERROR(VLOOKUP($E1413,'BASE DE DATOS'!$A:$I,3,0),0)</f>
        <v>0</v>
      </c>
      <c r="I1413" s="46">
        <f>IFERROR(VLOOKUP($E1413,'BASE DE DATOS'!$A:$I,3,0),0)</f>
        <v>0</v>
      </c>
      <c r="J1413" s="46">
        <f>IFERROR(VLOOKUP($E1413,'BASE DE DATOS'!$A:$I,3,0),0)</f>
        <v>0</v>
      </c>
      <c r="L1413" s="46">
        <f>IFERROR(VLOOKUP($E1413,'BASE DE DATOS'!$A:$I,3,0),0)</f>
        <v>0</v>
      </c>
    </row>
    <row r="1414" spans="6:12" x14ac:dyDescent="0.25">
      <c r="F1414" s="46">
        <f>IFERROR(VLOOKUP($E1427,'BASE DE DATOS'!$A:$I,3,0),0)</f>
        <v>0</v>
      </c>
      <c r="G1414" s="46">
        <f>IFERROR(VLOOKUP($E1414,'BASE DE DATOS'!$A:$I,3,0),0)</f>
        <v>0</v>
      </c>
      <c r="H1414" s="46">
        <f>IFERROR(VLOOKUP($E1414,'BASE DE DATOS'!$A:$I,3,0),0)</f>
        <v>0</v>
      </c>
      <c r="I1414" s="46">
        <f>IFERROR(VLOOKUP($E1414,'BASE DE DATOS'!$A:$I,3,0),0)</f>
        <v>0</v>
      </c>
      <c r="J1414" s="46">
        <f>IFERROR(VLOOKUP($E1414,'BASE DE DATOS'!$A:$I,3,0),0)</f>
        <v>0</v>
      </c>
      <c r="L1414" s="46">
        <f>IFERROR(VLOOKUP($E1414,'BASE DE DATOS'!$A:$I,3,0),0)</f>
        <v>0</v>
      </c>
    </row>
    <row r="1415" spans="6:12" x14ac:dyDescent="0.25">
      <c r="F1415" s="46">
        <f>IFERROR(VLOOKUP($E1428,'BASE DE DATOS'!$A:$I,3,0),0)</f>
        <v>0</v>
      </c>
      <c r="G1415" s="46">
        <f>IFERROR(VLOOKUP($E1415,'BASE DE DATOS'!$A:$I,3,0),0)</f>
        <v>0</v>
      </c>
      <c r="H1415" s="46">
        <f>IFERROR(VLOOKUP($E1415,'BASE DE DATOS'!$A:$I,3,0),0)</f>
        <v>0</v>
      </c>
      <c r="I1415" s="46">
        <f>IFERROR(VLOOKUP($E1415,'BASE DE DATOS'!$A:$I,3,0),0)</f>
        <v>0</v>
      </c>
      <c r="J1415" s="46">
        <f>IFERROR(VLOOKUP($E1415,'BASE DE DATOS'!$A:$I,3,0),0)</f>
        <v>0</v>
      </c>
      <c r="L1415" s="46">
        <f>IFERROR(VLOOKUP($E1415,'BASE DE DATOS'!$A:$I,3,0),0)</f>
        <v>0</v>
      </c>
    </row>
    <row r="1416" spans="6:12" x14ac:dyDescent="0.25">
      <c r="F1416" s="46">
        <f>IFERROR(VLOOKUP($E1429,'BASE DE DATOS'!$A:$I,3,0),0)</f>
        <v>0</v>
      </c>
      <c r="G1416" s="46">
        <f>IFERROR(VLOOKUP($E1416,'BASE DE DATOS'!$A:$I,3,0),0)</f>
        <v>0</v>
      </c>
      <c r="H1416" s="46">
        <f>IFERROR(VLOOKUP($E1416,'BASE DE DATOS'!$A:$I,3,0),0)</f>
        <v>0</v>
      </c>
      <c r="I1416" s="46">
        <f>IFERROR(VLOOKUP($E1416,'BASE DE DATOS'!$A:$I,3,0),0)</f>
        <v>0</v>
      </c>
      <c r="J1416" s="46">
        <f>IFERROR(VLOOKUP($E1416,'BASE DE DATOS'!$A:$I,3,0),0)</f>
        <v>0</v>
      </c>
      <c r="L1416" s="46">
        <f>IFERROR(VLOOKUP($E1416,'BASE DE DATOS'!$A:$I,3,0),0)</f>
        <v>0</v>
      </c>
    </row>
    <row r="1417" spans="6:12" x14ac:dyDescent="0.25">
      <c r="F1417" s="46">
        <f>IFERROR(VLOOKUP($E1430,'BASE DE DATOS'!$A:$I,3,0),0)</f>
        <v>0</v>
      </c>
      <c r="G1417" s="46">
        <f>IFERROR(VLOOKUP($E1417,'BASE DE DATOS'!$A:$I,3,0),0)</f>
        <v>0</v>
      </c>
      <c r="H1417" s="46">
        <f>IFERROR(VLOOKUP($E1417,'BASE DE DATOS'!$A:$I,3,0),0)</f>
        <v>0</v>
      </c>
      <c r="I1417" s="46">
        <f>IFERROR(VLOOKUP($E1417,'BASE DE DATOS'!$A:$I,3,0),0)</f>
        <v>0</v>
      </c>
      <c r="J1417" s="46">
        <f>IFERROR(VLOOKUP($E1417,'BASE DE DATOS'!$A:$I,3,0),0)</f>
        <v>0</v>
      </c>
      <c r="L1417" s="46">
        <f>IFERROR(VLOOKUP($E1417,'BASE DE DATOS'!$A:$I,3,0),0)</f>
        <v>0</v>
      </c>
    </row>
    <row r="1418" spans="6:12" x14ac:dyDescent="0.25">
      <c r="F1418" s="46">
        <f>IFERROR(VLOOKUP($E1431,'BASE DE DATOS'!$A:$I,3,0),0)</f>
        <v>0</v>
      </c>
      <c r="G1418" s="46">
        <f>IFERROR(VLOOKUP($E1418,'BASE DE DATOS'!$A:$I,3,0),0)</f>
        <v>0</v>
      </c>
      <c r="H1418" s="46">
        <f>IFERROR(VLOOKUP($E1418,'BASE DE DATOS'!$A:$I,3,0),0)</f>
        <v>0</v>
      </c>
      <c r="I1418" s="46">
        <f>IFERROR(VLOOKUP($E1418,'BASE DE DATOS'!$A:$I,3,0),0)</f>
        <v>0</v>
      </c>
      <c r="J1418" s="46">
        <f>IFERROR(VLOOKUP($E1418,'BASE DE DATOS'!$A:$I,3,0),0)</f>
        <v>0</v>
      </c>
      <c r="L1418" s="46">
        <f>IFERROR(VLOOKUP($E1418,'BASE DE DATOS'!$A:$I,3,0),0)</f>
        <v>0</v>
      </c>
    </row>
    <row r="1419" spans="6:12" x14ac:dyDescent="0.25">
      <c r="F1419" s="46">
        <f>IFERROR(VLOOKUP($E1432,'BASE DE DATOS'!$A:$I,3,0),0)</f>
        <v>0</v>
      </c>
      <c r="G1419" s="46">
        <f>IFERROR(VLOOKUP($E1419,'BASE DE DATOS'!$A:$I,3,0),0)</f>
        <v>0</v>
      </c>
      <c r="H1419" s="46">
        <f>IFERROR(VLOOKUP($E1419,'BASE DE DATOS'!$A:$I,3,0),0)</f>
        <v>0</v>
      </c>
      <c r="I1419" s="46">
        <f>IFERROR(VLOOKUP($E1419,'BASE DE DATOS'!$A:$I,3,0),0)</f>
        <v>0</v>
      </c>
      <c r="J1419" s="46">
        <f>IFERROR(VLOOKUP($E1419,'BASE DE DATOS'!$A:$I,3,0),0)</f>
        <v>0</v>
      </c>
      <c r="L1419" s="46">
        <f>IFERROR(VLOOKUP($E1419,'BASE DE DATOS'!$A:$I,3,0),0)</f>
        <v>0</v>
      </c>
    </row>
    <row r="1420" spans="6:12" x14ac:dyDescent="0.25">
      <c r="F1420" s="46">
        <f>IFERROR(VLOOKUP($E1433,'BASE DE DATOS'!$A:$I,3,0),0)</f>
        <v>0</v>
      </c>
      <c r="G1420" s="46">
        <f>IFERROR(VLOOKUP($E1420,'BASE DE DATOS'!$A:$I,3,0),0)</f>
        <v>0</v>
      </c>
      <c r="H1420" s="46">
        <f>IFERROR(VLOOKUP($E1420,'BASE DE DATOS'!$A:$I,3,0),0)</f>
        <v>0</v>
      </c>
      <c r="I1420" s="46">
        <f>IFERROR(VLOOKUP($E1420,'BASE DE DATOS'!$A:$I,3,0),0)</f>
        <v>0</v>
      </c>
      <c r="J1420" s="46">
        <f>IFERROR(VLOOKUP($E1420,'BASE DE DATOS'!$A:$I,3,0),0)</f>
        <v>0</v>
      </c>
      <c r="L1420" s="46">
        <f>IFERROR(VLOOKUP($E1420,'BASE DE DATOS'!$A:$I,3,0),0)</f>
        <v>0</v>
      </c>
    </row>
    <row r="1421" spans="6:12" x14ac:dyDescent="0.25">
      <c r="F1421" s="46">
        <f>IFERROR(VLOOKUP($E1434,'BASE DE DATOS'!$A:$I,3,0),0)</f>
        <v>0</v>
      </c>
      <c r="G1421" s="46">
        <f>IFERROR(VLOOKUP($E1421,'BASE DE DATOS'!$A:$I,3,0),0)</f>
        <v>0</v>
      </c>
      <c r="H1421" s="46">
        <f>IFERROR(VLOOKUP($E1421,'BASE DE DATOS'!$A:$I,3,0),0)</f>
        <v>0</v>
      </c>
      <c r="I1421" s="46">
        <f>IFERROR(VLOOKUP($E1421,'BASE DE DATOS'!$A:$I,3,0),0)</f>
        <v>0</v>
      </c>
      <c r="J1421" s="46">
        <f>IFERROR(VLOOKUP($E1421,'BASE DE DATOS'!$A:$I,3,0),0)</f>
        <v>0</v>
      </c>
      <c r="L1421" s="46">
        <f>IFERROR(VLOOKUP($E1421,'BASE DE DATOS'!$A:$I,3,0),0)</f>
        <v>0</v>
      </c>
    </row>
    <row r="1422" spans="6:12" x14ac:dyDescent="0.25">
      <c r="F1422" s="46">
        <f>IFERROR(VLOOKUP($E1435,'BASE DE DATOS'!$A:$I,3,0),0)</f>
        <v>0</v>
      </c>
      <c r="G1422" s="46">
        <f>IFERROR(VLOOKUP($E1422,'BASE DE DATOS'!$A:$I,3,0),0)</f>
        <v>0</v>
      </c>
      <c r="H1422" s="46">
        <f>IFERROR(VLOOKUP($E1422,'BASE DE DATOS'!$A:$I,3,0),0)</f>
        <v>0</v>
      </c>
      <c r="I1422" s="46">
        <f>IFERROR(VLOOKUP($E1422,'BASE DE DATOS'!$A:$I,3,0),0)</f>
        <v>0</v>
      </c>
      <c r="J1422" s="46">
        <f>IFERROR(VLOOKUP($E1422,'BASE DE DATOS'!$A:$I,3,0),0)</f>
        <v>0</v>
      </c>
      <c r="L1422" s="46">
        <f>IFERROR(VLOOKUP($E1422,'BASE DE DATOS'!$A:$I,3,0),0)</f>
        <v>0</v>
      </c>
    </row>
    <row r="1423" spans="6:12" x14ac:dyDescent="0.25">
      <c r="F1423" s="46">
        <f>IFERROR(VLOOKUP($E1436,'BASE DE DATOS'!$A:$I,3,0),0)</f>
        <v>0</v>
      </c>
      <c r="G1423" s="46">
        <f>IFERROR(VLOOKUP($E1423,'BASE DE DATOS'!$A:$I,3,0),0)</f>
        <v>0</v>
      </c>
      <c r="H1423" s="46">
        <f>IFERROR(VLOOKUP($E1423,'BASE DE DATOS'!$A:$I,3,0),0)</f>
        <v>0</v>
      </c>
      <c r="I1423" s="46">
        <f>IFERROR(VLOOKUP($E1423,'BASE DE DATOS'!$A:$I,3,0),0)</f>
        <v>0</v>
      </c>
      <c r="J1423" s="46">
        <f>IFERROR(VLOOKUP($E1423,'BASE DE DATOS'!$A:$I,3,0),0)</f>
        <v>0</v>
      </c>
      <c r="L1423" s="46">
        <f>IFERROR(VLOOKUP($E1423,'BASE DE DATOS'!$A:$I,3,0),0)</f>
        <v>0</v>
      </c>
    </row>
    <row r="1424" spans="6:12" x14ac:dyDescent="0.25">
      <c r="F1424" s="46">
        <f>IFERROR(VLOOKUP($E1437,'BASE DE DATOS'!$A:$I,3,0),0)</f>
        <v>0</v>
      </c>
      <c r="G1424" s="46">
        <f>IFERROR(VLOOKUP($E1424,'BASE DE DATOS'!$A:$I,3,0),0)</f>
        <v>0</v>
      </c>
      <c r="H1424" s="46">
        <f>IFERROR(VLOOKUP($E1424,'BASE DE DATOS'!$A:$I,3,0),0)</f>
        <v>0</v>
      </c>
      <c r="I1424" s="46">
        <f>IFERROR(VLOOKUP($E1424,'BASE DE DATOS'!$A:$I,3,0),0)</f>
        <v>0</v>
      </c>
      <c r="J1424" s="46">
        <f>IFERROR(VLOOKUP($E1424,'BASE DE DATOS'!$A:$I,3,0),0)</f>
        <v>0</v>
      </c>
      <c r="L1424" s="46">
        <f>IFERROR(VLOOKUP($E1424,'BASE DE DATOS'!$A:$I,3,0),0)</f>
        <v>0</v>
      </c>
    </row>
    <row r="1425" spans="6:12" x14ac:dyDescent="0.25">
      <c r="F1425" s="46">
        <f>IFERROR(VLOOKUP($E1438,'BASE DE DATOS'!$A:$I,3,0),0)</f>
        <v>0</v>
      </c>
      <c r="G1425" s="46">
        <f>IFERROR(VLOOKUP($E1425,'BASE DE DATOS'!$A:$I,3,0),0)</f>
        <v>0</v>
      </c>
      <c r="H1425" s="46">
        <f>IFERROR(VLOOKUP($E1425,'BASE DE DATOS'!$A:$I,3,0),0)</f>
        <v>0</v>
      </c>
      <c r="I1425" s="46">
        <f>IFERROR(VLOOKUP($E1425,'BASE DE DATOS'!$A:$I,3,0),0)</f>
        <v>0</v>
      </c>
      <c r="J1425" s="46">
        <f>IFERROR(VLOOKUP($E1425,'BASE DE DATOS'!$A:$I,3,0),0)</f>
        <v>0</v>
      </c>
      <c r="L1425" s="46">
        <f>IFERROR(VLOOKUP($E1425,'BASE DE DATOS'!$A:$I,3,0),0)</f>
        <v>0</v>
      </c>
    </row>
    <row r="1426" spans="6:12" x14ac:dyDescent="0.25">
      <c r="F1426" s="46">
        <f>IFERROR(VLOOKUP($E1439,'BASE DE DATOS'!$A:$I,3,0),0)</f>
        <v>0</v>
      </c>
      <c r="G1426" s="46">
        <f>IFERROR(VLOOKUP($E1426,'BASE DE DATOS'!$A:$I,3,0),0)</f>
        <v>0</v>
      </c>
      <c r="H1426" s="46">
        <f>IFERROR(VLOOKUP($E1426,'BASE DE DATOS'!$A:$I,3,0),0)</f>
        <v>0</v>
      </c>
      <c r="I1426" s="46">
        <f>IFERROR(VLOOKUP($E1426,'BASE DE DATOS'!$A:$I,3,0),0)</f>
        <v>0</v>
      </c>
      <c r="J1426" s="46">
        <f>IFERROR(VLOOKUP($E1426,'BASE DE DATOS'!$A:$I,3,0),0)</f>
        <v>0</v>
      </c>
      <c r="L1426" s="46">
        <f>IFERROR(VLOOKUP($E1426,'BASE DE DATOS'!$A:$I,3,0),0)</f>
        <v>0</v>
      </c>
    </row>
    <row r="1427" spans="6:12" x14ac:dyDescent="0.25">
      <c r="F1427" s="46">
        <f>IFERROR(VLOOKUP($E1440,'BASE DE DATOS'!$A:$I,3,0),0)</f>
        <v>0</v>
      </c>
      <c r="G1427" s="46">
        <f>IFERROR(VLOOKUP($E1427,'BASE DE DATOS'!$A:$I,3,0),0)</f>
        <v>0</v>
      </c>
      <c r="H1427" s="46">
        <f>IFERROR(VLOOKUP($E1427,'BASE DE DATOS'!$A:$I,3,0),0)</f>
        <v>0</v>
      </c>
      <c r="I1427" s="46">
        <f>IFERROR(VLOOKUP($E1427,'BASE DE DATOS'!$A:$I,3,0),0)</f>
        <v>0</v>
      </c>
      <c r="J1427" s="46">
        <f>IFERROR(VLOOKUP($E1427,'BASE DE DATOS'!$A:$I,3,0),0)</f>
        <v>0</v>
      </c>
      <c r="L1427" s="46">
        <f>IFERROR(VLOOKUP($E1427,'BASE DE DATOS'!$A:$I,3,0),0)</f>
        <v>0</v>
      </c>
    </row>
    <row r="1428" spans="6:12" x14ac:dyDescent="0.25">
      <c r="F1428" s="46">
        <f>IFERROR(VLOOKUP($E1441,'BASE DE DATOS'!$A:$I,3,0),0)</f>
        <v>0</v>
      </c>
      <c r="G1428" s="46">
        <f>IFERROR(VLOOKUP($E1428,'BASE DE DATOS'!$A:$I,3,0),0)</f>
        <v>0</v>
      </c>
      <c r="H1428" s="46">
        <f>IFERROR(VLOOKUP($E1428,'BASE DE DATOS'!$A:$I,3,0),0)</f>
        <v>0</v>
      </c>
      <c r="I1428" s="46">
        <f>IFERROR(VLOOKUP($E1428,'BASE DE DATOS'!$A:$I,3,0),0)</f>
        <v>0</v>
      </c>
      <c r="J1428" s="46">
        <f>IFERROR(VLOOKUP($E1428,'BASE DE DATOS'!$A:$I,3,0),0)</f>
        <v>0</v>
      </c>
      <c r="L1428" s="46">
        <f>IFERROR(VLOOKUP($E1428,'BASE DE DATOS'!$A:$I,3,0),0)</f>
        <v>0</v>
      </c>
    </row>
    <row r="1429" spans="6:12" x14ac:dyDescent="0.25">
      <c r="F1429" s="46">
        <f>IFERROR(VLOOKUP($E1442,'BASE DE DATOS'!$A:$I,3,0),0)</f>
        <v>0</v>
      </c>
      <c r="G1429" s="46">
        <f>IFERROR(VLOOKUP($E1429,'BASE DE DATOS'!$A:$I,3,0),0)</f>
        <v>0</v>
      </c>
      <c r="H1429" s="46">
        <f>IFERROR(VLOOKUP($E1429,'BASE DE DATOS'!$A:$I,3,0),0)</f>
        <v>0</v>
      </c>
      <c r="I1429" s="46">
        <f>IFERROR(VLOOKUP($E1429,'BASE DE DATOS'!$A:$I,3,0),0)</f>
        <v>0</v>
      </c>
      <c r="J1429" s="46">
        <f>IFERROR(VLOOKUP($E1429,'BASE DE DATOS'!$A:$I,3,0),0)</f>
        <v>0</v>
      </c>
      <c r="L1429" s="46">
        <f>IFERROR(VLOOKUP($E1429,'BASE DE DATOS'!$A:$I,3,0),0)</f>
        <v>0</v>
      </c>
    </row>
    <row r="1430" spans="6:12" x14ac:dyDescent="0.25">
      <c r="F1430" s="46">
        <f>IFERROR(VLOOKUP($E1443,'BASE DE DATOS'!$A:$I,3,0),0)</f>
        <v>0</v>
      </c>
      <c r="G1430" s="46">
        <f>IFERROR(VLOOKUP($E1430,'BASE DE DATOS'!$A:$I,3,0),0)</f>
        <v>0</v>
      </c>
      <c r="H1430" s="46">
        <f>IFERROR(VLOOKUP($E1430,'BASE DE DATOS'!$A:$I,3,0),0)</f>
        <v>0</v>
      </c>
      <c r="I1430" s="46">
        <f>IFERROR(VLOOKUP($E1430,'BASE DE DATOS'!$A:$I,3,0),0)</f>
        <v>0</v>
      </c>
      <c r="J1430" s="46">
        <f>IFERROR(VLOOKUP($E1430,'BASE DE DATOS'!$A:$I,3,0),0)</f>
        <v>0</v>
      </c>
      <c r="L1430" s="46">
        <f>IFERROR(VLOOKUP($E1430,'BASE DE DATOS'!$A:$I,3,0),0)</f>
        <v>0</v>
      </c>
    </row>
    <row r="1431" spans="6:12" x14ac:dyDescent="0.25">
      <c r="F1431" s="46">
        <f>IFERROR(VLOOKUP($E1444,'BASE DE DATOS'!$A:$I,3,0),0)</f>
        <v>0</v>
      </c>
      <c r="G1431" s="46">
        <f>IFERROR(VLOOKUP($E1431,'BASE DE DATOS'!$A:$I,3,0),0)</f>
        <v>0</v>
      </c>
      <c r="H1431" s="46">
        <f>IFERROR(VLOOKUP($E1431,'BASE DE DATOS'!$A:$I,3,0),0)</f>
        <v>0</v>
      </c>
      <c r="I1431" s="46">
        <f>IFERROR(VLOOKUP($E1431,'BASE DE DATOS'!$A:$I,3,0),0)</f>
        <v>0</v>
      </c>
      <c r="J1431" s="46">
        <f>IFERROR(VLOOKUP($E1431,'BASE DE DATOS'!$A:$I,3,0),0)</f>
        <v>0</v>
      </c>
      <c r="L1431" s="46">
        <f>IFERROR(VLOOKUP($E1431,'BASE DE DATOS'!$A:$I,3,0),0)</f>
        <v>0</v>
      </c>
    </row>
    <row r="1432" spans="6:12" x14ac:dyDescent="0.25">
      <c r="F1432" s="46">
        <f>IFERROR(VLOOKUP($E1445,'BASE DE DATOS'!$A:$I,3,0),0)</f>
        <v>0</v>
      </c>
      <c r="G1432" s="46">
        <f>IFERROR(VLOOKUP($E1432,'BASE DE DATOS'!$A:$I,3,0),0)</f>
        <v>0</v>
      </c>
      <c r="H1432" s="46">
        <f>IFERROR(VLOOKUP($E1432,'BASE DE DATOS'!$A:$I,3,0),0)</f>
        <v>0</v>
      </c>
      <c r="I1432" s="46">
        <f>IFERROR(VLOOKUP($E1432,'BASE DE DATOS'!$A:$I,3,0),0)</f>
        <v>0</v>
      </c>
      <c r="J1432" s="46">
        <f>IFERROR(VLOOKUP($E1432,'BASE DE DATOS'!$A:$I,3,0),0)</f>
        <v>0</v>
      </c>
      <c r="L1432" s="46">
        <f>IFERROR(VLOOKUP($E1432,'BASE DE DATOS'!$A:$I,3,0),0)</f>
        <v>0</v>
      </c>
    </row>
    <row r="1433" spans="6:12" x14ac:dyDescent="0.25">
      <c r="F1433" s="46">
        <f>IFERROR(VLOOKUP($E1446,'BASE DE DATOS'!$A:$I,3,0),0)</f>
        <v>0</v>
      </c>
      <c r="G1433" s="46">
        <f>IFERROR(VLOOKUP($E1433,'BASE DE DATOS'!$A:$I,3,0),0)</f>
        <v>0</v>
      </c>
      <c r="H1433" s="46">
        <f>IFERROR(VLOOKUP($E1433,'BASE DE DATOS'!$A:$I,3,0),0)</f>
        <v>0</v>
      </c>
      <c r="I1433" s="46">
        <f>IFERROR(VLOOKUP($E1433,'BASE DE DATOS'!$A:$I,3,0),0)</f>
        <v>0</v>
      </c>
      <c r="J1433" s="46">
        <f>IFERROR(VLOOKUP($E1433,'BASE DE DATOS'!$A:$I,3,0),0)</f>
        <v>0</v>
      </c>
      <c r="L1433" s="46">
        <f>IFERROR(VLOOKUP($E1433,'BASE DE DATOS'!$A:$I,3,0),0)</f>
        <v>0</v>
      </c>
    </row>
    <row r="1434" spans="6:12" x14ac:dyDescent="0.25">
      <c r="F1434" s="46">
        <f>IFERROR(VLOOKUP($E1447,'BASE DE DATOS'!$A:$I,3,0),0)</f>
        <v>0</v>
      </c>
      <c r="G1434" s="46">
        <f>IFERROR(VLOOKUP($E1434,'BASE DE DATOS'!$A:$I,3,0),0)</f>
        <v>0</v>
      </c>
      <c r="H1434" s="46">
        <f>IFERROR(VLOOKUP($E1434,'BASE DE DATOS'!$A:$I,3,0),0)</f>
        <v>0</v>
      </c>
      <c r="I1434" s="46">
        <f>IFERROR(VLOOKUP($E1434,'BASE DE DATOS'!$A:$I,3,0),0)</f>
        <v>0</v>
      </c>
      <c r="J1434" s="46">
        <f>IFERROR(VLOOKUP($E1434,'BASE DE DATOS'!$A:$I,3,0),0)</f>
        <v>0</v>
      </c>
      <c r="L1434" s="46">
        <f>IFERROR(VLOOKUP($E1434,'BASE DE DATOS'!$A:$I,3,0),0)</f>
        <v>0</v>
      </c>
    </row>
    <row r="1435" spans="6:12" x14ac:dyDescent="0.25">
      <c r="F1435" s="46">
        <f>IFERROR(VLOOKUP($E1448,'BASE DE DATOS'!$A:$I,3,0),0)</f>
        <v>0</v>
      </c>
      <c r="G1435" s="46">
        <f>IFERROR(VLOOKUP($E1435,'BASE DE DATOS'!$A:$I,3,0),0)</f>
        <v>0</v>
      </c>
      <c r="H1435" s="46">
        <f>IFERROR(VLOOKUP($E1435,'BASE DE DATOS'!$A:$I,3,0),0)</f>
        <v>0</v>
      </c>
      <c r="I1435" s="46">
        <f>IFERROR(VLOOKUP($E1435,'BASE DE DATOS'!$A:$I,3,0),0)</f>
        <v>0</v>
      </c>
      <c r="J1435" s="46">
        <f>IFERROR(VLOOKUP($E1435,'BASE DE DATOS'!$A:$I,3,0),0)</f>
        <v>0</v>
      </c>
      <c r="L1435" s="46">
        <f>IFERROR(VLOOKUP($E1435,'BASE DE DATOS'!$A:$I,3,0),0)</f>
        <v>0</v>
      </c>
    </row>
    <row r="1436" spans="6:12" x14ac:dyDescent="0.25">
      <c r="F1436" s="46">
        <f>IFERROR(VLOOKUP($E1449,'BASE DE DATOS'!$A:$I,3,0),0)</f>
        <v>0</v>
      </c>
      <c r="G1436" s="46">
        <f>IFERROR(VLOOKUP($E1436,'BASE DE DATOS'!$A:$I,3,0),0)</f>
        <v>0</v>
      </c>
      <c r="H1436" s="46">
        <f>IFERROR(VLOOKUP($E1436,'BASE DE DATOS'!$A:$I,3,0),0)</f>
        <v>0</v>
      </c>
      <c r="I1436" s="46">
        <f>IFERROR(VLOOKUP($E1436,'BASE DE DATOS'!$A:$I,3,0),0)</f>
        <v>0</v>
      </c>
      <c r="J1436" s="46">
        <f>IFERROR(VLOOKUP($E1436,'BASE DE DATOS'!$A:$I,3,0),0)</f>
        <v>0</v>
      </c>
      <c r="L1436" s="46">
        <f>IFERROR(VLOOKUP($E1436,'BASE DE DATOS'!$A:$I,3,0),0)</f>
        <v>0</v>
      </c>
    </row>
    <row r="1437" spans="6:12" x14ac:dyDescent="0.25">
      <c r="F1437" s="46">
        <f>IFERROR(VLOOKUP($E1450,'BASE DE DATOS'!$A:$I,3,0),0)</f>
        <v>0</v>
      </c>
      <c r="G1437" s="46">
        <f>IFERROR(VLOOKUP($E1437,'BASE DE DATOS'!$A:$I,3,0),0)</f>
        <v>0</v>
      </c>
      <c r="H1437" s="46">
        <f>IFERROR(VLOOKUP($E1437,'BASE DE DATOS'!$A:$I,3,0),0)</f>
        <v>0</v>
      </c>
      <c r="I1437" s="46">
        <f>IFERROR(VLOOKUP($E1437,'BASE DE DATOS'!$A:$I,3,0),0)</f>
        <v>0</v>
      </c>
      <c r="J1437" s="46">
        <f>IFERROR(VLOOKUP($E1437,'BASE DE DATOS'!$A:$I,3,0),0)</f>
        <v>0</v>
      </c>
      <c r="L1437" s="46">
        <f>IFERROR(VLOOKUP($E1437,'BASE DE DATOS'!$A:$I,3,0),0)</f>
        <v>0</v>
      </c>
    </row>
    <row r="1438" spans="6:12" x14ac:dyDescent="0.25">
      <c r="F1438" s="46">
        <f>IFERROR(VLOOKUP($E1451,'BASE DE DATOS'!$A:$I,3,0),0)</f>
        <v>0</v>
      </c>
      <c r="G1438" s="46">
        <f>IFERROR(VLOOKUP($E1438,'BASE DE DATOS'!$A:$I,3,0),0)</f>
        <v>0</v>
      </c>
      <c r="H1438" s="46">
        <f>IFERROR(VLOOKUP($E1438,'BASE DE DATOS'!$A:$I,3,0),0)</f>
        <v>0</v>
      </c>
      <c r="I1438" s="46">
        <f>IFERROR(VLOOKUP($E1438,'BASE DE DATOS'!$A:$I,3,0),0)</f>
        <v>0</v>
      </c>
      <c r="J1438" s="46">
        <f>IFERROR(VLOOKUP($E1438,'BASE DE DATOS'!$A:$I,3,0),0)</f>
        <v>0</v>
      </c>
      <c r="L1438" s="46">
        <f>IFERROR(VLOOKUP($E1438,'BASE DE DATOS'!$A:$I,3,0),0)</f>
        <v>0</v>
      </c>
    </row>
    <row r="1439" spans="6:12" x14ac:dyDescent="0.25">
      <c r="F1439" s="46">
        <f>IFERROR(VLOOKUP($E1452,'BASE DE DATOS'!$A:$I,3,0),0)</f>
        <v>0</v>
      </c>
      <c r="G1439" s="46">
        <f>IFERROR(VLOOKUP($E1439,'BASE DE DATOS'!$A:$I,3,0),0)</f>
        <v>0</v>
      </c>
      <c r="H1439" s="46">
        <f>IFERROR(VLOOKUP($E1439,'BASE DE DATOS'!$A:$I,3,0),0)</f>
        <v>0</v>
      </c>
      <c r="I1439" s="46">
        <f>IFERROR(VLOOKUP($E1439,'BASE DE DATOS'!$A:$I,3,0),0)</f>
        <v>0</v>
      </c>
      <c r="J1439" s="46">
        <f>IFERROR(VLOOKUP($E1439,'BASE DE DATOS'!$A:$I,3,0),0)</f>
        <v>0</v>
      </c>
      <c r="L1439" s="46">
        <f>IFERROR(VLOOKUP($E1439,'BASE DE DATOS'!$A:$I,3,0),0)</f>
        <v>0</v>
      </c>
    </row>
    <row r="1440" spans="6:12" x14ac:dyDescent="0.25">
      <c r="F1440" s="46">
        <f>IFERROR(VLOOKUP($E1453,'BASE DE DATOS'!$A:$I,3,0),0)</f>
        <v>0</v>
      </c>
      <c r="G1440" s="46">
        <f>IFERROR(VLOOKUP($E1440,'BASE DE DATOS'!$A:$I,3,0),0)</f>
        <v>0</v>
      </c>
      <c r="H1440" s="46">
        <f>IFERROR(VLOOKUP($E1440,'BASE DE DATOS'!$A:$I,3,0),0)</f>
        <v>0</v>
      </c>
      <c r="I1440" s="46">
        <f>IFERROR(VLOOKUP($E1440,'BASE DE DATOS'!$A:$I,3,0),0)</f>
        <v>0</v>
      </c>
      <c r="J1440" s="46">
        <f>IFERROR(VLOOKUP($E1440,'BASE DE DATOS'!$A:$I,3,0),0)</f>
        <v>0</v>
      </c>
      <c r="L1440" s="46">
        <f>IFERROR(VLOOKUP($E1440,'BASE DE DATOS'!$A:$I,3,0),0)</f>
        <v>0</v>
      </c>
    </row>
    <row r="1441" spans="6:12" x14ac:dyDescent="0.25">
      <c r="F1441" s="46">
        <f>IFERROR(VLOOKUP($E1454,'BASE DE DATOS'!$A:$I,3,0),0)</f>
        <v>0</v>
      </c>
      <c r="G1441" s="46">
        <f>IFERROR(VLOOKUP($E1441,'BASE DE DATOS'!$A:$I,3,0),0)</f>
        <v>0</v>
      </c>
      <c r="H1441" s="46">
        <f>IFERROR(VLOOKUP($E1441,'BASE DE DATOS'!$A:$I,3,0),0)</f>
        <v>0</v>
      </c>
      <c r="I1441" s="46">
        <f>IFERROR(VLOOKUP($E1441,'BASE DE DATOS'!$A:$I,3,0),0)</f>
        <v>0</v>
      </c>
      <c r="J1441" s="46">
        <f>IFERROR(VLOOKUP($E1441,'BASE DE DATOS'!$A:$I,3,0),0)</f>
        <v>0</v>
      </c>
      <c r="L1441" s="46">
        <f>IFERROR(VLOOKUP($E1441,'BASE DE DATOS'!$A:$I,3,0),0)</f>
        <v>0</v>
      </c>
    </row>
    <row r="1442" spans="6:12" x14ac:dyDescent="0.25">
      <c r="F1442" s="46">
        <f>IFERROR(VLOOKUP($E1455,'BASE DE DATOS'!$A:$I,3,0),0)</f>
        <v>0</v>
      </c>
      <c r="G1442" s="46">
        <f>IFERROR(VLOOKUP($E1442,'BASE DE DATOS'!$A:$I,3,0),0)</f>
        <v>0</v>
      </c>
      <c r="H1442" s="46">
        <f>IFERROR(VLOOKUP($E1442,'BASE DE DATOS'!$A:$I,3,0),0)</f>
        <v>0</v>
      </c>
      <c r="I1442" s="46">
        <f>IFERROR(VLOOKUP($E1442,'BASE DE DATOS'!$A:$I,3,0),0)</f>
        <v>0</v>
      </c>
      <c r="J1442" s="46">
        <f>IFERROR(VLOOKUP($E1442,'BASE DE DATOS'!$A:$I,3,0),0)</f>
        <v>0</v>
      </c>
      <c r="L1442" s="46">
        <f>IFERROR(VLOOKUP($E1442,'BASE DE DATOS'!$A:$I,3,0),0)</f>
        <v>0</v>
      </c>
    </row>
    <row r="1443" spans="6:12" x14ac:dyDescent="0.25">
      <c r="F1443" s="46">
        <f>IFERROR(VLOOKUP($E1456,'BASE DE DATOS'!$A:$I,3,0),0)</f>
        <v>0</v>
      </c>
      <c r="G1443" s="46">
        <f>IFERROR(VLOOKUP($E1443,'BASE DE DATOS'!$A:$I,3,0),0)</f>
        <v>0</v>
      </c>
      <c r="H1443" s="46">
        <f>IFERROR(VLOOKUP($E1443,'BASE DE DATOS'!$A:$I,3,0),0)</f>
        <v>0</v>
      </c>
      <c r="I1443" s="46">
        <f>IFERROR(VLOOKUP($E1443,'BASE DE DATOS'!$A:$I,3,0),0)</f>
        <v>0</v>
      </c>
      <c r="J1443" s="46">
        <f>IFERROR(VLOOKUP($E1443,'BASE DE DATOS'!$A:$I,3,0),0)</f>
        <v>0</v>
      </c>
      <c r="L1443" s="46">
        <f>IFERROR(VLOOKUP($E1443,'BASE DE DATOS'!$A:$I,3,0),0)</f>
        <v>0</v>
      </c>
    </row>
    <row r="1444" spans="6:12" x14ac:dyDescent="0.25">
      <c r="F1444" s="46">
        <f>IFERROR(VLOOKUP($E1457,'BASE DE DATOS'!$A:$I,3,0),0)</f>
        <v>0</v>
      </c>
      <c r="G1444" s="46">
        <f>IFERROR(VLOOKUP($E1444,'BASE DE DATOS'!$A:$I,3,0),0)</f>
        <v>0</v>
      </c>
      <c r="H1444" s="46">
        <f>IFERROR(VLOOKUP($E1444,'BASE DE DATOS'!$A:$I,3,0),0)</f>
        <v>0</v>
      </c>
      <c r="I1444" s="46">
        <f>IFERROR(VLOOKUP($E1444,'BASE DE DATOS'!$A:$I,3,0),0)</f>
        <v>0</v>
      </c>
      <c r="J1444" s="46">
        <f>IFERROR(VLOOKUP($E1444,'BASE DE DATOS'!$A:$I,3,0),0)</f>
        <v>0</v>
      </c>
      <c r="L1444" s="46">
        <f>IFERROR(VLOOKUP($E1444,'BASE DE DATOS'!$A:$I,3,0),0)</f>
        <v>0</v>
      </c>
    </row>
    <row r="1445" spans="6:12" x14ac:dyDescent="0.25">
      <c r="F1445" s="46">
        <f>IFERROR(VLOOKUP($E1458,'BASE DE DATOS'!$A:$I,3,0),0)</f>
        <v>0</v>
      </c>
      <c r="G1445" s="46">
        <f>IFERROR(VLOOKUP($E1445,'BASE DE DATOS'!$A:$I,3,0),0)</f>
        <v>0</v>
      </c>
      <c r="H1445" s="46">
        <f>IFERROR(VLOOKUP($E1445,'BASE DE DATOS'!$A:$I,3,0),0)</f>
        <v>0</v>
      </c>
      <c r="I1445" s="46">
        <f>IFERROR(VLOOKUP($E1445,'BASE DE DATOS'!$A:$I,3,0),0)</f>
        <v>0</v>
      </c>
      <c r="J1445" s="46">
        <f>IFERROR(VLOOKUP($E1445,'BASE DE DATOS'!$A:$I,3,0),0)</f>
        <v>0</v>
      </c>
      <c r="L1445" s="46">
        <f>IFERROR(VLOOKUP($E1445,'BASE DE DATOS'!$A:$I,3,0),0)</f>
        <v>0</v>
      </c>
    </row>
    <row r="1446" spans="6:12" x14ac:dyDescent="0.25">
      <c r="F1446" s="46">
        <f>IFERROR(VLOOKUP($E1459,'BASE DE DATOS'!$A:$I,3,0),0)</f>
        <v>0</v>
      </c>
      <c r="G1446" s="46">
        <f>IFERROR(VLOOKUP($E1446,'BASE DE DATOS'!$A:$I,3,0),0)</f>
        <v>0</v>
      </c>
      <c r="H1446" s="46">
        <f>IFERROR(VLOOKUP($E1446,'BASE DE DATOS'!$A:$I,3,0),0)</f>
        <v>0</v>
      </c>
      <c r="I1446" s="46">
        <f>IFERROR(VLOOKUP($E1446,'BASE DE DATOS'!$A:$I,3,0),0)</f>
        <v>0</v>
      </c>
      <c r="J1446" s="46">
        <f>IFERROR(VLOOKUP($E1446,'BASE DE DATOS'!$A:$I,3,0),0)</f>
        <v>0</v>
      </c>
      <c r="L1446" s="46">
        <f>IFERROR(VLOOKUP($E1446,'BASE DE DATOS'!$A:$I,3,0),0)</f>
        <v>0</v>
      </c>
    </row>
    <row r="1447" spans="6:12" x14ac:dyDescent="0.25">
      <c r="F1447" s="46">
        <f>IFERROR(VLOOKUP($E1460,'BASE DE DATOS'!$A:$I,3,0),0)</f>
        <v>0</v>
      </c>
      <c r="G1447" s="46">
        <f>IFERROR(VLOOKUP($E1447,'BASE DE DATOS'!$A:$I,3,0),0)</f>
        <v>0</v>
      </c>
      <c r="H1447" s="46">
        <f>IFERROR(VLOOKUP($E1447,'BASE DE DATOS'!$A:$I,3,0),0)</f>
        <v>0</v>
      </c>
      <c r="I1447" s="46">
        <f>IFERROR(VLOOKUP($E1447,'BASE DE DATOS'!$A:$I,3,0),0)</f>
        <v>0</v>
      </c>
      <c r="J1447" s="46">
        <f>IFERROR(VLOOKUP($E1447,'BASE DE DATOS'!$A:$I,3,0),0)</f>
        <v>0</v>
      </c>
      <c r="L1447" s="46">
        <f>IFERROR(VLOOKUP($E1447,'BASE DE DATOS'!$A:$I,3,0),0)</f>
        <v>0</v>
      </c>
    </row>
    <row r="1448" spans="6:12" x14ac:dyDescent="0.25">
      <c r="F1448" s="46">
        <f>IFERROR(VLOOKUP($E1461,'BASE DE DATOS'!$A:$I,3,0),0)</f>
        <v>0</v>
      </c>
      <c r="G1448" s="46">
        <f>IFERROR(VLOOKUP($E1448,'BASE DE DATOS'!$A:$I,3,0),0)</f>
        <v>0</v>
      </c>
      <c r="H1448" s="46">
        <f>IFERROR(VLOOKUP($E1448,'BASE DE DATOS'!$A:$I,3,0),0)</f>
        <v>0</v>
      </c>
      <c r="I1448" s="46">
        <f>IFERROR(VLOOKUP($E1448,'BASE DE DATOS'!$A:$I,3,0),0)</f>
        <v>0</v>
      </c>
      <c r="J1448" s="46">
        <f>IFERROR(VLOOKUP($E1448,'BASE DE DATOS'!$A:$I,3,0),0)</f>
        <v>0</v>
      </c>
      <c r="L1448" s="46">
        <f>IFERROR(VLOOKUP($E1448,'BASE DE DATOS'!$A:$I,3,0),0)</f>
        <v>0</v>
      </c>
    </row>
    <row r="1449" spans="6:12" x14ac:dyDescent="0.25">
      <c r="F1449" s="46">
        <f>IFERROR(VLOOKUP($E1462,'BASE DE DATOS'!$A:$I,3,0),0)</f>
        <v>0</v>
      </c>
      <c r="G1449" s="46">
        <f>IFERROR(VLOOKUP($E1449,'BASE DE DATOS'!$A:$I,3,0),0)</f>
        <v>0</v>
      </c>
      <c r="H1449" s="46">
        <f>IFERROR(VLOOKUP($E1449,'BASE DE DATOS'!$A:$I,3,0),0)</f>
        <v>0</v>
      </c>
      <c r="I1449" s="46">
        <f>IFERROR(VLOOKUP($E1449,'BASE DE DATOS'!$A:$I,3,0),0)</f>
        <v>0</v>
      </c>
      <c r="J1449" s="46">
        <f>IFERROR(VLOOKUP($E1449,'BASE DE DATOS'!$A:$I,3,0),0)</f>
        <v>0</v>
      </c>
      <c r="L1449" s="46">
        <f>IFERROR(VLOOKUP($E1449,'BASE DE DATOS'!$A:$I,3,0),0)</f>
        <v>0</v>
      </c>
    </row>
    <row r="1450" spans="6:12" x14ac:dyDescent="0.25">
      <c r="F1450" s="46">
        <f>IFERROR(VLOOKUP($E1463,'BASE DE DATOS'!$A:$I,3,0),0)</f>
        <v>0</v>
      </c>
      <c r="G1450" s="46">
        <f>IFERROR(VLOOKUP($E1450,'BASE DE DATOS'!$A:$I,3,0),0)</f>
        <v>0</v>
      </c>
      <c r="H1450" s="46">
        <f>IFERROR(VLOOKUP($E1450,'BASE DE DATOS'!$A:$I,3,0),0)</f>
        <v>0</v>
      </c>
      <c r="I1450" s="46">
        <f>IFERROR(VLOOKUP($E1450,'BASE DE DATOS'!$A:$I,3,0),0)</f>
        <v>0</v>
      </c>
      <c r="J1450" s="46">
        <f>IFERROR(VLOOKUP($E1450,'BASE DE DATOS'!$A:$I,3,0),0)</f>
        <v>0</v>
      </c>
      <c r="L1450" s="46">
        <f>IFERROR(VLOOKUP($E1450,'BASE DE DATOS'!$A:$I,3,0),0)</f>
        <v>0</v>
      </c>
    </row>
    <row r="1451" spans="6:12" x14ac:dyDescent="0.25">
      <c r="F1451" s="46">
        <f>IFERROR(VLOOKUP($E1464,'BASE DE DATOS'!$A:$I,3,0),0)</f>
        <v>0</v>
      </c>
      <c r="G1451" s="46">
        <f>IFERROR(VLOOKUP($E1451,'BASE DE DATOS'!$A:$I,3,0),0)</f>
        <v>0</v>
      </c>
      <c r="H1451" s="46">
        <f>IFERROR(VLOOKUP($E1451,'BASE DE DATOS'!$A:$I,3,0),0)</f>
        <v>0</v>
      </c>
      <c r="I1451" s="46">
        <f>IFERROR(VLOOKUP($E1451,'BASE DE DATOS'!$A:$I,3,0),0)</f>
        <v>0</v>
      </c>
      <c r="J1451" s="46">
        <f>IFERROR(VLOOKUP($E1451,'BASE DE DATOS'!$A:$I,3,0),0)</f>
        <v>0</v>
      </c>
      <c r="L1451" s="46">
        <f>IFERROR(VLOOKUP($E1451,'BASE DE DATOS'!$A:$I,3,0),0)</f>
        <v>0</v>
      </c>
    </row>
    <row r="1452" spans="6:12" x14ac:dyDescent="0.25">
      <c r="F1452" s="46">
        <f>IFERROR(VLOOKUP($E1465,'BASE DE DATOS'!$A:$I,3,0),0)</f>
        <v>0</v>
      </c>
      <c r="G1452" s="46">
        <f>IFERROR(VLOOKUP($E1452,'BASE DE DATOS'!$A:$I,3,0),0)</f>
        <v>0</v>
      </c>
      <c r="H1452" s="46">
        <f>IFERROR(VLOOKUP($E1452,'BASE DE DATOS'!$A:$I,3,0),0)</f>
        <v>0</v>
      </c>
      <c r="I1452" s="46">
        <f>IFERROR(VLOOKUP($E1452,'BASE DE DATOS'!$A:$I,3,0),0)</f>
        <v>0</v>
      </c>
      <c r="J1452" s="46">
        <f>IFERROR(VLOOKUP($E1452,'BASE DE DATOS'!$A:$I,3,0),0)</f>
        <v>0</v>
      </c>
      <c r="L1452" s="46">
        <f>IFERROR(VLOOKUP($E1452,'BASE DE DATOS'!$A:$I,3,0),0)</f>
        <v>0</v>
      </c>
    </row>
    <row r="1453" spans="6:12" x14ac:dyDescent="0.25">
      <c r="F1453" s="46">
        <f>IFERROR(VLOOKUP($E1466,'BASE DE DATOS'!$A:$I,3,0),0)</f>
        <v>0</v>
      </c>
      <c r="G1453" s="46">
        <f>IFERROR(VLOOKUP($E1453,'BASE DE DATOS'!$A:$I,3,0),0)</f>
        <v>0</v>
      </c>
      <c r="H1453" s="46">
        <f>IFERROR(VLOOKUP($E1453,'BASE DE DATOS'!$A:$I,3,0),0)</f>
        <v>0</v>
      </c>
      <c r="I1453" s="46">
        <f>IFERROR(VLOOKUP($E1453,'BASE DE DATOS'!$A:$I,3,0),0)</f>
        <v>0</v>
      </c>
      <c r="J1453" s="46">
        <f>IFERROR(VLOOKUP($E1453,'BASE DE DATOS'!$A:$I,3,0),0)</f>
        <v>0</v>
      </c>
      <c r="L1453" s="46">
        <f>IFERROR(VLOOKUP($E1453,'BASE DE DATOS'!$A:$I,3,0),0)</f>
        <v>0</v>
      </c>
    </row>
    <row r="1454" spans="6:12" x14ac:dyDescent="0.25">
      <c r="F1454" s="46">
        <f>IFERROR(VLOOKUP($E1467,'BASE DE DATOS'!$A:$I,3,0),0)</f>
        <v>0</v>
      </c>
      <c r="G1454" s="46">
        <f>IFERROR(VLOOKUP($E1454,'BASE DE DATOS'!$A:$I,3,0),0)</f>
        <v>0</v>
      </c>
      <c r="H1454" s="46">
        <f>IFERROR(VLOOKUP($E1454,'BASE DE DATOS'!$A:$I,3,0),0)</f>
        <v>0</v>
      </c>
      <c r="I1454" s="46">
        <f>IFERROR(VLOOKUP($E1454,'BASE DE DATOS'!$A:$I,3,0),0)</f>
        <v>0</v>
      </c>
      <c r="J1454" s="46">
        <f>IFERROR(VLOOKUP($E1454,'BASE DE DATOS'!$A:$I,3,0),0)</f>
        <v>0</v>
      </c>
      <c r="L1454" s="46">
        <f>IFERROR(VLOOKUP($E1454,'BASE DE DATOS'!$A:$I,3,0),0)</f>
        <v>0</v>
      </c>
    </row>
    <row r="1455" spans="6:12" x14ac:dyDescent="0.25">
      <c r="F1455" s="46">
        <f>IFERROR(VLOOKUP($E1468,'BASE DE DATOS'!$A:$I,3,0),0)</f>
        <v>0</v>
      </c>
      <c r="G1455" s="46">
        <f>IFERROR(VLOOKUP($E1455,'BASE DE DATOS'!$A:$I,3,0),0)</f>
        <v>0</v>
      </c>
      <c r="H1455" s="46">
        <f>IFERROR(VLOOKUP($E1455,'BASE DE DATOS'!$A:$I,3,0),0)</f>
        <v>0</v>
      </c>
      <c r="I1455" s="46">
        <f>IFERROR(VLOOKUP($E1455,'BASE DE DATOS'!$A:$I,3,0),0)</f>
        <v>0</v>
      </c>
      <c r="J1455" s="46">
        <f>IFERROR(VLOOKUP($E1455,'BASE DE DATOS'!$A:$I,3,0),0)</f>
        <v>0</v>
      </c>
      <c r="L1455" s="46">
        <f>IFERROR(VLOOKUP($E1455,'BASE DE DATOS'!$A:$I,3,0),0)</f>
        <v>0</v>
      </c>
    </row>
    <row r="1456" spans="6:12" x14ac:dyDescent="0.25">
      <c r="F1456" s="46">
        <f>IFERROR(VLOOKUP($E1469,'BASE DE DATOS'!$A:$I,3,0),0)</f>
        <v>0</v>
      </c>
      <c r="G1456" s="46">
        <f>IFERROR(VLOOKUP($E1456,'BASE DE DATOS'!$A:$I,3,0),0)</f>
        <v>0</v>
      </c>
      <c r="H1456" s="46">
        <f>IFERROR(VLOOKUP($E1456,'BASE DE DATOS'!$A:$I,3,0),0)</f>
        <v>0</v>
      </c>
      <c r="I1456" s="46">
        <f>IFERROR(VLOOKUP($E1456,'BASE DE DATOS'!$A:$I,3,0),0)</f>
        <v>0</v>
      </c>
      <c r="J1456" s="46">
        <f>IFERROR(VLOOKUP($E1456,'BASE DE DATOS'!$A:$I,3,0),0)</f>
        <v>0</v>
      </c>
      <c r="L1456" s="46">
        <f>IFERROR(VLOOKUP($E1456,'BASE DE DATOS'!$A:$I,3,0),0)</f>
        <v>0</v>
      </c>
    </row>
    <row r="1457" spans="6:12" x14ac:dyDescent="0.25">
      <c r="F1457" s="46">
        <f>IFERROR(VLOOKUP($E1470,'BASE DE DATOS'!$A:$I,3,0),0)</f>
        <v>0</v>
      </c>
      <c r="G1457" s="46">
        <f>IFERROR(VLOOKUP($E1457,'BASE DE DATOS'!$A:$I,3,0),0)</f>
        <v>0</v>
      </c>
      <c r="H1457" s="46">
        <f>IFERROR(VLOOKUP($E1457,'BASE DE DATOS'!$A:$I,3,0),0)</f>
        <v>0</v>
      </c>
      <c r="I1457" s="46">
        <f>IFERROR(VLOOKUP($E1457,'BASE DE DATOS'!$A:$I,3,0),0)</f>
        <v>0</v>
      </c>
      <c r="J1457" s="46">
        <f>IFERROR(VLOOKUP($E1457,'BASE DE DATOS'!$A:$I,3,0),0)</f>
        <v>0</v>
      </c>
      <c r="L1457" s="46">
        <f>IFERROR(VLOOKUP($E1457,'BASE DE DATOS'!$A:$I,3,0),0)</f>
        <v>0</v>
      </c>
    </row>
    <row r="1458" spans="6:12" x14ac:dyDescent="0.25">
      <c r="F1458" s="46">
        <f>IFERROR(VLOOKUP($E1471,'BASE DE DATOS'!$A:$I,3,0),0)</f>
        <v>0</v>
      </c>
      <c r="G1458" s="46">
        <f>IFERROR(VLOOKUP($E1458,'BASE DE DATOS'!$A:$I,3,0),0)</f>
        <v>0</v>
      </c>
      <c r="H1458" s="46">
        <f>IFERROR(VLOOKUP($E1458,'BASE DE DATOS'!$A:$I,3,0),0)</f>
        <v>0</v>
      </c>
      <c r="I1458" s="46">
        <f>IFERROR(VLOOKUP($E1458,'BASE DE DATOS'!$A:$I,3,0),0)</f>
        <v>0</v>
      </c>
      <c r="J1458" s="46">
        <f>IFERROR(VLOOKUP($E1458,'BASE DE DATOS'!$A:$I,3,0),0)</f>
        <v>0</v>
      </c>
      <c r="L1458" s="46">
        <f>IFERROR(VLOOKUP($E1458,'BASE DE DATOS'!$A:$I,3,0),0)</f>
        <v>0</v>
      </c>
    </row>
    <row r="1459" spans="6:12" x14ac:dyDescent="0.25">
      <c r="F1459" s="46">
        <f>IFERROR(VLOOKUP($E1472,'BASE DE DATOS'!$A:$I,3,0),0)</f>
        <v>0</v>
      </c>
      <c r="G1459" s="46">
        <f>IFERROR(VLOOKUP($E1459,'BASE DE DATOS'!$A:$I,3,0),0)</f>
        <v>0</v>
      </c>
      <c r="H1459" s="46">
        <f>IFERROR(VLOOKUP($E1459,'BASE DE DATOS'!$A:$I,3,0),0)</f>
        <v>0</v>
      </c>
      <c r="I1459" s="46">
        <f>IFERROR(VLOOKUP($E1459,'BASE DE DATOS'!$A:$I,3,0),0)</f>
        <v>0</v>
      </c>
      <c r="J1459" s="46">
        <f>IFERROR(VLOOKUP($E1459,'BASE DE DATOS'!$A:$I,3,0),0)</f>
        <v>0</v>
      </c>
      <c r="L1459" s="46">
        <f>IFERROR(VLOOKUP($E1459,'BASE DE DATOS'!$A:$I,3,0),0)</f>
        <v>0</v>
      </c>
    </row>
    <row r="1460" spans="6:12" x14ac:dyDescent="0.25">
      <c r="F1460" s="46">
        <f>IFERROR(VLOOKUP($E1473,'BASE DE DATOS'!$A:$I,3,0),0)</f>
        <v>0</v>
      </c>
      <c r="G1460" s="46">
        <f>IFERROR(VLOOKUP($E1460,'BASE DE DATOS'!$A:$I,3,0),0)</f>
        <v>0</v>
      </c>
      <c r="H1460" s="46">
        <f>IFERROR(VLOOKUP($E1460,'BASE DE DATOS'!$A:$I,3,0),0)</f>
        <v>0</v>
      </c>
      <c r="I1460" s="46">
        <f>IFERROR(VLOOKUP($E1460,'BASE DE DATOS'!$A:$I,3,0),0)</f>
        <v>0</v>
      </c>
      <c r="J1460" s="46">
        <f>IFERROR(VLOOKUP($E1460,'BASE DE DATOS'!$A:$I,3,0),0)</f>
        <v>0</v>
      </c>
      <c r="L1460" s="46">
        <f>IFERROR(VLOOKUP($E1460,'BASE DE DATOS'!$A:$I,3,0),0)</f>
        <v>0</v>
      </c>
    </row>
    <row r="1461" spans="6:12" x14ac:dyDescent="0.25">
      <c r="F1461" s="46">
        <f>IFERROR(VLOOKUP($E1474,'BASE DE DATOS'!$A:$I,3,0),0)</f>
        <v>0</v>
      </c>
      <c r="G1461" s="46">
        <f>IFERROR(VLOOKUP($E1461,'BASE DE DATOS'!$A:$I,3,0),0)</f>
        <v>0</v>
      </c>
      <c r="H1461" s="46">
        <f>IFERROR(VLOOKUP($E1461,'BASE DE DATOS'!$A:$I,3,0),0)</f>
        <v>0</v>
      </c>
      <c r="I1461" s="46">
        <f>IFERROR(VLOOKUP($E1461,'BASE DE DATOS'!$A:$I,3,0),0)</f>
        <v>0</v>
      </c>
      <c r="J1461" s="46">
        <f>IFERROR(VLOOKUP($E1461,'BASE DE DATOS'!$A:$I,3,0),0)</f>
        <v>0</v>
      </c>
      <c r="L1461" s="46">
        <f>IFERROR(VLOOKUP($E1461,'BASE DE DATOS'!$A:$I,3,0),0)</f>
        <v>0</v>
      </c>
    </row>
    <row r="1462" spans="6:12" x14ac:dyDescent="0.25">
      <c r="F1462" s="46">
        <f>IFERROR(VLOOKUP($E1475,'BASE DE DATOS'!$A:$I,3,0),0)</f>
        <v>0</v>
      </c>
      <c r="G1462" s="46">
        <f>IFERROR(VLOOKUP($E1462,'BASE DE DATOS'!$A:$I,3,0),0)</f>
        <v>0</v>
      </c>
      <c r="H1462" s="46">
        <f>IFERROR(VLOOKUP($E1462,'BASE DE DATOS'!$A:$I,3,0),0)</f>
        <v>0</v>
      </c>
      <c r="I1462" s="46">
        <f>IFERROR(VLOOKUP($E1462,'BASE DE DATOS'!$A:$I,3,0),0)</f>
        <v>0</v>
      </c>
      <c r="J1462" s="46">
        <f>IFERROR(VLOOKUP($E1462,'BASE DE DATOS'!$A:$I,3,0),0)</f>
        <v>0</v>
      </c>
      <c r="L1462" s="46">
        <f>IFERROR(VLOOKUP($E1462,'BASE DE DATOS'!$A:$I,3,0),0)</f>
        <v>0</v>
      </c>
    </row>
    <row r="1463" spans="6:12" x14ac:dyDescent="0.25">
      <c r="F1463" s="46">
        <f>IFERROR(VLOOKUP($E1476,'BASE DE DATOS'!$A:$I,3,0),0)</f>
        <v>0</v>
      </c>
      <c r="G1463" s="46">
        <f>IFERROR(VLOOKUP($E1463,'BASE DE DATOS'!$A:$I,3,0),0)</f>
        <v>0</v>
      </c>
      <c r="H1463" s="46">
        <f>IFERROR(VLOOKUP($E1463,'BASE DE DATOS'!$A:$I,3,0),0)</f>
        <v>0</v>
      </c>
      <c r="I1463" s="46">
        <f>IFERROR(VLOOKUP($E1463,'BASE DE DATOS'!$A:$I,3,0),0)</f>
        <v>0</v>
      </c>
      <c r="J1463" s="46">
        <f>IFERROR(VLOOKUP($E1463,'BASE DE DATOS'!$A:$I,3,0),0)</f>
        <v>0</v>
      </c>
      <c r="L1463" s="46">
        <f>IFERROR(VLOOKUP($E1463,'BASE DE DATOS'!$A:$I,3,0),0)</f>
        <v>0</v>
      </c>
    </row>
    <row r="1464" spans="6:12" x14ac:dyDescent="0.25">
      <c r="F1464" s="46">
        <f>IFERROR(VLOOKUP($E1477,'BASE DE DATOS'!$A:$I,3,0),0)</f>
        <v>0</v>
      </c>
      <c r="G1464" s="46">
        <f>IFERROR(VLOOKUP($E1464,'BASE DE DATOS'!$A:$I,3,0),0)</f>
        <v>0</v>
      </c>
      <c r="H1464" s="46">
        <f>IFERROR(VLOOKUP($E1464,'BASE DE DATOS'!$A:$I,3,0),0)</f>
        <v>0</v>
      </c>
      <c r="I1464" s="46">
        <f>IFERROR(VLOOKUP($E1464,'BASE DE DATOS'!$A:$I,3,0),0)</f>
        <v>0</v>
      </c>
      <c r="J1464" s="46">
        <f>IFERROR(VLOOKUP($E1464,'BASE DE DATOS'!$A:$I,3,0),0)</f>
        <v>0</v>
      </c>
      <c r="L1464" s="46">
        <f>IFERROR(VLOOKUP($E1464,'BASE DE DATOS'!$A:$I,3,0),0)</f>
        <v>0</v>
      </c>
    </row>
    <row r="1465" spans="6:12" x14ac:dyDescent="0.25">
      <c r="F1465" s="46">
        <f>IFERROR(VLOOKUP($E1478,'BASE DE DATOS'!$A:$I,3,0),0)</f>
        <v>0</v>
      </c>
      <c r="G1465" s="46">
        <f>IFERROR(VLOOKUP($E1465,'BASE DE DATOS'!$A:$I,3,0),0)</f>
        <v>0</v>
      </c>
      <c r="H1465" s="46">
        <f>IFERROR(VLOOKUP($E1465,'BASE DE DATOS'!$A:$I,3,0),0)</f>
        <v>0</v>
      </c>
      <c r="I1465" s="46">
        <f>IFERROR(VLOOKUP($E1465,'BASE DE DATOS'!$A:$I,3,0),0)</f>
        <v>0</v>
      </c>
      <c r="J1465" s="46">
        <f>IFERROR(VLOOKUP($E1465,'BASE DE DATOS'!$A:$I,3,0),0)</f>
        <v>0</v>
      </c>
      <c r="L1465" s="46">
        <f>IFERROR(VLOOKUP($E1465,'BASE DE DATOS'!$A:$I,3,0),0)</f>
        <v>0</v>
      </c>
    </row>
    <row r="1466" spans="6:12" x14ac:dyDescent="0.25">
      <c r="F1466" s="46">
        <f>IFERROR(VLOOKUP($E1479,'BASE DE DATOS'!$A:$I,3,0),0)</f>
        <v>0</v>
      </c>
      <c r="G1466" s="46">
        <f>IFERROR(VLOOKUP($E1466,'BASE DE DATOS'!$A:$I,3,0),0)</f>
        <v>0</v>
      </c>
      <c r="H1466" s="46">
        <f>IFERROR(VLOOKUP($E1466,'BASE DE DATOS'!$A:$I,3,0),0)</f>
        <v>0</v>
      </c>
      <c r="I1466" s="46">
        <f>IFERROR(VLOOKUP($E1466,'BASE DE DATOS'!$A:$I,3,0),0)</f>
        <v>0</v>
      </c>
      <c r="J1466" s="46">
        <f>IFERROR(VLOOKUP($E1466,'BASE DE DATOS'!$A:$I,3,0),0)</f>
        <v>0</v>
      </c>
      <c r="L1466" s="46">
        <f>IFERROR(VLOOKUP($E1466,'BASE DE DATOS'!$A:$I,3,0),0)</f>
        <v>0</v>
      </c>
    </row>
    <row r="1467" spans="6:12" x14ac:dyDescent="0.25">
      <c r="F1467" s="46">
        <f>IFERROR(VLOOKUP($E1480,'BASE DE DATOS'!$A:$I,3,0),0)</f>
        <v>0</v>
      </c>
      <c r="G1467" s="46">
        <f>IFERROR(VLOOKUP($E1467,'BASE DE DATOS'!$A:$I,3,0),0)</f>
        <v>0</v>
      </c>
      <c r="H1467" s="46">
        <f>IFERROR(VLOOKUP($E1467,'BASE DE DATOS'!$A:$I,3,0),0)</f>
        <v>0</v>
      </c>
      <c r="I1467" s="46">
        <f>IFERROR(VLOOKUP($E1467,'BASE DE DATOS'!$A:$I,3,0),0)</f>
        <v>0</v>
      </c>
      <c r="J1467" s="46">
        <f>IFERROR(VLOOKUP($E1467,'BASE DE DATOS'!$A:$I,3,0),0)</f>
        <v>0</v>
      </c>
      <c r="L1467" s="46">
        <f>IFERROR(VLOOKUP($E1467,'BASE DE DATOS'!$A:$I,3,0),0)</f>
        <v>0</v>
      </c>
    </row>
    <row r="1468" spans="6:12" x14ac:dyDescent="0.25">
      <c r="F1468" s="46">
        <f>IFERROR(VLOOKUP($E1481,'BASE DE DATOS'!$A:$I,3,0),0)</f>
        <v>0</v>
      </c>
      <c r="G1468" s="46">
        <f>IFERROR(VLOOKUP($E1468,'BASE DE DATOS'!$A:$I,3,0),0)</f>
        <v>0</v>
      </c>
      <c r="H1468" s="46">
        <f>IFERROR(VLOOKUP($E1468,'BASE DE DATOS'!$A:$I,3,0),0)</f>
        <v>0</v>
      </c>
      <c r="I1468" s="46">
        <f>IFERROR(VLOOKUP($E1468,'BASE DE DATOS'!$A:$I,3,0),0)</f>
        <v>0</v>
      </c>
      <c r="J1468" s="46">
        <f>IFERROR(VLOOKUP($E1468,'BASE DE DATOS'!$A:$I,3,0),0)</f>
        <v>0</v>
      </c>
      <c r="L1468" s="46">
        <f>IFERROR(VLOOKUP($E1468,'BASE DE DATOS'!$A:$I,3,0),0)</f>
        <v>0</v>
      </c>
    </row>
    <row r="1469" spans="6:12" x14ac:dyDescent="0.25">
      <c r="F1469" s="46">
        <f>IFERROR(VLOOKUP($E1482,'BASE DE DATOS'!$A:$I,3,0),0)</f>
        <v>0</v>
      </c>
      <c r="G1469" s="46">
        <f>IFERROR(VLOOKUP($E1469,'BASE DE DATOS'!$A:$I,3,0),0)</f>
        <v>0</v>
      </c>
      <c r="H1469" s="46">
        <f>IFERROR(VLOOKUP($E1469,'BASE DE DATOS'!$A:$I,3,0),0)</f>
        <v>0</v>
      </c>
      <c r="I1469" s="46">
        <f>IFERROR(VLOOKUP($E1469,'BASE DE DATOS'!$A:$I,3,0),0)</f>
        <v>0</v>
      </c>
      <c r="J1469" s="46">
        <f>IFERROR(VLOOKUP($E1469,'BASE DE DATOS'!$A:$I,3,0),0)</f>
        <v>0</v>
      </c>
      <c r="L1469" s="46">
        <f>IFERROR(VLOOKUP($E1469,'BASE DE DATOS'!$A:$I,3,0),0)</f>
        <v>0</v>
      </c>
    </row>
    <row r="1470" spans="6:12" x14ac:dyDescent="0.25">
      <c r="F1470" s="46">
        <f>IFERROR(VLOOKUP($E1483,'BASE DE DATOS'!$A:$I,3,0),0)</f>
        <v>0</v>
      </c>
      <c r="G1470" s="46">
        <f>IFERROR(VLOOKUP($E1470,'BASE DE DATOS'!$A:$I,3,0),0)</f>
        <v>0</v>
      </c>
      <c r="H1470" s="46">
        <f>IFERROR(VLOOKUP($E1470,'BASE DE DATOS'!$A:$I,3,0),0)</f>
        <v>0</v>
      </c>
      <c r="I1470" s="46">
        <f>IFERROR(VLOOKUP($E1470,'BASE DE DATOS'!$A:$I,3,0),0)</f>
        <v>0</v>
      </c>
      <c r="J1470" s="46">
        <f>IFERROR(VLOOKUP($E1470,'BASE DE DATOS'!$A:$I,3,0),0)</f>
        <v>0</v>
      </c>
      <c r="L1470" s="46">
        <f>IFERROR(VLOOKUP($E1470,'BASE DE DATOS'!$A:$I,3,0),0)</f>
        <v>0</v>
      </c>
    </row>
    <row r="1471" spans="6:12" x14ac:dyDescent="0.25">
      <c r="F1471" s="46">
        <f>IFERROR(VLOOKUP($E1484,'BASE DE DATOS'!$A:$I,3,0),0)</f>
        <v>0</v>
      </c>
      <c r="G1471" s="46">
        <f>IFERROR(VLOOKUP($E1471,'BASE DE DATOS'!$A:$I,3,0),0)</f>
        <v>0</v>
      </c>
      <c r="H1471" s="46">
        <f>IFERROR(VLOOKUP($E1471,'BASE DE DATOS'!$A:$I,3,0),0)</f>
        <v>0</v>
      </c>
      <c r="I1471" s="46">
        <f>IFERROR(VLOOKUP($E1471,'BASE DE DATOS'!$A:$I,3,0),0)</f>
        <v>0</v>
      </c>
      <c r="J1471" s="46">
        <f>IFERROR(VLOOKUP($E1471,'BASE DE DATOS'!$A:$I,3,0),0)</f>
        <v>0</v>
      </c>
      <c r="L1471" s="46">
        <f>IFERROR(VLOOKUP($E1471,'BASE DE DATOS'!$A:$I,3,0),0)</f>
        <v>0</v>
      </c>
    </row>
    <row r="1472" spans="6:12" x14ac:dyDescent="0.25">
      <c r="F1472" s="46">
        <f>IFERROR(VLOOKUP($E1485,'BASE DE DATOS'!$A:$I,3,0),0)</f>
        <v>0</v>
      </c>
      <c r="G1472" s="46">
        <f>IFERROR(VLOOKUP($E1472,'BASE DE DATOS'!$A:$I,3,0),0)</f>
        <v>0</v>
      </c>
      <c r="H1472" s="46">
        <f>IFERROR(VLOOKUP($E1472,'BASE DE DATOS'!$A:$I,3,0),0)</f>
        <v>0</v>
      </c>
      <c r="I1472" s="46">
        <f>IFERROR(VLOOKUP($E1472,'BASE DE DATOS'!$A:$I,3,0),0)</f>
        <v>0</v>
      </c>
      <c r="J1472" s="46">
        <f>IFERROR(VLOOKUP($E1472,'BASE DE DATOS'!$A:$I,3,0),0)</f>
        <v>0</v>
      </c>
      <c r="L1472" s="46">
        <f>IFERROR(VLOOKUP($E1472,'BASE DE DATOS'!$A:$I,3,0),0)</f>
        <v>0</v>
      </c>
    </row>
    <row r="1473" spans="6:12" x14ac:dyDescent="0.25">
      <c r="F1473" s="46">
        <f>IFERROR(VLOOKUP($E1486,'BASE DE DATOS'!$A:$I,3,0),0)</f>
        <v>0</v>
      </c>
      <c r="G1473" s="46">
        <f>IFERROR(VLOOKUP($E1473,'BASE DE DATOS'!$A:$I,3,0),0)</f>
        <v>0</v>
      </c>
      <c r="H1473" s="46">
        <f>IFERROR(VLOOKUP($E1473,'BASE DE DATOS'!$A:$I,3,0),0)</f>
        <v>0</v>
      </c>
      <c r="I1473" s="46">
        <f>IFERROR(VLOOKUP($E1473,'BASE DE DATOS'!$A:$I,3,0),0)</f>
        <v>0</v>
      </c>
      <c r="J1473" s="46">
        <f>IFERROR(VLOOKUP($E1473,'BASE DE DATOS'!$A:$I,3,0),0)</f>
        <v>0</v>
      </c>
      <c r="L1473" s="46">
        <f>IFERROR(VLOOKUP($E1473,'BASE DE DATOS'!$A:$I,3,0),0)</f>
        <v>0</v>
      </c>
    </row>
    <row r="1474" spans="6:12" x14ac:dyDescent="0.25">
      <c r="F1474" s="46">
        <f>IFERROR(VLOOKUP($E1487,'BASE DE DATOS'!$A:$I,3,0),0)</f>
        <v>0</v>
      </c>
      <c r="G1474" s="46">
        <f>IFERROR(VLOOKUP($E1474,'BASE DE DATOS'!$A:$I,3,0),0)</f>
        <v>0</v>
      </c>
      <c r="H1474" s="46">
        <f>IFERROR(VLOOKUP($E1474,'BASE DE DATOS'!$A:$I,3,0),0)</f>
        <v>0</v>
      </c>
      <c r="I1474" s="46">
        <f>IFERROR(VLOOKUP($E1474,'BASE DE DATOS'!$A:$I,3,0),0)</f>
        <v>0</v>
      </c>
      <c r="J1474" s="46">
        <f>IFERROR(VLOOKUP($E1474,'BASE DE DATOS'!$A:$I,3,0),0)</f>
        <v>0</v>
      </c>
      <c r="L1474" s="46">
        <f>IFERROR(VLOOKUP($E1474,'BASE DE DATOS'!$A:$I,3,0),0)</f>
        <v>0</v>
      </c>
    </row>
    <row r="1475" spans="6:12" x14ac:dyDescent="0.25">
      <c r="F1475" s="46">
        <f>IFERROR(VLOOKUP($E1488,'BASE DE DATOS'!$A:$I,3,0),0)</f>
        <v>0</v>
      </c>
      <c r="G1475" s="46">
        <f>IFERROR(VLOOKUP($E1475,'BASE DE DATOS'!$A:$I,3,0),0)</f>
        <v>0</v>
      </c>
      <c r="H1475" s="46">
        <f>IFERROR(VLOOKUP($E1475,'BASE DE DATOS'!$A:$I,3,0),0)</f>
        <v>0</v>
      </c>
      <c r="I1475" s="46">
        <f>IFERROR(VLOOKUP($E1475,'BASE DE DATOS'!$A:$I,3,0),0)</f>
        <v>0</v>
      </c>
      <c r="J1475" s="46">
        <f>IFERROR(VLOOKUP($E1475,'BASE DE DATOS'!$A:$I,3,0),0)</f>
        <v>0</v>
      </c>
      <c r="L1475" s="46">
        <f>IFERROR(VLOOKUP($E1475,'BASE DE DATOS'!$A:$I,3,0),0)</f>
        <v>0</v>
      </c>
    </row>
    <row r="1476" spans="6:12" x14ac:dyDescent="0.25">
      <c r="F1476" s="46">
        <f>IFERROR(VLOOKUP($E1489,'BASE DE DATOS'!$A:$I,3,0),0)</f>
        <v>0</v>
      </c>
      <c r="G1476" s="46">
        <f>IFERROR(VLOOKUP($E1476,'BASE DE DATOS'!$A:$I,3,0),0)</f>
        <v>0</v>
      </c>
      <c r="H1476" s="46">
        <f>IFERROR(VLOOKUP($E1476,'BASE DE DATOS'!$A:$I,3,0),0)</f>
        <v>0</v>
      </c>
      <c r="I1476" s="46">
        <f>IFERROR(VLOOKUP($E1476,'BASE DE DATOS'!$A:$I,3,0),0)</f>
        <v>0</v>
      </c>
      <c r="J1476" s="46">
        <f>IFERROR(VLOOKUP($E1476,'BASE DE DATOS'!$A:$I,3,0),0)</f>
        <v>0</v>
      </c>
      <c r="L1476" s="46">
        <f>IFERROR(VLOOKUP($E1476,'BASE DE DATOS'!$A:$I,3,0),0)</f>
        <v>0</v>
      </c>
    </row>
    <row r="1477" spans="6:12" x14ac:dyDescent="0.25">
      <c r="F1477" s="46">
        <f>IFERROR(VLOOKUP($E1490,'BASE DE DATOS'!$A:$I,3,0),0)</f>
        <v>0</v>
      </c>
      <c r="G1477" s="46">
        <f>IFERROR(VLOOKUP($E1477,'BASE DE DATOS'!$A:$I,3,0),0)</f>
        <v>0</v>
      </c>
      <c r="H1477" s="46">
        <f>IFERROR(VLOOKUP($E1477,'BASE DE DATOS'!$A:$I,3,0),0)</f>
        <v>0</v>
      </c>
      <c r="I1477" s="46">
        <f>IFERROR(VLOOKUP($E1477,'BASE DE DATOS'!$A:$I,3,0),0)</f>
        <v>0</v>
      </c>
      <c r="J1477" s="46">
        <f>IFERROR(VLOOKUP($E1477,'BASE DE DATOS'!$A:$I,3,0),0)</f>
        <v>0</v>
      </c>
      <c r="L1477" s="46">
        <f>IFERROR(VLOOKUP($E1477,'BASE DE DATOS'!$A:$I,3,0),0)</f>
        <v>0</v>
      </c>
    </row>
    <row r="1478" spans="6:12" x14ac:dyDescent="0.25">
      <c r="F1478" s="46">
        <f>IFERROR(VLOOKUP($E1491,'BASE DE DATOS'!$A:$I,3,0),0)</f>
        <v>0</v>
      </c>
      <c r="G1478" s="46">
        <f>IFERROR(VLOOKUP($E1478,'BASE DE DATOS'!$A:$I,3,0),0)</f>
        <v>0</v>
      </c>
      <c r="H1478" s="46">
        <f>IFERROR(VLOOKUP($E1478,'BASE DE DATOS'!$A:$I,3,0),0)</f>
        <v>0</v>
      </c>
      <c r="I1478" s="46">
        <f>IFERROR(VLOOKUP($E1478,'BASE DE DATOS'!$A:$I,3,0),0)</f>
        <v>0</v>
      </c>
      <c r="J1478" s="46">
        <f>IFERROR(VLOOKUP($E1478,'BASE DE DATOS'!$A:$I,3,0),0)</f>
        <v>0</v>
      </c>
      <c r="L1478" s="46">
        <f>IFERROR(VLOOKUP($E1478,'BASE DE DATOS'!$A:$I,3,0),0)</f>
        <v>0</v>
      </c>
    </row>
    <row r="1479" spans="6:12" x14ac:dyDescent="0.25">
      <c r="F1479" s="46">
        <f>IFERROR(VLOOKUP($E1492,'BASE DE DATOS'!$A:$I,3,0),0)</f>
        <v>0</v>
      </c>
      <c r="G1479" s="46">
        <f>IFERROR(VLOOKUP($E1479,'BASE DE DATOS'!$A:$I,3,0),0)</f>
        <v>0</v>
      </c>
      <c r="H1479" s="46">
        <f>IFERROR(VLOOKUP($E1479,'BASE DE DATOS'!$A:$I,3,0),0)</f>
        <v>0</v>
      </c>
      <c r="I1479" s="46">
        <f>IFERROR(VLOOKUP($E1479,'BASE DE DATOS'!$A:$I,3,0),0)</f>
        <v>0</v>
      </c>
      <c r="J1479" s="46">
        <f>IFERROR(VLOOKUP($E1479,'BASE DE DATOS'!$A:$I,3,0),0)</f>
        <v>0</v>
      </c>
      <c r="L1479" s="46">
        <f>IFERROR(VLOOKUP($E1479,'BASE DE DATOS'!$A:$I,3,0),0)</f>
        <v>0</v>
      </c>
    </row>
    <row r="1480" spans="6:12" x14ac:dyDescent="0.25">
      <c r="F1480" s="46">
        <f>IFERROR(VLOOKUP($E1493,'BASE DE DATOS'!$A:$I,3,0),0)</f>
        <v>0</v>
      </c>
      <c r="G1480" s="46">
        <f>IFERROR(VLOOKUP($E1480,'BASE DE DATOS'!$A:$I,3,0),0)</f>
        <v>0</v>
      </c>
      <c r="H1480" s="46">
        <f>IFERROR(VLOOKUP($E1480,'BASE DE DATOS'!$A:$I,3,0),0)</f>
        <v>0</v>
      </c>
      <c r="I1480" s="46">
        <f>IFERROR(VLOOKUP($E1480,'BASE DE DATOS'!$A:$I,3,0),0)</f>
        <v>0</v>
      </c>
      <c r="J1480" s="46">
        <f>IFERROR(VLOOKUP($E1480,'BASE DE DATOS'!$A:$I,3,0),0)</f>
        <v>0</v>
      </c>
      <c r="L1480" s="46">
        <f>IFERROR(VLOOKUP($E1480,'BASE DE DATOS'!$A:$I,3,0),0)</f>
        <v>0</v>
      </c>
    </row>
    <row r="1481" spans="6:12" x14ac:dyDescent="0.25">
      <c r="F1481" s="46">
        <f>IFERROR(VLOOKUP($E1494,'BASE DE DATOS'!$A:$I,3,0),0)</f>
        <v>0</v>
      </c>
      <c r="G1481" s="46">
        <f>IFERROR(VLOOKUP($E1481,'BASE DE DATOS'!$A:$I,3,0),0)</f>
        <v>0</v>
      </c>
      <c r="H1481" s="46">
        <f>IFERROR(VLOOKUP($E1481,'BASE DE DATOS'!$A:$I,3,0),0)</f>
        <v>0</v>
      </c>
      <c r="I1481" s="46">
        <f>IFERROR(VLOOKUP($E1481,'BASE DE DATOS'!$A:$I,3,0),0)</f>
        <v>0</v>
      </c>
      <c r="J1481" s="46">
        <f>IFERROR(VLOOKUP($E1481,'BASE DE DATOS'!$A:$I,3,0),0)</f>
        <v>0</v>
      </c>
      <c r="L1481" s="46">
        <f>IFERROR(VLOOKUP($E1481,'BASE DE DATOS'!$A:$I,3,0),0)</f>
        <v>0</v>
      </c>
    </row>
    <row r="1482" spans="6:12" x14ac:dyDescent="0.25">
      <c r="F1482" s="46">
        <f>IFERROR(VLOOKUP($E1495,'BASE DE DATOS'!$A:$I,3,0),0)</f>
        <v>0</v>
      </c>
      <c r="G1482" s="46">
        <f>IFERROR(VLOOKUP($E1482,'BASE DE DATOS'!$A:$I,3,0),0)</f>
        <v>0</v>
      </c>
      <c r="H1482" s="46">
        <f>IFERROR(VLOOKUP($E1482,'BASE DE DATOS'!$A:$I,3,0),0)</f>
        <v>0</v>
      </c>
      <c r="I1482" s="46">
        <f>IFERROR(VLOOKUP($E1482,'BASE DE DATOS'!$A:$I,3,0),0)</f>
        <v>0</v>
      </c>
      <c r="J1482" s="46">
        <f>IFERROR(VLOOKUP($E1482,'BASE DE DATOS'!$A:$I,3,0),0)</f>
        <v>0</v>
      </c>
      <c r="L1482" s="46">
        <f>IFERROR(VLOOKUP($E1482,'BASE DE DATOS'!$A:$I,3,0),0)</f>
        <v>0</v>
      </c>
    </row>
    <row r="1483" spans="6:12" x14ac:dyDescent="0.25">
      <c r="F1483" s="46">
        <f>IFERROR(VLOOKUP($E1496,'BASE DE DATOS'!$A:$I,3,0),0)</f>
        <v>0</v>
      </c>
      <c r="G1483" s="46">
        <f>IFERROR(VLOOKUP($E1483,'BASE DE DATOS'!$A:$I,3,0),0)</f>
        <v>0</v>
      </c>
      <c r="H1483" s="46">
        <f>IFERROR(VLOOKUP($E1483,'BASE DE DATOS'!$A:$I,3,0),0)</f>
        <v>0</v>
      </c>
      <c r="I1483" s="46">
        <f>IFERROR(VLOOKUP($E1483,'BASE DE DATOS'!$A:$I,3,0),0)</f>
        <v>0</v>
      </c>
      <c r="J1483" s="46">
        <f>IFERROR(VLOOKUP($E1483,'BASE DE DATOS'!$A:$I,3,0),0)</f>
        <v>0</v>
      </c>
      <c r="L1483" s="46">
        <f>IFERROR(VLOOKUP($E1483,'BASE DE DATOS'!$A:$I,3,0),0)</f>
        <v>0</v>
      </c>
    </row>
    <row r="1484" spans="6:12" x14ac:dyDescent="0.25">
      <c r="F1484" s="46">
        <f>IFERROR(VLOOKUP($E1497,'BASE DE DATOS'!$A:$I,3,0),0)</f>
        <v>0</v>
      </c>
      <c r="G1484" s="46">
        <f>IFERROR(VLOOKUP($E1484,'BASE DE DATOS'!$A:$I,3,0),0)</f>
        <v>0</v>
      </c>
      <c r="H1484" s="46">
        <f>IFERROR(VLOOKUP($E1484,'BASE DE DATOS'!$A:$I,3,0),0)</f>
        <v>0</v>
      </c>
      <c r="I1484" s="46">
        <f>IFERROR(VLOOKUP($E1484,'BASE DE DATOS'!$A:$I,3,0),0)</f>
        <v>0</v>
      </c>
      <c r="J1484" s="46">
        <f>IFERROR(VLOOKUP($E1484,'BASE DE DATOS'!$A:$I,3,0),0)</f>
        <v>0</v>
      </c>
      <c r="L1484" s="46">
        <f>IFERROR(VLOOKUP($E1484,'BASE DE DATOS'!$A:$I,3,0),0)</f>
        <v>0</v>
      </c>
    </row>
    <row r="1485" spans="6:12" x14ac:dyDescent="0.25">
      <c r="F1485" s="46">
        <f>IFERROR(VLOOKUP($E1498,'BASE DE DATOS'!$A:$I,3,0),0)</f>
        <v>0</v>
      </c>
      <c r="G1485" s="46">
        <f>IFERROR(VLOOKUP($E1485,'BASE DE DATOS'!$A:$I,3,0),0)</f>
        <v>0</v>
      </c>
      <c r="H1485" s="46">
        <f>IFERROR(VLOOKUP($E1485,'BASE DE DATOS'!$A:$I,3,0),0)</f>
        <v>0</v>
      </c>
      <c r="I1485" s="46">
        <f>IFERROR(VLOOKUP($E1485,'BASE DE DATOS'!$A:$I,3,0),0)</f>
        <v>0</v>
      </c>
      <c r="J1485" s="46">
        <f>IFERROR(VLOOKUP($E1485,'BASE DE DATOS'!$A:$I,3,0),0)</f>
        <v>0</v>
      </c>
      <c r="L1485" s="46">
        <f>IFERROR(VLOOKUP($E1485,'BASE DE DATOS'!$A:$I,3,0),0)</f>
        <v>0</v>
      </c>
    </row>
    <row r="1486" spans="6:12" x14ac:dyDescent="0.25">
      <c r="F1486" s="46">
        <f>IFERROR(VLOOKUP($E1499,'BASE DE DATOS'!$A:$I,3,0),0)</f>
        <v>0</v>
      </c>
      <c r="G1486" s="46">
        <f>IFERROR(VLOOKUP($E1486,'BASE DE DATOS'!$A:$I,3,0),0)</f>
        <v>0</v>
      </c>
      <c r="H1486" s="46">
        <f>IFERROR(VLOOKUP($E1486,'BASE DE DATOS'!$A:$I,3,0),0)</f>
        <v>0</v>
      </c>
      <c r="I1486" s="46">
        <f>IFERROR(VLOOKUP($E1486,'BASE DE DATOS'!$A:$I,3,0),0)</f>
        <v>0</v>
      </c>
      <c r="J1486" s="46">
        <f>IFERROR(VLOOKUP($E1486,'BASE DE DATOS'!$A:$I,3,0),0)</f>
        <v>0</v>
      </c>
      <c r="L1486" s="46">
        <f>IFERROR(VLOOKUP($E1486,'BASE DE DATOS'!$A:$I,3,0),0)</f>
        <v>0</v>
      </c>
    </row>
    <row r="1487" spans="6:12" x14ac:dyDescent="0.25">
      <c r="F1487" s="46">
        <f>IFERROR(VLOOKUP($E1500,'BASE DE DATOS'!$A:$I,3,0),0)</f>
        <v>0</v>
      </c>
      <c r="G1487" s="46">
        <f>IFERROR(VLOOKUP($E1487,'BASE DE DATOS'!$A:$I,3,0),0)</f>
        <v>0</v>
      </c>
      <c r="H1487" s="46">
        <f>IFERROR(VLOOKUP($E1487,'BASE DE DATOS'!$A:$I,3,0),0)</f>
        <v>0</v>
      </c>
      <c r="I1487" s="46">
        <f>IFERROR(VLOOKUP($E1487,'BASE DE DATOS'!$A:$I,3,0),0)</f>
        <v>0</v>
      </c>
      <c r="J1487" s="46">
        <f>IFERROR(VLOOKUP($E1487,'BASE DE DATOS'!$A:$I,3,0),0)</f>
        <v>0</v>
      </c>
      <c r="L1487" s="46">
        <f>IFERROR(VLOOKUP($E1487,'BASE DE DATOS'!$A:$I,3,0),0)</f>
        <v>0</v>
      </c>
    </row>
    <row r="1488" spans="6:12" x14ac:dyDescent="0.25">
      <c r="F1488" s="46">
        <f>IFERROR(VLOOKUP($E1501,'BASE DE DATOS'!$A:$I,3,0),0)</f>
        <v>0</v>
      </c>
      <c r="G1488" s="46">
        <f>IFERROR(VLOOKUP($E1488,'BASE DE DATOS'!$A:$I,3,0),0)</f>
        <v>0</v>
      </c>
      <c r="H1488" s="46">
        <f>IFERROR(VLOOKUP($E1488,'BASE DE DATOS'!$A:$I,3,0),0)</f>
        <v>0</v>
      </c>
      <c r="I1488" s="46">
        <f>IFERROR(VLOOKUP($E1488,'BASE DE DATOS'!$A:$I,3,0),0)</f>
        <v>0</v>
      </c>
      <c r="J1488" s="46">
        <f>IFERROR(VLOOKUP($E1488,'BASE DE DATOS'!$A:$I,3,0),0)</f>
        <v>0</v>
      </c>
      <c r="L1488" s="46">
        <f>IFERROR(VLOOKUP($E1488,'BASE DE DATOS'!$A:$I,3,0),0)</f>
        <v>0</v>
      </c>
    </row>
    <row r="1489" spans="6:12" x14ac:dyDescent="0.25">
      <c r="F1489" s="46">
        <f>IFERROR(VLOOKUP($E1502,'BASE DE DATOS'!$A:$I,3,0),0)</f>
        <v>0</v>
      </c>
      <c r="G1489" s="46">
        <f>IFERROR(VLOOKUP($E1489,'BASE DE DATOS'!$A:$I,3,0),0)</f>
        <v>0</v>
      </c>
      <c r="H1489" s="46">
        <f>IFERROR(VLOOKUP($E1489,'BASE DE DATOS'!$A:$I,3,0),0)</f>
        <v>0</v>
      </c>
      <c r="I1489" s="46">
        <f>IFERROR(VLOOKUP($E1489,'BASE DE DATOS'!$A:$I,3,0),0)</f>
        <v>0</v>
      </c>
      <c r="J1489" s="46">
        <f>IFERROR(VLOOKUP($E1489,'BASE DE DATOS'!$A:$I,3,0),0)</f>
        <v>0</v>
      </c>
      <c r="L1489" s="46">
        <f>IFERROR(VLOOKUP($E1489,'BASE DE DATOS'!$A:$I,3,0),0)</f>
        <v>0</v>
      </c>
    </row>
    <row r="1490" spans="6:12" x14ac:dyDescent="0.25">
      <c r="F1490" s="46">
        <f>IFERROR(VLOOKUP($E1503,'BASE DE DATOS'!$A:$I,3,0),0)</f>
        <v>0</v>
      </c>
      <c r="G1490" s="46">
        <f>IFERROR(VLOOKUP($E1490,'BASE DE DATOS'!$A:$I,3,0),0)</f>
        <v>0</v>
      </c>
      <c r="H1490" s="46">
        <f>IFERROR(VLOOKUP($E1490,'BASE DE DATOS'!$A:$I,3,0),0)</f>
        <v>0</v>
      </c>
      <c r="I1490" s="46">
        <f>IFERROR(VLOOKUP($E1490,'BASE DE DATOS'!$A:$I,3,0),0)</f>
        <v>0</v>
      </c>
      <c r="J1490" s="46">
        <f>IFERROR(VLOOKUP($E1490,'BASE DE DATOS'!$A:$I,3,0),0)</f>
        <v>0</v>
      </c>
      <c r="L1490" s="46">
        <f>IFERROR(VLOOKUP($E1490,'BASE DE DATOS'!$A:$I,3,0),0)</f>
        <v>0</v>
      </c>
    </row>
    <row r="1491" spans="6:12" x14ac:dyDescent="0.25">
      <c r="F1491" s="46">
        <f>IFERROR(VLOOKUP($E1504,'BASE DE DATOS'!$A:$I,3,0),0)</f>
        <v>0</v>
      </c>
      <c r="G1491" s="46">
        <f>IFERROR(VLOOKUP($E1491,'BASE DE DATOS'!$A:$I,3,0),0)</f>
        <v>0</v>
      </c>
      <c r="H1491" s="46">
        <f>IFERROR(VLOOKUP($E1491,'BASE DE DATOS'!$A:$I,3,0),0)</f>
        <v>0</v>
      </c>
      <c r="I1491" s="46">
        <f>IFERROR(VLOOKUP($E1491,'BASE DE DATOS'!$A:$I,3,0),0)</f>
        <v>0</v>
      </c>
      <c r="J1491" s="46">
        <f>IFERROR(VLOOKUP($E1491,'BASE DE DATOS'!$A:$I,3,0),0)</f>
        <v>0</v>
      </c>
      <c r="L1491" s="46">
        <f>IFERROR(VLOOKUP($E1491,'BASE DE DATOS'!$A:$I,3,0),0)</f>
        <v>0</v>
      </c>
    </row>
    <row r="1492" spans="6:12" x14ac:dyDescent="0.25">
      <c r="F1492" s="46">
        <f>IFERROR(VLOOKUP($E1505,'BASE DE DATOS'!$A:$I,3,0),0)</f>
        <v>0</v>
      </c>
      <c r="G1492" s="46">
        <f>IFERROR(VLOOKUP($E1492,'BASE DE DATOS'!$A:$I,3,0),0)</f>
        <v>0</v>
      </c>
      <c r="H1492" s="46">
        <f>IFERROR(VLOOKUP($E1492,'BASE DE DATOS'!$A:$I,3,0),0)</f>
        <v>0</v>
      </c>
      <c r="I1492" s="46">
        <f>IFERROR(VLOOKUP($E1492,'BASE DE DATOS'!$A:$I,3,0),0)</f>
        <v>0</v>
      </c>
      <c r="J1492" s="46">
        <f>IFERROR(VLOOKUP($E1492,'BASE DE DATOS'!$A:$I,3,0),0)</f>
        <v>0</v>
      </c>
      <c r="L1492" s="46">
        <f>IFERROR(VLOOKUP($E1492,'BASE DE DATOS'!$A:$I,3,0),0)</f>
        <v>0</v>
      </c>
    </row>
    <row r="1493" spans="6:12" x14ac:dyDescent="0.25">
      <c r="F1493" s="46">
        <f>IFERROR(VLOOKUP($E1506,'BASE DE DATOS'!$A:$I,3,0),0)</f>
        <v>0</v>
      </c>
      <c r="G1493" s="46">
        <f>IFERROR(VLOOKUP($E1493,'BASE DE DATOS'!$A:$I,3,0),0)</f>
        <v>0</v>
      </c>
      <c r="H1493" s="46">
        <f>IFERROR(VLOOKUP($E1493,'BASE DE DATOS'!$A:$I,3,0),0)</f>
        <v>0</v>
      </c>
      <c r="I1493" s="46">
        <f>IFERROR(VLOOKUP($E1493,'BASE DE DATOS'!$A:$I,3,0),0)</f>
        <v>0</v>
      </c>
      <c r="J1493" s="46">
        <f>IFERROR(VLOOKUP($E1493,'BASE DE DATOS'!$A:$I,3,0),0)</f>
        <v>0</v>
      </c>
      <c r="L1493" s="46">
        <f>IFERROR(VLOOKUP($E1493,'BASE DE DATOS'!$A:$I,3,0),0)</f>
        <v>0</v>
      </c>
    </row>
    <row r="1494" spans="6:12" x14ac:dyDescent="0.25">
      <c r="F1494" s="46">
        <f>IFERROR(VLOOKUP($E1507,'BASE DE DATOS'!$A:$I,3,0),0)</f>
        <v>0</v>
      </c>
      <c r="G1494" s="46">
        <f>IFERROR(VLOOKUP($E1494,'BASE DE DATOS'!$A:$I,3,0),0)</f>
        <v>0</v>
      </c>
      <c r="H1494" s="46">
        <f>IFERROR(VLOOKUP($E1494,'BASE DE DATOS'!$A:$I,3,0),0)</f>
        <v>0</v>
      </c>
      <c r="I1494" s="46">
        <f>IFERROR(VLOOKUP($E1494,'BASE DE DATOS'!$A:$I,3,0),0)</f>
        <v>0</v>
      </c>
      <c r="J1494" s="46">
        <f>IFERROR(VLOOKUP($E1494,'BASE DE DATOS'!$A:$I,3,0),0)</f>
        <v>0</v>
      </c>
      <c r="L1494" s="46">
        <f>IFERROR(VLOOKUP($E1494,'BASE DE DATOS'!$A:$I,3,0),0)</f>
        <v>0</v>
      </c>
    </row>
    <row r="1495" spans="6:12" x14ac:dyDescent="0.25">
      <c r="F1495" s="46">
        <f>IFERROR(VLOOKUP($E1508,'BASE DE DATOS'!$A:$I,3,0),0)</f>
        <v>0</v>
      </c>
      <c r="G1495" s="46">
        <f>IFERROR(VLOOKUP($E1495,'BASE DE DATOS'!$A:$I,3,0),0)</f>
        <v>0</v>
      </c>
      <c r="H1495" s="46">
        <f>IFERROR(VLOOKUP($E1495,'BASE DE DATOS'!$A:$I,3,0),0)</f>
        <v>0</v>
      </c>
      <c r="I1495" s="46">
        <f>IFERROR(VLOOKUP($E1495,'BASE DE DATOS'!$A:$I,3,0),0)</f>
        <v>0</v>
      </c>
      <c r="J1495" s="46">
        <f>IFERROR(VLOOKUP($E1495,'BASE DE DATOS'!$A:$I,3,0),0)</f>
        <v>0</v>
      </c>
      <c r="L1495" s="46">
        <f>IFERROR(VLOOKUP($E1495,'BASE DE DATOS'!$A:$I,3,0),0)</f>
        <v>0</v>
      </c>
    </row>
    <row r="1496" spans="6:12" x14ac:dyDescent="0.25">
      <c r="F1496" s="46">
        <f>IFERROR(VLOOKUP($E1509,'BASE DE DATOS'!$A:$I,3,0),0)</f>
        <v>0</v>
      </c>
      <c r="G1496" s="46">
        <f>IFERROR(VLOOKUP($E1496,'BASE DE DATOS'!$A:$I,3,0),0)</f>
        <v>0</v>
      </c>
      <c r="H1496" s="46">
        <f>IFERROR(VLOOKUP($E1496,'BASE DE DATOS'!$A:$I,3,0),0)</f>
        <v>0</v>
      </c>
      <c r="I1496" s="46">
        <f>IFERROR(VLOOKUP($E1496,'BASE DE DATOS'!$A:$I,3,0),0)</f>
        <v>0</v>
      </c>
      <c r="J1496" s="46">
        <f>IFERROR(VLOOKUP($E1496,'BASE DE DATOS'!$A:$I,3,0),0)</f>
        <v>0</v>
      </c>
      <c r="L1496" s="46">
        <f>IFERROR(VLOOKUP($E1496,'BASE DE DATOS'!$A:$I,3,0),0)</f>
        <v>0</v>
      </c>
    </row>
    <row r="1497" spans="6:12" x14ac:dyDescent="0.25">
      <c r="F1497" s="46">
        <f>IFERROR(VLOOKUP($E1510,'BASE DE DATOS'!$A:$I,3,0),0)</f>
        <v>0</v>
      </c>
      <c r="G1497" s="46">
        <f>IFERROR(VLOOKUP($E1497,'BASE DE DATOS'!$A:$I,3,0),0)</f>
        <v>0</v>
      </c>
      <c r="H1497" s="46">
        <f>IFERROR(VLOOKUP($E1497,'BASE DE DATOS'!$A:$I,3,0),0)</f>
        <v>0</v>
      </c>
      <c r="I1497" s="46">
        <f>IFERROR(VLOOKUP($E1497,'BASE DE DATOS'!$A:$I,3,0),0)</f>
        <v>0</v>
      </c>
      <c r="J1497" s="46">
        <f>IFERROR(VLOOKUP($E1497,'BASE DE DATOS'!$A:$I,3,0),0)</f>
        <v>0</v>
      </c>
      <c r="L1497" s="46">
        <f>IFERROR(VLOOKUP($E1497,'BASE DE DATOS'!$A:$I,3,0),0)</f>
        <v>0</v>
      </c>
    </row>
    <row r="1498" spans="6:12" x14ac:dyDescent="0.25">
      <c r="F1498" s="46">
        <f>IFERROR(VLOOKUP($E1511,'BASE DE DATOS'!$A:$I,3,0),0)</f>
        <v>0</v>
      </c>
      <c r="G1498" s="46">
        <f>IFERROR(VLOOKUP($E1498,'BASE DE DATOS'!$A:$I,3,0),0)</f>
        <v>0</v>
      </c>
      <c r="H1498" s="46">
        <f>IFERROR(VLOOKUP($E1498,'BASE DE DATOS'!$A:$I,3,0),0)</f>
        <v>0</v>
      </c>
      <c r="I1498" s="46">
        <f>IFERROR(VLOOKUP($E1498,'BASE DE DATOS'!$A:$I,3,0),0)</f>
        <v>0</v>
      </c>
      <c r="J1498" s="46">
        <f>IFERROR(VLOOKUP($E1498,'BASE DE DATOS'!$A:$I,3,0),0)</f>
        <v>0</v>
      </c>
      <c r="L1498" s="46">
        <f>IFERROR(VLOOKUP($E1498,'BASE DE DATOS'!$A:$I,3,0),0)</f>
        <v>0</v>
      </c>
    </row>
    <row r="1499" spans="6:12" x14ac:dyDescent="0.25">
      <c r="F1499" s="46">
        <f>IFERROR(VLOOKUP($E1512,'BASE DE DATOS'!$A:$I,3,0),0)</f>
        <v>0</v>
      </c>
      <c r="G1499" s="46">
        <f>IFERROR(VLOOKUP($E1499,'BASE DE DATOS'!$A:$I,3,0),0)</f>
        <v>0</v>
      </c>
      <c r="H1499" s="46">
        <f>IFERROR(VLOOKUP($E1499,'BASE DE DATOS'!$A:$I,3,0),0)</f>
        <v>0</v>
      </c>
      <c r="I1499" s="46">
        <f>IFERROR(VLOOKUP($E1499,'BASE DE DATOS'!$A:$I,3,0),0)</f>
        <v>0</v>
      </c>
      <c r="J1499" s="46">
        <f>IFERROR(VLOOKUP($E1499,'BASE DE DATOS'!$A:$I,3,0),0)</f>
        <v>0</v>
      </c>
      <c r="L1499" s="46">
        <f>IFERROR(VLOOKUP($E1499,'BASE DE DATOS'!$A:$I,3,0),0)</f>
        <v>0</v>
      </c>
    </row>
    <row r="1500" spans="6:12" x14ac:dyDescent="0.25">
      <c r="F1500" s="46">
        <f>IFERROR(VLOOKUP($E1513,'BASE DE DATOS'!$A:$I,3,0),0)</f>
        <v>0</v>
      </c>
      <c r="G1500" s="46">
        <f>IFERROR(VLOOKUP($E1500,'BASE DE DATOS'!$A:$I,3,0),0)</f>
        <v>0</v>
      </c>
      <c r="H1500" s="46">
        <f>IFERROR(VLOOKUP($E1500,'BASE DE DATOS'!$A:$I,3,0),0)</f>
        <v>0</v>
      </c>
      <c r="I1500" s="46">
        <f>IFERROR(VLOOKUP($E1500,'BASE DE DATOS'!$A:$I,3,0),0)</f>
        <v>0</v>
      </c>
      <c r="J1500" s="46">
        <f>IFERROR(VLOOKUP($E1500,'BASE DE DATOS'!$A:$I,3,0),0)</f>
        <v>0</v>
      </c>
      <c r="L1500" s="46">
        <f>IFERROR(VLOOKUP($E1500,'BASE DE DATOS'!$A:$I,3,0),0)</f>
        <v>0</v>
      </c>
    </row>
    <row r="1501" spans="6:12" x14ac:dyDescent="0.25">
      <c r="F1501" s="46">
        <f>IFERROR(VLOOKUP($E1514,'BASE DE DATOS'!$A:$I,3,0),0)</f>
        <v>0</v>
      </c>
      <c r="G1501" s="46">
        <f>IFERROR(VLOOKUP($E1501,'BASE DE DATOS'!$A:$I,3,0),0)</f>
        <v>0</v>
      </c>
      <c r="H1501" s="46">
        <f>IFERROR(VLOOKUP($E1501,'BASE DE DATOS'!$A:$I,3,0),0)</f>
        <v>0</v>
      </c>
      <c r="I1501" s="46">
        <f>IFERROR(VLOOKUP($E1501,'BASE DE DATOS'!$A:$I,3,0),0)</f>
        <v>0</v>
      </c>
      <c r="J1501" s="46">
        <f>IFERROR(VLOOKUP($E1501,'BASE DE DATOS'!$A:$I,3,0),0)</f>
        <v>0</v>
      </c>
      <c r="L1501" s="46">
        <f>IFERROR(VLOOKUP($E1501,'BASE DE DATOS'!$A:$I,3,0),0)</f>
        <v>0</v>
      </c>
    </row>
    <row r="1502" spans="6:12" x14ac:dyDescent="0.25">
      <c r="F1502" s="46">
        <f>IFERROR(VLOOKUP($E1515,'BASE DE DATOS'!$A:$I,3,0),0)</f>
        <v>0</v>
      </c>
      <c r="G1502" s="46">
        <f>IFERROR(VLOOKUP($E1502,'BASE DE DATOS'!$A:$I,3,0),0)</f>
        <v>0</v>
      </c>
      <c r="H1502" s="46">
        <f>IFERROR(VLOOKUP($E1502,'BASE DE DATOS'!$A:$I,3,0),0)</f>
        <v>0</v>
      </c>
      <c r="I1502" s="46">
        <f>IFERROR(VLOOKUP($E1502,'BASE DE DATOS'!$A:$I,3,0),0)</f>
        <v>0</v>
      </c>
      <c r="J1502" s="46">
        <f>IFERROR(VLOOKUP($E1502,'BASE DE DATOS'!$A:$I,3,0),0)</f>
        <v>0</v>
      </c>
      <c r="L1502" s="46">
        <f>IFERROR(VLOOKUP($E1502,'BASE DE DATOS'!$A:$I,3,0),0)</f>
        <v>0</v>
      </c>
    </row>
    <row r="1503" spans="6:12" x14ac:dyDescent="0.25">
      <c r="F1503" s="46">
        <f>IFERROR(VLOOKUP($E1516,'BASE DE DATOS'!$A:$I,3,0),0)</f>
        <v>0</v>
      </c>
      <c r="G1503" s="46">
        <f>IFERROR(VLOOKUP($E1503,'BASE DE DATOS'!$A:$I,3,0),0)</f>
        <v>0</v>
      </c>
      <c r="H1503" s="46">
        <f>IFERROR(VLOOKUP($E1503,'BASE DE DATOS'!$A:$I,3,0),0)</f>
        <v>0</v>
      </c>
      <c r="I1503" s="46">
        <f>IFERROR(VLOOKUP($E1503,'BASE DE DATOS'!$A:$I,3,0),0)</f>
        <v>0</v>
      </c>
      <c r="J1503" s="46">
        <f>IFERROR(VLOOKUP($E1503,'BASE DE DATOS'!$A:$I,3,0),0)</f>
        <v>0</v>
      </c>
      <c r="L1503" s="46">
        <f>IFERROR(VLOOKUP($E1503,'BASE DE DATOS'!$A:$I,3,0),0)</f>
        <v>0</v>
      </c>
    </row>
    <row r="1504" spans="6:12" x14ac:dyDescent="0.25">
      <c r="F1504" s="46">
        <f>IFERROR(VLOOKUP($E1517,'BASE DE DATOS'!$A:$I,3,0),0)</f>
        <v>0</v>
      </c>
      <c r="G1504" s="46">
        <f>IFERROR(VLOOKUP($E1504,'BASE DE DATOS'!$A:$I,3,0),0)</f>
        <v>0</v>
      </c>
      <c r="H1504" s="46">
        <f>IFERROR(VLOOKUP($E1504,'BASE DE DATOS'!$A:$I,3,0),0)</f>
        <v>0</v>
      </c>
      <c r="I1504" s="46">
        <f>IFERROR(VLOOKUP($E1504,'BASE DE DATOS'!$A:$I,3,0),0)</f>
        <v>0</v>
      </c>
      <c r="J1504" s="46">
        <f>IFERROR(VLOOKUP($E1504,'BASE DE DATOS'!$A:$I,3,0),0)</f>
        <v>0</v>
      </c>
      <c r="L1504" s="46">
        <f>IFERROR(VLOOKUP($E1504,'BASE DE DATOS'!$A:$I,3,0),0)</f>
        <v>0</v>
      </c>
    </row>
    <row r="1505" spans="6:12" x14ac:dyDescent="0.25">
      <c r="F1505" s="46">
        <f>IFERROR(VLOOKUP($E1518,'BASE DE DATOS'!$A:$I,3,0),0)</f>
        <v>0</v>
      </c>
      <c r="G1505" s="46">
        <f>IFERROR(VLOOKUP($E1505,'BASE DE DATOS'!$A:$I,3,0),0)</f>
        <v>0</v>
      </c>
      <c r="H1505" s="46">
        <f>IFERROR(VLOOKUP($E1505,'BASE DE DATOS'!$A:$I,3,0),0)</f>
        <v>0</v>
      </c>
      <c r="I1505" s="46">
        <f>IFERROR(VLOOKUP($E1505,'BASE DE DATOS'!$A:$I,3,0),0)</f>
        <v>0</v>
      </c>
      <c r="J1505" s="46">
        <f>IFERROR(VLOOKUP($E1505,'BASE DE DATOS'!$A:$I,3,0),0)</f>
        <v>0</v>
      </c>
      <c r="L1505" s="46">
        <f>IFERROR(VLOOKUP($E1505,'BASE DE DATOS'!$A:$I,3,0),0)</f>
        <v>0</v>
      </c>
    </row>
    <row r="1506" spans="6:12" x14ac:dyDescent="0.25">
      <c r="F1506" s="46">
        <f>IFERROR(VLOOKUP($E1519,'BASE DE DATOS'!$A:$I,3,0),0)</f>
        <v>0</v>
      </c>
      <c r="G1506" s="46">
        <f>IFERROR(VLOOKUP($E1506,'BASE DE DATOS'!$A:$I,3,0),0)</f>
        <v>0</v>
      </c>
      <c r="H1506" s="46">
        <f>IFERROR(VLOOKUP($E1506,'BASE DE DATOS'!$A:$I,3,0),0)</f>
        <v>0</v>
      </c>
      <c r="I1506" s="46">
        <f>IFERROR(VLOOKUP($E1506,'BASE DE DATOS'!$A:$I,3,0),0)</f>
        <v>0</v>
      </c>
      <c r="J1506" s="46">
        <f>IFERROR(VLOOKUP($E1506,'BASE DE DATOS'!$A:$I,3,0),0)</f>
        <v>0</v>
      </c>
      <c r="L1506" s="46">
        <f>IFERROR(VLOOKUP($E1506,'BASE DE DATOS'!$A:$I,3,0),0)</f>
        <v>0</v>
      </c>
    </row>
    <row r="1507" spans="6:12" x14ac:dyDescent="0.25">
      <c r="F1507" s="46">
        <f>IFERROR(VLOOKUP($E1520,'BASE DE DATOS'!$A:$I,3,0),0)</f>
        <v>0</v>
      </c>
      <c r="G1507" s="46">
        <f>IFERROR(VLOOKUP($E1507,'BASE DE DATOS'!$A:$I,3,0),0)</f>
        <v>0</v>
      </c>
      <c r="H1507" s="46">
        <f>IFERROR(VLOOKUP($E1507,'BASE DE DATOS'!$A:$I,3,0),0)</f>
        <v>0</v>
      </c>
      <c r="I1507" s="46">
        <f>IFERROR(VLOOKUP($E1507,'BASE DE DATOS'!$A:$I,3,0),0)</f>
        <v>0</v>
      </c>
      <c r="J1507" s="46">
        <f>IFERROR(VLOOKUP($E1507,'BASE DE DATOS'!$A:$I,3,0),0)</f>
        <v>0</v>
      </c>
      <c r="L1507" s="46">
        <f>IFERROR(VLOOKUP($E1507,'BASE DE DATOS'!$A:$I,3,0),0)</f>
        <v>0</v>
      </c>
    </row>
    <row r="1508" spans="6:12" x14ac:dyDescent="0.25">
      <c r="F1508" s="46">
        <f>IFERROR(VLOOKUP($E1521,'BASE DE DATOS'!$A:$I,3,0),0)</f>
        <v>0</v>
      </c>
      <c r="G1508" s="46">
        <f>IFERROR(VLOOKUP($E1508,'BASE DE DATOS'!$A:$I,3,0),0)</f>
        <v>0</v>
      </c>
      <c r="H1508" s="46">
        <f>IFERROR(VLOOKUP($E1508,'BASE DE DATOS'!$A:$I,3,0),0)</f>
        <v>0</v>
      </c>
      <c r="I1508" s="46">
        <f>IFERROR(VLOOKUP($E1508,'BASE DE DATOS'!$A:$I,3,0),0)</f>
        <v>0</v>
      </c>
      <c r="J1508" s="46">
        <f>IFERROR(VLOOKUP($E1508,'BASE DE DATOS'!$A:$I,3,0),0)</f>
        <v>0</v>
      </c>
      <c r="L1508" s="46">
        <f>IFERROR(VLOOKUP($E1508,'BASE DE DATOS'!$A:$I,3,0),0)</f>
        <v>0</v>
      </c>
    </row>
    <row r="1509" spans="6:12" x14ac:dyDescent="0.25">
      <c r="F1509" s="46">
        <f>IFERROR(VLOOKUP($E1522,'BASE DE DATOS'!$A:$I,3,0),0)</f>
        <v>0</v>
      </c>
      <c r="G1509" s="46">
        <f>IFERROR(VLOOKUP($E1509,'BASE DE DATOS'!$A:$I,3,0),0)</f>
        <v>0</v>
      </c>
      <c r="H1509" s="46">
        <f>IFERROR(VLOOKUP($E1509,'BASE DE DATOS'!$A:$I,3,0),0)</f>
        <v>0</v>
      </c>
      <c r="I1509" s="46">
        <f>IFERROR(VLOOKUP($E1509,'BASE DE DATOS'!$A:$I,3,0),0)</f>
        <v>0</v>
      </c>
      <c r="J1509" s="46">
        <f>IFERROR(VLOOKUP($E1509,'BASE DE DATOS'!$A:$I,3,0),0)</f>
        <v>0</v>
      </c>
      <c r="L1509" s="46">
        <f>IFERROR(VLOOKUP($E1509,'BASE DE DATOS'!$A:$I,3,0),0)</f>
        <v>0</v>
      </c>
    </row>
    <row r="1510" spans="6:12" x14ac:dyDescent="0.25">
      <c r="F1510" s="46">
        <f>IFERROR(VLOOKUP($E1523,'BASE DE DATOS'!$A:$I,3,0),0)</f>
        <v>0</v>
      </c>
      <c r="G1510" s="46">
        <f>IFERROR(VLOOKUP($E1510,'BASE DE DATOS'!$A:$I,3,0),0)</f>
        <v>0</v>
      </c>
      <c r="H1510" s="46">
        <f>IFERROR(VLOOKUP($E1510,'BASE DE DATOS'!$A:$I,3,0),0)</f>
        <v>0</v>
      </c>
      <c r="I1510" s="46">
        <f>IFERROR(VLOOKUP($E1510,'BASE DE DATOS'!$A:$I,3,0),0)</f>
        <v>0</v>
      </c>
      <c r="J1510" s="46">
        <f>IFERROR(VLOOKUP($E1510,'BASE DE DATOS'!$A:$I,3,0),0)</f>
        <v>0</v>
      </c>
      <c r="L1510" s="46">
        <f>IFERROR(VLOOKUP($E1510,'BASE DE DATOS'!$A:$I,3,0),0)</f>
        <v>0</v>
      </c>
    </row>
    <row r="1511" spans="6:12" x14ac:dyDescent="0.25">
      <c r="F1511" s="46">
        <f>IFERROR(VLOOKUP($E1524,'BASE DE DATOS'!$A:$I,3,0),0)</f>
        <v>0</v>
      </c>
      <c r="G1511" s="46">
        <f>IFERROR(VLOOKUP($E1511,'BASE DE DATOS'!$A:$I,3,0),0)</f>
        <v>0</v>
      </c>
      <c r="H1511" s="46">
        <f>IFERROR(VLOOKUP($E1511,'BASE DE DATOS'!$A:$I,3,0),0)</f>
        <v>0</v>
      </c>
      <c r="I1511" s="46">
        <f>IFERROR(VLOOKUP($E1511,'BASE DE DATOS'!$A:$I,3,0),0)</f>
        <v>0</v>
      </c>
      <c r="J1511" s="46">
        <f>IFERROR(VLOOKUP($E1511,'BASE DE DATOS'!$A:$I,3,0),0)</f>
        <v>0</v>
      </c>
      <c r="L1511" s="46">
        <f>IFERROR(VLOOKUP($E1511,'BASE DE DATOS'!$A:$I,3,0),0)</f>
        <v>0</v>
      </c>
    </row>
    <row r="1512" spans="6:12" x14ac:dyDescent="0.25">
      <c r="F1512" s="46">
        <f>IFERROR(VLOOKUP($E1525,'BASE DE DATOS'!$A:$I,3,0),0)</f>
        <v>0</v>
      </c>
      <c r="G1512" s="46">
        <f>IFERROR(VLOOKUP($E1512,'BASE DE DATOS'!$A:$I,3,0),0)</f>
        <v>0</v>
      </c>
      <c r="H1512" s="46">
        <f>IFERROR(VLOOKUP($E1512,'BASE DE DATOS'!$A:$I,3,0),0)</f>
        <v>0</v>
      </c>
      <c r="I1512" s="46">
        <f>IFERROR(VLOOKUP($E1512,'BASE DE DATOS'!$A:$I,3,0),0)</f>
        <v>0</v>
      </c>
      <c r="J1512" s="46">
        <f>IFERROR(VLOOKUP($E1512,'BASE DE DATOS'!$A:$I,3,0),0)</f>
        <v>0</v>
      </c>
      <c r="L1512" s="46">
        <f>IFERROR(VLOOKUP($E1512,'BASE DE DATOS'!$A:$I,3,0),0)</f>
        <v>0</v>
      </c>
    </row>
    <row r="1513" spans="6:12" x14ac:dyDescent="0.25">
      <c r="F1513" s="46">
        <f>IFERROR(VLOOKUP($E1526,'BASE DE DATOS'!$A:$I,3,0),0)</f>
        <v>0</v>
      </c>
      <c r="G1513" s="46">
        <f>IFERROR(VLOOKUP($E1513,'BASE DE DATOS'!$A:$I,3,0),0)</f>
        <v>0</v>
      </c>
      <c r="H1513" s="46">
        <f>IFERROR(VLOOKUP($E1513,'BASE DE DATOS'!$A:$I,3,0),0)</f>
        <v>0</v>
      </c>
      <c r="I1513" s="46">
        <f>IFERROR(VLOOKUP($E1513,'BASE DE DATOS'!$A:$I,3,0),0)</f>
        <v>0</v>
      </c>
      <c r="J1513" s="46">
        <f>IFERROR(VLOOKUP($E1513,'BASE DE DATOS'!$A:$I,3,0),0)</f>
        <v>0</v>
      </c>
      <c r="L1513" s="46">
        <f>IFERROR(VLOOKUP($E1513,'BASE DE DATOS'!$A:$I,3,0),0)</f>
        <v>0</v>
      </c>
    </row>
    <row r="1514" spans="6:12" x14ac:dyDescent="0.25">
      <c r="F1514" s="46">
        <f>IFERROR(VLOOKUP($E1527,'BASE DE DATOS'!$A:$I,3,0),0)</f>
        <v>0</v>
      </c>
      <c r="G1514" s="46">
        <f>IFERROR(VLOOKUP($E1514,'BASE DE DATOS'!$A:$I,3,0),0)</f>
        <v>0</v>
      </c>
      <c r="H1514" s="46">
        <f>IFERROR(VLOOKUP($E1514,'BASE DE DATOS'!$A:$I,3,0),0)</f>
        <v>0</v>
      </c>
      <c r="I1514" s="46">
        <f>IFERROR(VLOOKUP($E1514,'BASE DE DATOS'!$A:$I,3,0),0)</f>
        <v>0</v>
      </c>
      <c r="J1514" s="46">
        <f>IFERROR(VLOOKUP($E1514,'BASE DE DATOS'!$A:$I,3,0),0)</f>
        <v>0</v>
      </c>
      <c r="L1514" s="46">
        <f>IFERROR(VLOOKUP($E1514,'BASE DE DATOS'!$A:$I,3,0),0)</f>
        <v>0</v>
      </c>
    </row>
    <row r="1515" spans="6:12" x14ac:dyDescent="0.25">
      <c r="F1515" s="46">
        <f>IFERROR(VLOOKUP($E1528,'BASE DE DATOS'!$A:$I,3,0),0)</f>
        <v>0</v>
      </c>
      <c r="G1515" s="46">
        <f>IFERROR(VLOOKUP($E1515,'BASE DE DATOS'!$A:$I,3,0),0)</f>
        <v>0</v>
      </c>
      <c r="H1515" s="46">
        <f>IFERROR(VLOOKUP($E1515,'BASE DE DATOS'!$A:$I,3,0),0)</f>
        <v>0</v>
      </c>
      <c r="I1515" s="46">
        <f>IFERROR(VLOOKUP($E1515,'BASE DE DATOS'!$A:$I,3,0),0)</f>
        <v>0</v>
      </c>
      <c r="J1515" s="46">
        <f>IFERROR(VLOOKUP($E1515,'BASE DE DATOS'!$A:$I,3,0),0)</f>
        <v>0</v>
      </c>
      <c r="L1515" s="46">
        <f>IFERROR(VLOOKUP($E1515,'BASE DE DATOS'!$A:$I,3,0),0)</f>
        <v>0</v>
      </c>
    </row>
    <row r="1516" spans="6:12" x14ac:dyDescent="0.25">
      <c r="F1516" s="46">
        <f>IFERROR(VLOOKUP($E1529,'BASE DE DATOS'!$A:$I,3,0),0)</f>
        <v>0</v>
      </c>
      <c r="G1516" s="46">
        <f>IFERROR(VLOOKUP($E1516,'BASE DE DATOS'!$A:$I,3,0),0)</f>
        <v>0</v>
      </c>
      <c r="H1516" s="46">
        <f>IFERROR(VLOOKUP($E1516,'BASE DE DATOS'!$A:$I,3,0),0)</f>
        <v>0</v>
      </c>
      <c r="I1516" s="46">
        <f>IFERROR(VLOOKUP($E1516,'BASE DE DATOS'!$A:$I,3,0),0)</f>
        <v>0</v>
      </c>
      <c r="J1516" s="46">
        <f>IFERROR(VLOOKUP($E1516,'BASE DE DATOS'!$A:$I,3,0),0)</f>
        <v>0</v>
      </c>
      <c r="L1516" s="46">
        <f>IFERROR(VLOOKUP($E1516,'BASE DE DATOS'!$A:$I,3,0),0)</f>
        <v>0</v>
      </c>
    </row>
    <row r="1517" spans="6:12" x14ac:dyDescent="0.25">
      <c r="F1517" s="46">
        <f>IFERROR(VLOOKUP($E1530,'BASE DE DATOS'!$A:$I,3,0),0)</f>
        <v>0</v>
      </c>
      <c r="G1517" s="46">
        <f>IFERROR(VLOOKUP($E1517,'BASE DE DATOS'!$A:$I,3,0),0)</f>
        <v>0</v>
      </c>
      <c r="H1517" s="46">
        <f>IFERROR(VLOOKUP($E1517,'BASE DE DATOS'!$A:$I,3,0),0)</f>
        <v>0</v>
      </c>
      <c r="I1517" s="46">
        <f>IFERROR(VLOOKUP($E1517,'BASE DE DATOS'!$A:$I,3,0),0)</f>
        <v>0</v>
      </c>
      <c r="J1517" s="46">
        <f>IFERROR(VLOOKUP($E1517,'BASE DE DATOS'!$A:$I,3,0),0)</f>
        <v>0</v>
      </c>
      <c r="L1517" s="46">
        <f>IFERROR(VLOOKUP($E1517,'BASE DE DATOS'!$A:$I,3,0),0)</f>
        <v>0</v>
      </c>
    </row>
    <row r="1518" spans="6:12" x14ac:dyDescent="0.25">
      <c r="F1518" s="46">
        <f>IFERROR(VLOOKUP($E1531,'BASE DE DATOS'!$A:$I,3,0),0)</f>
        <v>0</v>
      </c>
      <c r="G1518" s="46">
        <f>IFERROR(VLOOKUP($E1518,'BASE DE DATOS'!$A:$I,3,0),0)</f>
        <v>0</v>
      </c>
      <c r="H1518" s="46">
        <f>IFERROR(VLOOKUP($E1518,'BASE DE DATOS'!$A:$I,3,0),0)</f>
        <v>0</v>
      </c>
      <c r="I1518" s="46">
        <f>IFERROR(VLOOKUP($E1518,'BASE DE DATOS'!$A:$I,3,0),0)</f>
        <v>0</v>
      </c>
      <c r="J1518" s="46">
        <f>IFERROR(VLOOKUP($E1518,'BASE DE DATOS'!$A:$I,3,0),0)</f>
        <v>0</v>
      </c>
      <c r="L1518" s="46">
        <f>IFERROR(VLOOKUP($E1518,'BASE DE DATOS'!$A:$I,3,0),0)</f>
        <v>0</v>
      </c>
    </row>
    <row r="1519" spans="6:12" x14ac:dyDescent="0.25">
      <c r="F1519" s="46">
        <f>IFERROR(VLOOKUP($E1532,'BASE DE DATOS'!$A:$I,3,0),0)</f>
        <v>0</v>
      </c>
      <c r="G1519" s="46">
        <f>IFERROR(VLOOKUP($E1519,'BASE DE DATOS'!$A:$I,3,0),0)</f>
        <v>0</v>
      </c>
      <c r="H1519" s="46">
        <f>IFERROR(VLOOKUP($E1519,'BASE DE DATOS'!$A:$I,3,0),0)</f>
        <v>0</v>
      </c>
      <c r="I1519" s="46">
        <f>IFERROR(VLOOKUP($E1519,'BASE DE DATOS'!$A:$I,3,0),0)</f>
        <v>0</v>
      </c>
      <c r="J1519" s="46">
        <f>IFERROR(VLOOKUP($E1519,'BASE DE DATOS'!$A:$I,3,0),0)</f>
        <v>0</v>
      </c>
      <c r="L1519" s="46">
        <f>IFERROR(VLOOKUP($E1519,'BASE DE DATOS'!$A:$I,3,0),0)</f>
        <v>0</v>
      </c>
    </row>
    <row r="1520" spans="6:12" x14ac:dyDescent="0.25">
      <c r="F1520" s="46">
        <f>IFERROR(VLOOKUP($E1533,'BASE DE DATOS'!$A:$I,3,0),0)</f>
        <v>0</v>
      </c>
      <c r="G1520" s="46">
        <f>IFERROR(VLOOKUP($E1520,'BASE DE DATOS'!$A:$I,3,0),0)</f>
        <v>0</v>
      </c>
      <c r="H1520" s="46">
        <f>IFERROR(VLOOKUP($E1520,'BASE DE DATOS'!$A:$I,3,0),0)</f>
        <v>0</v>
      </c>
      <c r="I1520" s="46">
        <f>IFERROR(VLOOKUP($E1520,'BASE DE DATOS'!$A:$I,3,0),0)</f>
        <v>0</v>
      </c>
      <c r="J1520" s="46">
        <f>IFERROR(VLOOKUP($E1520,'BASE DE DATOS'!$A:$I,3,0),0)</f>
        <v>0</v>
      </c>
      <c r="L1520" s="46">
        <f>IFERROR(VLOOKUP($E1520,'BASE DE DATOS'!$A:$I,3,0),0)</f>
        <v>0</v>
      </c>
    </row>
    <row r="1521" spans="6:12" x14ac:dyDescent="0.25">
      <c r="F1521" s="46">
        <f>IFERROR(VLOOKUP($E1534,'BASE DE DATOS'!$A:$I,3,0),0)</f>
        <v>0</v>
      </c>
      <c r="G1521" s="46">
        <f>IFERROR(VLOOKUP($E1521,'BASE DE DATOS'!$A:$I,3,0),0)</f>
        <v>0</v>
      </c>
      <c r="H1521" s="46">
        <f>IFERROR(VLOOKUP($E1521,'BASE DE DATOS'!$A:$I,3,0),0)</f>
        <v>0</v>
      </c>
      <c r="I1521" s="46">
        <f>IFERROR(VLOOKUP($E1521,'BASE DE DATOS'!$A:$I,3,0),0)</f>
        <v>0</v>
      </c>
      <c r="J1521" s="46">
        <f>IFERROR(VLOOKUP($E1521,'BASE DE DATOS'!$A:$I,3,0),0)</f>
        <v>0</v>
      </c>
      <c r="L1521" s="46">
        <f>IFERROR(VLOOKUP($E1521,'BASE DE DATOS'!$A:$I,3,0),0)</f>
        <v>0</v>
      </c>
    </row>
    <row r="1522" spans="6:12" x14ac:dyDescent="0.25">
      <c r="F1522" s="46">
        <f>IFERROR(VLOOKUP($E1535,'BASE DE DATOS'!$A:$I,3,0),0)</f>
        <v>0</v>
      </c>
      <c r="G1522" s="46">
        <f>IFERROR(VLOOKUP($E1522,'BASE DE DATOS'!$A:$I,3,0),0)</f>
        <v>0</v>
      </c>
      <c r="H1522" s="46">
        <f>IFERROR(VLOOKUP($E1522,'BASE DE DATOS'!$A:$I,3,0),0)</f>
        <v>0</v>
      </c>
      <c r="I1522" s="46">
        <f>IFERROR(VLOOKUP($E1522,'BASE DE DATOS'!$A:$I,3,0),0)</f>
        <v>0</v>
      </c>
      <c r="J1522" s="46">
        <f>IFERROR(VLOOKUP($E1522,'BASE DE DATOS'!$A:$I,3,0),0)</f>
        <v>0</v>
      </c>
      <c r="L1522" s="46">
        <f>IFERROR(VLOOKUP($E1522,'BASE DE DATOS'!$A:$I,3,0),0)</f>
        <v>0</v>
      </c>
    </row>
    <row r="1523" spans="6:12" x14ac:dyDescent="0.25">
      <c r="F1523" s="46">
        <f>IFERROR(VLOOKUP($E1536,'BASE DE DATOS'!$A:$I,3,0),0)</f>
        <v>0</v>
      </c>
      <c r="G1523" s="46">
        <f>IFERROR(VLOOKUP($E1523,'BASE DE DATOS'!$A:$I,3,0),0)</f>
        <v>0</v>
      </c>
      <c r="H1523" s="46">
        <f>IFERROR(VLOOKUP($E1523,'BASE DE DATOS'!$A:$I,3,0),0)</f>
        <v>0</v>
      </c>
      <c r="I1523" s="46">
        <f>IFERROR(VLOOKUP($E1523,'BASE DE DATOS'!$A:$I,3,0),0)</f>
        <v>0</v>
      </c>
      <c r="J1523" s="46">
        <f>IFERROR(VLOOKUP($E1523,'BASE DE DATOS'!$A:$I,3,0),0)</f>
        <v>0</v>
      </c>
      <c r="L1523" s="46">
        <f>IFERROR(VLOOKUP($E1523,'BASE DE DATOS'!$A:$I,3,0),0)</f>
        <v>0</v>
      </c>
    </row>
    <row r="1524" spans="6:12" x14ac:dyDescent="0.25">
      <c r="F1524" s="46">
        <f>IFERROR(VLOOKUP($E1537,'BASE DE DATOS'!$A:$I,3,0),0)</f>
        <v>0</v>
      </c>
      <c r="G1524" s="46">
        <f>IFERROR(VLOOKUP($E1524,'BASE DE DATOS'!$A:$I,3,0),0)</f>
        <v>0</v>
      </c>
      <c r="H1524" s="46">
        <f>IFERROR(VLOOKUP($E1524,'BASE DE DATOS'!$A:$I,3,0),0)</f>
        <v>0</v>
      </c>
      <c r="I1524" s="46">
        <f>IFERROR(VLOOKUP($E1524,'BASE DE DATOS'!$A:$I,3,0),0)</f>
        <v>0</v>
      </c>
      <c r="J1524" s="46">
        <f>IFERROR(VLOOKUP($E1524,'BASE DE DATOS'!$A:$I,3,0),0)</f>
        <v>0</v>
      </c>
      <c r="L1524" s="46">
        <f>IFERROR(VLOOKUP($E1524,'BASE DE DATOS'!$A:$I,3,0),0)</f>
        <v>0</v>
      </c>
    </row>
    <row r="1525" spans="6:12" x14ac:dyDescent="0.25">
      <c r="F1525" s="46">
        <f>IFERROR(VLOOKUP($E1538,'BASE DE DATOS'!$A:$I,3,0),0)</f>
        <v>0</v>
      </c>
      <c r="G1525" s="46">
        <f>IFERROR(VLOOKUP($E1525,'BASE DE DATOS'!$A:$I,3,0),0)</f>
        <v>0</v>
      </c>
      <c r="H1525" s="46">
        <f>IFERROR(VLOOKUP($E1525,'BASE DE DATOS'!$A:$I,3,0),0)</f>
        <v>0</v>
      </c>
      <c r="I1525" s="46">
        <f>IFERROR(VLOOKUP($E1525,'BASE DE DATOS'!$A:$I,3,0),0)</f>
        <v>0</v>
      </c>
      <c r="J1525" s="46">
        <f>IFERROR(VLOOKUP($E1525,'BASE DE DATOS'!$A:$I,3,0),0)</f>
        <v>0</v>
      </c>
      <c r="L1525" s="46">
        <f>IFERROR(VLOOKUP($E1525,'BASE DE DATOS'!$A:$I,3,0),0)</f>
        <v>0</v>
      </c>
    </row>
    <row r="1526" spans="6:12" x14ac:dyDescent="0.25">
      <c r="F1526" s="46">
        <f>IFERROR(VLOOKUP($E1539,'BASE DE DATOS'!$A:$I,3,0),0)</f>
        <v>0</v>
      </c>
      <c r="G1526" s="46">
        <f>IFERROR(VLOOKUP($E1526,'BASE DE DATOS'!$A:$I,3,0),0)</f>
        <v>0</v>
      </c>
      <c r="H1526" s="46">
        <f>IFERROR(VLOOKUP($E1526,'BASE DE DATOS'!$A:$I,3,0),0)</f>
        <v>0</v>
      </c>
      <c r="I1526" s="46">
        <f>IFERROR(VLOOKUP($E1526,'BASE DE DATOS'!$A:$I,3,0),0)</f>
        <v>0</v>
      </c>
      <c r="J1526" s="46">
        <f>IFERROR(VLOOKUP($E1526,'BASE DE DATOS'!$A:$I,3,0),0)</f>
        <v>0</v>
      </c>
      <c r="L1526" s="46">
        <f>IFERROR(VLOOKUP($E1526,'BASE DE DATOS'!$A:$I,3,0),0)</f>
        <v>0</v>
      </c>
    </row>
    <row r="1527" spans="6:12" x14ac:dyDescent="0.25">
      <c r="F1527" s="46">
        <f>IFERROR(VLOOKUP($E1540,'BASE DE DATOS'!$A:$I,3,0),0)</f>
        <v>0</v>
      </c>
      <c r="G1527" s="46">
        <f>IFERROR(VLOOKUP($E1527,'BASE DE DATOS'!$A:$I,3,0),0)</f>
        <v>0</v>
      </c>
      <c r="H1527" s="46">
        <f>IFERROR(VLOOKUP($E1527,'BASE DE DATOS'!$A:$I,3,0),0)</f>
        <v>0</v>
      </c>
      <c r="I1527" s="46">
        <f>IFERROR(VLOOKUP($E1527,'BASE DE DATOS'!$A:$I,3,0),0)</f>
        <v>0</v>
      </c>
      <c r="J1527" s="46">
        <f>IFERROR(VLOOKUP($E1527,'BASE DE DATOS'!$A:$I,3,0),0)</f>
        <v>0</v>
      </c>
      <c r="L1527" s="46">
        <f>IFERROR(VLOOKUP($E1527,'BASE DE DATOS'!$A:$I,3,0),0)</f>
        <v>0</v>
      </c>
    </row>
    <row r="1528" spans="6:12" x14ac:dyDescent="0.25">
      <c r="F1528" s="46">
        <f>IFERROR(VLOOKUP($E1541,'BASE DE DATOS'!$A:$I,3,0),0)</f>
        <v>0</v>
      </c>
      <c r="G1528" s="46">
        <f>IFERROR(VLOOKUP($E1528,'BASE DE DATOS'!$A:$I,3,0),0)</f>
        <v>0</v>
      </c>
      <c r="H1528" s="46">
        <f>IFERROR(VLOOKUP($E1528,'BASE DE DATOS'!$A:$I,3,0),0)</f>
        <v>0</v>
      </c>
      <c r="I1528" s="46">
        <f>IFERROR(VLOOKUP($E1528,'BASE DE DATOS'!$A:$I,3,0),0)</f>
        <v>0</v>
      </c>
      <c r="J1528" s="46">
        <f>IFERROR(VLOOKUP($E1528,'BASE DE DATOS'!$A:$I,3,0),0)</f>
        <v>0</v>
      </c>
      <c r="L1528" s="46">
        <f>IFERROR(VLOOKUP($E1528,'BASE DE DATOS'!$A:$I,3,0),0)</f>
        <v>0</v>
      </c>
    </row>
    <row r="1529" spans="6:12" x14ac:dyDescent="0.25">
      <c r="F1529" s="46">
        <f>IFERROR(VLOOKUP($E1542,'BASE DE DATOS'!$A:$I,3,0),0)</f>
        <v>0</v>
      </c>
      <c r="G1529" s="46">
        <f>IFERROR(VLOOKUP($E1529,'BASE DE DATOS'!$A:$I,3,0),0)</f>
        <v>0</v>
      </c>
      <c r="H1529" s="46">
        <f>IFERROR(VLOOKUP($E1529,'BASE DE DATOS'!$A:$I,3,0),0)</f>
        <v>0</v>
      </c>
      <c r="I1529" s="46">
        <f>IFERROR(VLOOKUP($E1529,'BASE DE DATOS'!$A:$I,3,0),0)</f>
        <v>0</v>
      </c>
      <c r="J1529" s="46">
        <f>IFERROR(VLOOKUP($E1529,'BASE DE DATOS'!$A:$I,3,0),0)</f>
        <v>0</v>
      </c>
      <c r="L1529" s="46">
        <f>IFERROR(VLOOKUP($E1529,'BASE DE DATOS'!$A:$I,3,0),0)</f>
        <v>0</v>
      </c>
    </row>
    <row r="1530" spans="6:12" x14ac:dyDescent="0.25">
      <c r="F1530" s="46">
        <f>IFERROR(VLOOKUP($E1543,'BASE DE DATOS'!$A:$I,3,0),0)</f>
        <v>0</v>
      </c>
      <c r="G1530" s="46">
        <f>IFERROR(VLOOKUP($E1530,'BASE DE DATOS'!$A:$I,3,0),0)</f>
        <v>0</v>
      </c>
      <c r="H1530" s="46">
        <f>IFERROR(VLOOKUP($E1530,'BASE DE DATOS'!$A:$I,3,0),0)</f>
        <v>0</v>
      </c>
      <c r="I1530" s="46">
        <f>IFERROR(VLOOKUP($E1530,'BASE DE DATOS'!$A:$I,3,0),0)</f>
        <v>0</v>
      </c>
      <c r="J1530" s="46">
        <f>IFERROR(VLOOKUP($E1530,'BASE DE DATOS'!$A:$I,3,0),0)</f>
        <v>0</v>
      </c>
      <c r="L1530" s="46">
        <f>IFERROR(VLOOKUP($E1530,'BASE DE DATOS'!$A:$I,3,0),0)</f>
        <v>0</v>
      </c>
    </row>
    <row r="1531" spans="6:12" x14ac:dyDescent="0.25">
      <c r="F1531" s="46">
        <f>IFERROR(VLOOKUP($E1544,'BASE DE DATOS'!$A:$I,3,0),0)</f>
        <v>0</v>
      </c>
      <c r="G1531" s="46">
        <f>IFERROR(VLOOKUP($E1531,'BASE DE DATOS'!$A:$I,3,0),0)</f>
        <v>0</v>
      </c>
      <c r="H1531" s="46">
        <f>IFERROR(VLOOKUP($E1531,'BASE DE DATOS'!$A:$I,3,0),0)</f>
        <v>0</v>
      </c>
      <c r="I1531" s="46">
        <f>IFERROR(VLOOKUP($E1531,'BASE DE DATOS'!$A:$I,3,0),0)</f>
        <v>0</v>
      </c>
      <c r="J1531" s="46">
        <f>IFERROR(VLOOKUP($E1531,'BASE DE DATOS'!$A:$I,3,0),0)</f>
        <v>0</v>
      </c>
      <c r="L1531" s="46">
        <f>IFERROR(VLOOKUP($E1531,'BASE DE DATOS'!$A:$I,3,0),0)</f>
        <v>0</v>
      </c>
    </row>
    <row r="1532" spans="6:12" x14ac:dyDescent="0.25">
      <c r="F1532" s="46">
        <f>IFERROR(VLOOKUP($E1545,'BASE DE DATOS'!$A:$I,3,0),0)</f>
        <v>0</v>
      </c>
      <c r="G1532" s="46">
        <f>IFERROR(VLOOKUP($E1532,'BASE DE DATOS'!$A:$I,3,0),0)</f>
        <v>0</v>
      </c>
      <c r="H1532" s="46">
        <f>IFERROR(VLOOKUP($E1532,'BASE DE DATOS'!$A:$I,3,0),0)</f>
        <v>0</v>
      </c>
      <c r="I1532" s="46">
        <f>IFERROR(VLOOKUP($E1532,'BASE DE DATOS'!$A:$I,3,0),0)</f>
        <v>0</v>
      </c>
      <c r="J1532" s="46">
        <f>IFERROR(VLOOKUP($E1532,'BASE DE DATOS'!$A:$I,3,0),0)</f>
        <v>0</v>
      </c>
      <c r="L1532" s="46">
        <f>IFERROR(VLOOKUP($E1532,'BASE DE DATOS'!$A:$I,3,0),0)</f>
        <v>0</v>
      </c>
    </row>
    <row r="1533" spans="6:12" x14ac:dyDescent="0.25">
      <c r="F1533" s="46">
        <f>IFERROR(VLOOKUP($E1546,'BASE DE DATOS'!$A:$I,3,0),0)</f>
        <v>0</v>
      </c>
      <c r="G1533" s="46">
        <f>IFERROR(VLOOKUP($E1533,'BASE DE DATOS'!$A:$I,3,0),0)</f>
        <v>0</v>
      </c>
      <c r="H1533" s="46">
        <f>IFERROR(VLOOKUP($E1533,'BASE DE DATOS'!$A:$I,3,0),0)</f>
        <v>0</v>
      </c>
      <c r="I1533" s="46">
        <f>IFERROR(VLOOKUP($E1533,'BASE DE DATOS'!$A:$I,3,0),0)</f>
        <v>0</v>
      </c>
      <c r="J1533" s="46">
        <f>IFERROR(VLOOKUP($E1533,'BASE DE DATOS'!$A:$I,3,0),0)</f>
        <v>0</v>
      </c>
      <c r="L1533" s="46">
        <f>IFERROR(VLOOKUP($E1533,'BASE DE DATOS'!$A:$I,3,0),0)</f>
        <v>0</v>
      </c>
    </row>
    <row r="1534" spans="6:12" x14ac:dyDescent="0.25">
      <c r="F1534" s="46">
        <f>IFERROR(VLOOKUP($E1547,'BASE DE DATOS'!$A:$I,3,0),0)</f>
        <v>0</v>
      </c>
      <c r="G1534" s="46">
        <f>IFERROR(VLOOKUP($E1534,'BASE DE DATOS'!$A:$I,3,0),0)</f>
        <v>0</v>
      </c>
      <c r="H1534" s="46">
        <f>IFERROR(VLOOKUP($E1534,'BASE DE DATOS'!$A:$I,3,0),0)</f>
        <v>0</v>
      </c>
      <c r="I1534" s="46">
        <f>IFERROR(VLOOKUP($E1534,'BASE DE DATOS'!$A:$I,3,0),0)</f>
        <v>0</v>
      </c>
      <c r="J1534" s="46">
        <f>IFERROR(VLOOKUP($E1534,'BASE DE DATOS'!$A:$I,3,0),0)</f>
        <v>0</v>
      </c>
      <c r="L1534" s="46">
        <f>IFERROR(VLOOKUP($E1534,'BASE DE DATOS'!$A:$I,3,0),0)</f>
        <v>0</v>
      </c>
    </row>
    <row r="1535" spans="6:12" x14ac:dyDescent="0.25">
      <c r="F1535" s="46">
        <f>IFERROR(VLOOKUP($E1548,'BASE DE DATOS'!$A:$I,3,0),0)</f>
        <v>0</v>
      </c>
      <c r="G1535" s="46">
        <f>IFERROR(VLOOKUP($E1535,'BASE DE DATOS'!$A:$I,3,0),0)</f>
        <v>0</v>
      </c>
      <c r="H1535" s="46">
        <f>IFERROR(VLOOKUP($E1535,'BASE DE DATOS'!$A:$I,3,0),0)</f>
        <v>0</v>
      </c>
      <c r="I1535" s="46">
        <f>IFERROR(VLOOKUP($E1535,'BASE DE DATOS'!$A:$I,3,0),0)</f>
        <v>0</v>
      </c>
      <c r="J1535" s="46">
        <f>IFERROR(VLOOKUP($E1535,'BASE DE DATOS'!$A:$I,3,0),0)</f>
        <v>0</v>
      </c>
      <c r="L1535" s="46">
        <f>IFERROR(VLOOKUP($E1535,'BASE DE DATOS'!$A:$I,3,0),0)</f>
        <v>0</v>
      </c>
    </row>
    <row r="1536" spans="6:12" x14ac:dyDescent="0.25">
      <c r="F1536" s="46">
        <f>IFERROR(VLOOKUP($E1549,'BASE DE DATOS'!$A:$I,3,0),0)</f>
        <v>0</v>
      </c>
      <c r="G1536" s="46">
        <f>IFERROR(VLOOKUP($E1536,'BASE DE DATOS'!$A:$I,3,0),0)</f>
        <v>0</v>
      </c>
      <c r="H1536" s="46">
        <f>IFERROR(VLOOKUP($E1536,'BASE DE DATOS'!$A:$I,3,0),0)</f>
        <v>0</v>
      </c>
      <c r="I1536" s="46">
        <f>IFERROR(VLOOKUP($E1536,'BASE DE DATOS'!$A:$I,3,0),0)</f>
        <v>0</v>
      </c>
      <c r="J1536" s="46">
        <f>IFERROR(VLOOKUP($E1536,'BASE DE DATOS'!$A:$I,3,0),0)</f>
        <v>0</v>
      </c>
      <c r="L1536" s="46">
        <f>IFERROR(VLOOKUP($E1536,'BASE DE DATOS'!$A:$I,3,0),0)</f>
        <v>0</v>
      </c>
    </row>
    <row r="1537" spans="6:12" x14ac:dyDescent="0.25">
      <c r="F1537" s="46">
        <f>IFERROR(VLOOKUP($E1550,'BASE DE DATOS'!$A:$I,3,0),0)</f>
        <v>0</v>
      </c>
      <c r="G1537" s="46">
        <f>IFERROR(VLOOKUP($E1537,'BASE DE DATOS'!$A:$I,3,0),0)</f>
        <v>0</v>
      </c>
      <c r="H1537" s="46">
        <f>IFERROR(VLOOKUP($E1537,'BASE DE DATOS'!$A:$I,3,0),0)</f>
        <v>0</v>
      </c>
      <c r="I1537" s="46">
        <f>IFERROR(VLOOKUP($E1537,'BASE DE DATOS'!$A:$I,3,0),0)</f>
        <v>0</v>
      </c>
      <c r="J1537" s="46">
        <f>IFERROR(VLOOKUP($E1537,'BASE DE DATOS'!$A:$I,3,0),0)</f>
        <v>0</v>
      </c>
      <c r="L1537" s="46">
        <f>IFERROR(VLOOKUP($E1537,'BASE DE DATOS'!$A:$I,3,0),0)</f>
        <v>0</v>
      </c>
    </row>
    <row r="1538" spans="6:12" x14ac:dyDescent="0.25">
      <c r="F1538" s="46">
        <f>IFERROR(VLOOKUP($E1551,'BASE DE DATOS'!$A:$I,3,0),0)</f>
        <v>0</v>
      </c>
      <c r="G1538" s="46">
        <f>IFERROR(VLOOKUP($E1538,'BASE DE DATOS'!$A:$I,3,0),0)</f>
        <v>0</v>
      </c>
      <c r="H1538" s="46">
        <f>IFERROR(VLOOKUP($E1538,'BASE DE DATOS'!$A:$I,3,0),0)</f>
        <v>0</v>
      </c>
      <c r="I1538" s="46">
        <f>IFERROR(VLOOKUP($E1538,'BASE DE DATOS'!$A:$I,3,0),0)</f>
        <v>0</v>
      </c>
      <c r="J1538" s="46">
        <f>IFERROR(VLOOKUP($E1538,'BASE DE DATOS'!$A:$I,3,0),0)</f>
        <v>0</v>
      </c>
      <c r="L1538" s="46">
        <f>IFERROR(VLOOKUP($E1538,'BASE DE DATOS'!$A:$I,3,0),0)</f>
        <v>0</v>
      </c>
    </row>
    <row r="1539" spans="6:12" x14ac:dyDescent="0.25">
      <c r="F1539" s="46">
        <f>IFERROR(VLOOKUP($E1552,'BASE DE DATOS'!$A:$I,3,0),0)</f>
        <v>0</v>
      </c>
      <c r="G1539" s="46">
        <f>IFERROR(VLOOKUP($E1539,'BASE DE DATOS'!$A:$I,3,0),0)</f>
        <v>0</v>
      </c>
      <c r="H1539" s="46">
        <f>IFERROR(VLOOKUP($E1539,'BASE DE DATOS'!$A:$I,3,0),0)</f>
        <v>0</v>
      </c>
      <c r="I1539" s="46">
        <f>IFERROR(VLOOKUP($E1539,'BASE DE DATOS'!$A:$I,3,0),0)</f>
        <v>0</v>
      </c>
      <c r="J1539" s="46">
        <f>IFERROR(VLOOKUP($E1539,'BASE DE DATOS'!$A:$I,3,0),0)</f>
        <v>0</v>
      </c>
      <c r="L1539" s="46">
        <f>IFERROR(VLOOKUP($E1539,'BASE DE DATOS'!$A:$I,3,0),0)</f>
        <v>0</v>
      </c>
    </row>
    <row r="1540" spans="6:12" x14ac:dyDescent="0.25">
      <c r="F1540" s="46">
        <f>IFERROR(VLOOKUP($E1553,'BASE DE DATOS'!$A:$I,3,0),0)</f>
        <v>0</v>
      </c>
      <c r="G1540" s="46">
        <f>IFERROR(VLOOKUP($E1540,'BASE DE DATOS'!$A:$I,3,0),0)</f>
        <v>0</v>
      </c>
      <c r="H1540" s="46">
        <f>IFERROR(VLOOKUP($E1540,'BASE DE DATOS'!$A:$I,3,0),0)</f>
        <v>0</v>
      </c>
      <c r="I1540" s="46">
        <f>IFERROR(VLOOKUP($E1540,'BASE DE DATOS'!$A:$I,3,0),0)</f>
        <v>0</v>
      </c>
      <c r="J1540" s="46">
        <f>IFERROR(VLOOKUP($E1540,'BASE DE DATOS'!$A:$I,3,0),0)</f>
        <v>0</v>
      </c>
      <c r="L1540" s="46">
        <f>IFERROR(VLOOKUP($E1540,'BASE DE DATOS'!$A:$I,3,0),0)</f>
        <v>0</v>
      </c>
    </row>
    <row r="1541" spans="6:12" x14ac:dyDescent="0.25">
      <c r="F1541" s="46">
        <f>IFERROR(VLOOKUP($E1554,'BASE DE DATOS'!$A:$I,3,0),0)</f>
        <v>0</v>
      </c>
      <c r="G1541" s="46">
        <f>IFERROR(VLOOKUP($E1541,'BASE DE DATOS'!$A:$I,3,0),0)</f>
        <v>0</v>
      </c>
      <c r="H1541" s="46">
        <f>IFERROR(VLOOKUP($E1541,'BASE DE DATOS'!$A:$I,3,0),0)</f>
        <v>0</v>
      </c>
      <c r="I1541" s="46">
        <f>IFERROR(VLOOKUP($E1541,'BASE DE DATOS'!$A:$I,3,0),0)</f>
        <v>0</v>
      </c>
      <c r="J1541" s="46">
        <f>IFERROR(VLOOKUP($E1541,'BASE DE DATOS'!$A:$I,3,0),0)</f>
        <v>0</v>
      </c>
      <c r="L1541" s="46">
        <f>IFERROR(VLOOKUP($E1541,'BASE DE DATOS'!$A:$I,3,0),0)</f>
        <v>0</v>
      </c>
    </row>
    <row r="1542" spans="6:12" x14ac:dyDescent="0.25">
      <c r="F1542" s="46">
        <f>IFERROR(VLOOKUP($E1555,'BASE DE DATOS'!$A:$I,3,0),0)</f>
        <v>0</v>
      </c>
      <c r="G1542" s="46">
        <f>IFERROR(VLOOKUP($E1542,'BASE DE DATOS'!$A:$I,3,0),0)</f>
        <v>0</v>
      </c>
      <c r="H1542" s="46">
        <f>IFERROR(VLOOKUP($E1542,'BASE DE DATOS'!$A:$I,3,0),0)</f>
        <v>0</v>
      </c>
      <c r="I1542" s="46">
        <f>IFERROR(VLOOKUP($E1542,'BASE DE DATOS'!$A:$I,3,0),0)</f>
        <v>0</v>
      </c>
      <c r="J1542" s="46">
        <f>IFERROR(VLOOKUP($E1542,'BASE DE DATOS'!$A:$I,3,0),0)</f>
        <v>0</v>
      </c>
      <c r="L1542" s="46">
        <f>IFERROR(VLOOKUP($E1542,'BASE DE DATOS'!$A:$I,3,0),0)</f>
        <v>0</v>
      </c>
    </row>
    <row r="1543" spans="6:12" x14ac:dyDescent="0.25">
      <c r="F1543" s="46">
        <f>IFERROR(VLOOKUP($E1556,'BASE DE DATOS'!$A:$I,3,0),0)</f>
        <v>0</v>
      </c>
      <c r="G1543" s="46">
        <f>IFERROR(VLOOKUP($E1543,'BASE DE DATOS'!$A:$I,3,0),0)</f>
        <v>0</v>
      </c>
      <c r="H1543" s="46">
        <f>IFERROR(VLOOKUP($E1543,'BASE DE DATOS'!$A:$I,3,0),0)</f>
        <v>0</v>
      </c>
      <c r="I1543" s="46">
        <f>IFERROR(VLOOKUP($E1543,'BASE DE DATOS'!$A:$I,3,0),0)</f>
        <v>0</v>
      </c>
      <c r="J1543" s="46">
        <f>IFERROR(VLOOKUP($E1543,'BASE DE DATOS'!$A:$I,3,0),0)</f>
        <v>0</v>
      </c>
      <c r="L1543" s="46">
        <f>IFERROR(VLOOKUP($E1543,'BASE DE DATOS'!$A:$I,3,0),0)</f>
        <v>0</v>
      </c>
    </row>
    <row r="1544" spans="6:12" x14ac:dyDescent="0.25">
      <c r="F1544" s="46">
        <f>IFERROR(VLOOKUP($E1557,'BASE DE DATOS'!$A:$I,3,0),0)</f>
        <v>0</v>
      </c>
      <c r="G1544" s="46">
        <f>IFERROR(VLOOKUP($E1544,'BASE DE DATOS'!$A:$I,3,0),0)</f>
        <v>0</v>
      </c>
      <c r="H1544" s="46">
        <f>IFERROR(VLOOKUP($E1544,'BASE DE DATOS'!$A:$I,3,0),0)</f>
        <v>0</v>
      </c>
      <c r="I1544" s="46">
        <f>IFERROR(VLOOKUP($E1544,'BASE DE DATOS'!$A:$I,3,0),0)</f>
        <v>0</v>
      </c>
      <c r="J1544" s="46">
        <f>IFERROR(VLOOKUP($E1544,'BASE DE DATOS'!$A:$I,3,0),0)</f>
        <v>0</v>
      </c>
      <c r="L1544" s="46">
        <f>IFERROR(VLOOKUP($E1544,'BASE DE DATOS'!$A:$I,3,0),0)</f>
        <v>0</v>
      </c>
    </row>
    <row r="1545" spans="6:12" x14ac:dyDescent="0.25">
      <c r="F1545" s="46">
        <f>IFERROR(VLOOKUP($E1558,'BASE DE DATOS'!$A:$I,3,0),0)</f>
        <v>0</v>
      </c>
      <c r="G1545" s="46">
        <f>IFERROR(VLOOKUP($E1545,'BASE DE DATOS'!$A:$I,3,0),0)</f>
        <v>0</v>
      </c>
      <c r="H1545" s="46">
        <f>IFERROR(VLOOKUP($E1545,'BASE DE DATOS'!$A:$I,3,0),0)</f>
        <v>0</v>
      </c>
      <c r="I1545" s="46">
        <f>IFERROR(VLOOKUP($E1545,'BASE DE DATOS'!$A:$I,3,0),0)</f>
        <v>0</v>
      </c>
      <c r="J1545" s="46">
        <f>IFERROR(VLOOKUP($E1545,'BASE DE DATOS'!$A:$I,3,0),0)</f>
        <v>0</v>
      </c>
      <c r="L1545" s="46">
        <f>IFERROR(VLOOKUP($E1545,'BASE DE DATOS'!$A:$I,3,0),0)</f>
        <v>0</v>
      </c>
    </row>
    <row r="1546" spans="6:12" x14ac:dyDescent="0.25">
      <c r="F1546" s="46">
        <f>IFERROR(VLOOKUP($E1559,'BASE DE DATOS'!$A:$I,3,0),0)</f>
        <v>0</v>
      </c>
      <c r="G1546" s="46">
        <f>IFERROR(VLOOKUP($E1546,'BASE DE DATOS'!$A:$I,3,0),0)</f>
        <v>0</v>
      </c>
      <c r="H1546" s="46">
        <f>IFERROR(VLOOKUP($E1546,'BASE DE DATOS'!$A:$I,3,0),0)</f>
        <v>0</v>
      </c>
      <c r="I1546" s="46">
        <f>IFERROR(VLOOKUP($E1546,'BASE DE DATOS'!$A:$I,3,0),0)</f>
        <v>0</v>
      </c>
      <c r="J1546" s="46">
        <f>IFERROR(VLOOKUP($E1546,'BASE DE DATOS'!$A:$I,3,0),0)</f>
        <v>0</v>
      </c>
      <c r="L1546" s="46">
        <f>IFERROR(VLOOKUP($E1546,'BASE DE DATOS'!$A:$I,3,0),0)</f>
        <v>0</v>
      </c>
    </row>
    <row r="1547" spans="6:12" x14ac:dyDescent="0.25">
      <c r="F1547" s="46">
        <f>IFERROR(VLOOKUP($E1560,'BASE DE DATOS'!$A:$I,3,0),0)</f>
        <v>0</v>
      </c>
      <c r="G1547" s="46">
        <f>IFERROR(VLOOKUP($E1547,'BASE DE DATOS'!$A:$I,3,0),0)</f>
        <v>0</v>
      </c>
      <c r="H1547" s="46">
        <f>IFERROR(VLOOKUP($E1547,'BASE DE DATOS'!$A:$I,3,0),0)</f>
        <v>0</v>
      </c>
      <c r="I1547" s="46">
        <f>IFERROR(VLOOKUP($E1547,'BASE DE DATOS'!$A:$I,3,0),0)</f>
        <v>0</v>
      </c>
      <c r="J1547" s="46">
        <f>IFERROR(VLOOKUP($E1547,'BASE DE DATOS'!$A:$I,3,0),0)</f>
        <v>0</v>
      </c>
      <c r="L1547" s="46">
        <f>IFERROR(VLOOKUP($E1547,'BASE DE DATOS'!$A:$I,3,0),0)</f>
        <v>0</v>
      </c>
    </row>
    <row r="1548" spans="6:12" x14ac:dyDescent="0.25">
      <c r="F1548" s="46">
        <f>IFERROR(VLOOKUP($E1561,'BASE DE DATOS'!$A:$I,3,0),0)</f>
        <v>0</v>
      </c>
      <c r="G1548" s="46">
        <f>IFERROR(VLOOKUP($E1548,'BASE DE DATOS'!$A:$I,3,0),0)</f>
        <v>0</v>
      </c>
      <c r="H1548" s="46">
        <f>IFERROR(VLOOKUP($E1548,'BASE DE DATOS'!$A:$I,3,0),0)</f>
        <v>0</v>
      </c>
      <c r="I1548" s="46">
        <f>IFERROR(VLOOKUP($E1548,'BASE DE DATOS'!$A:$I,3,0),0)</f>
        <v>0</v>
      </c>
      <c r="J1548" s="46">
        <f>IFERROR(VLOOKUP($E1548,'BASE DE DATOS'!$A:$I,3,0),0)</f>
        <v>0</v>
      </c>
      <c r="L1548" s="46">
        <f>IFERROR(VLOOKUP($E1548,'BASE DE DATOS'!$A:$I,3,0),0)</f>
        <v>0</v>
      </c>
    </row>
    <row r="1549" spans="6:12" x14ac:dyDescent="0.25">
      <c r="F1549" s="46">
        <f>IFERROR(VLOOKUP($E1562,'BASE DE DATOS'!$A:$I,3,0),0)</f>
        <v>0</v>
      </c>
      <c r="G1549" s="46">
        <f>IFERROR(VLOOKUP($E1549,'BASE DE DATOS'!$A:$I,3,0),0)</f>
        <v>0</v>
      </c>
      <c r="H1549" s="46">
        <f>IFERROR(VLOOKUP($E1549,'BASE DE DATOS'!$A:$I,3,0),0)</f>
        <v>0</v>
      </c>
      <c r="I1549" s="46">
        <f>IFERROR(VLOOKUP($E1549,'BASE DE DATOS'!$A:$I,3,0),0)</f>
        <v>0</v>
      </c>
      <c r="J1549" s="46">
        <f>IFERROR(VLOOKUP($E1549,'BASE DE DATOS'!$A:$I,3,0),0)</f>
        <v>0</v>
      </c>
      <c r="L1549" s="46">
        <f>IFERROR(VLOOKUP($E1549,'BASE DE DATOS'!$A:$I,3,0),0)</f>
        <v>0</v>
      </c>
    </row>
    <row r="1550" spans="6:12" x14ac:dyDescent="0.25">
      <c r="F1550" s="46">
        <f>IFERROR(VLOOKUP($E1563,'BASE DE DATOS'!$A:$I,3,0),0)</f>
        <v>0</v>
      </c>
      <c r="G1550" s="46">
        <f>IFERROR(VLOOKUP($E1550,'BASE DE DATOS'!$A:$I,3,0),0)</f>
        <v>0</v>
      </c>
      <c r="H1550" s="46">
        <f>IFERROR(VLOOKUP($E1550,'BASE DE DATOS'!$A:$I,3,0),0)</f>
        <v>0</v>
      </c>
      <c r="I1550" s="46">
        <f>IFERROR(VLOOKUP($E1550,'BASE DE DATOS'!$A:$I,3,0),0)</f>
        <v>0</v>
      </c>
      <c r="J1550" s="46">
        <f>IFERROR(VLOOKUP($E1550,'BASE DE DATOS'!$A:$I,3,0),0)</f>
        <v>0</v>
      </c>
      <c r="L1550" s="46">
        <f>IFERROR(VLOOKUP($E1550,'BASE DE DATOS'!$A:$I,3,0),0)</f>
        <v>0</v>
      </c>
    </row>
    <row r="1551" spans="6:12" x14ac:dyDescent="0.25">
      <c r="F1551" s="46">
        <f>IFERROR(VLOOKUP($E1564,'BASE DE DATOS'!$A:$I,3,0),0)</f>
        <v>0</v>
      </c>
      <c r="G1551" s="46">
        <f>IFERROR(VLOOKUP($E1551,'BASE DE DATOS'!$A:$I,3,0),0)</f>
        <v>0</v>
      </c>
      <c r="H1551" s="46">
        <f>IFERROR(VLOOKUP($E1551,'BASE DE DATOS'!$A:$I,3,0),0)</f>
        <v>0</v>
      </c>
      <c r="I1551" s="46">
        <f>IFERROR(VLOOKUP($E1551,'BASE DE DATOS'!$A:$I,3,0),0)</f>
        <v>0</v>
      </c>
      <c r="J1551" s="46">
        <f>IFERROR(VLOOKUP($E1551,'BASE DE DATOS'!$A:$I,3,0),0)</f>
        <v>0</v>
      </c>
      <c r="L1551" s="46">
        <f>IFERROR(VLOOKUP($E1551,'BASE DE DATOS'!$A:$I,3,0),0)</f>
        <v>0</v>
      </c>
    </row>
    <row r="1552" spans="6:12" x14ac:dyDescent="0.25">
      <c r="F1552" s="46">
        <f>IFERROR(VLOOKUP($E1565,'BASE DE DATOS'!$A:$I,3,0),0)</f>
        <v>0</v>
      </c>
      <c r="G1552" s="46">
        <f>IFERROR(VLOOKUP($E1552,'BASE DE DATOS'!$A:$I,3,0),0)</f>
        <v>0</v>
      </c>
      <c r="H1552" s="46">
        <f>IFERROR(VLOOKUP($E1552,'BASE DE DATOS'!$A:$I,3,0),0)</f>
        <v>0</v>
      </c>
      <c r="I1552" s="46">
        <f>IFERROR(VLOOKUP($E1552,'BASE DE DATOS'!$A:$I,3,0),0)</f>
        <v>0</v>
      </c>
      <c r="J1552" s="46">
        <f>IFERROR(VLOOKUP($E1552,'BASE DE DATOS'!$A:$I,3,0),0)</f>
        <v>0</v>
      </c>
      <c r="L1552" s="46">
        <f>IFERROR(VLOOKUP($E1552,'BASE DE DATOS'!$A:$I,3,0),0)</f>
        <v>0</v>
      </c>
    </row>
    <row r="1553" spans="6:12" x14ac:dyDescent="0.25">
      <c r="F1553" s="46">
        <f>IFERROR(VLOOKUP($E1566,'BASE DE DATOS'!$A:$I,3,0),0)</f>
        <v>0</v>
      </c>
      <c r="G1553" s="46">
        <f>IFERROR(VLOOKUP($E1553,'BASE DE DATOS'!$A:$I,3,0),0)</f>
        <v>0</v>
      </c>
      <c r="H1553" s="46">
        <f>IFERROR(VLOOKUP($E1553,'BASE DE DATOS'!$A:$I,3,0),0)</f>
        <v>0</v>
      </c>
      <c r="I1553" s="46">
        <f>IFERROR(VLOOKUP($E1553,'BASE DE DATOS'!$A:$I,3,0),0)</f>
        <v>0</v>
      </c>
      <c r="J1553" s="46">
        <f>IFERROR(VLOOKUP($E1553,'BASE DE DATOS'!$A:$I,3,0),0)</f>
        <v>0</v>
      </c>
      <c r="L1553" s="46">
        <f>IFERROR(VLOOKUP($E1553,'BASE DE DATOS'!$A:$I,3,0),0)</f>
        <v>0</v>
      </c>
    </row>
    <row r="1554" spans="6:12" x14ac:dyDescent="0.25">
      <c r="F1554" s="46">
        <f>IFERROR(VLOOKUP($E1567,'BASE DE DATOS'!$A:$I,3,0),0)</f>
        <v>0</v>
      </c>
      <c r="G1554" s="46">
        <f>IFERROR(VLOOKUP($E1554,'BASE DE DATOS'!$A:$I,3,0),0)</f>
        <v>0</v>
      </c>
      <c r="H1554" s="46">
        <f>IFERROR(VLOOKUP($E1554,'BASE DE DATOS'!$A:$I,3,0),0)</f>
        <v>0</v>
      </c>
      <c r="I1554" s="46">
        <f>IFERROR(VLOOKUP($E1554,'BASE DE DATOS'!$A:$I,3,0),0)</f>
        <v>0</v>
      </c>
      <c r="J1554" s="46">
        <f>IFERROR(VLOOKUP($E1554,'BASE DE DATOS'!$A:$I,3,0),0)</f>
        <v>0</v>
      </c>
      <c r="L1554" s="46">
        <f>IFERROR(VLOOKUP($E1554,'BASE DE DATOS'!$A:$I,3,0),0)</f>
        <v>0</v>
      </c>
    </row>
    <row r="1555" spans="6:12" x14ac:dyDescent="0.25">
      <c r="F1555" s="46">
        <f>IFERROR(VLOOKUP($E1568,'BASE DE DATOS'!$A:$I,3,0),0)</f>
        <v>0</v>
      </c>
      <c r="G1555" s="46">
        <f>IFERROR(VLOOKUP($E1555,'BASE DE DATOS'!$A:$I,3,0),0)</f>
        <v>0</v>
      </c>
      <c r="H1555" s="46">
        <f>IFERROR(VLOOKUP($E1555,'BASE DE DATOS'!$A:$I,3,0),0)</f>
        <v>0</v>
      </c>
      <c r="I1555" s="46">
        <f>IFERROR(VLOOKUP($E1555,'BASE DE DATOS'!$A:$I,3,0),0)</f>
        <v>0</v>
      </c>
      <c r="J1555" s="46">
        <f>IFERROR(VLOOKUP($E1555,'BASE DE DATOS'!$A:$I,3,0),0)</f>
        <v>0</v>
      </c>
      <c r="L1555" s="46">
        <f>IFERROR(VLOOKUP($E1555,'BASE DE DATOS'!$A:$I,3,0),0)</f>
        <v>0</v>
      </c>
    </row>
    <row r="1556" spans="6:12" x14ac:dyDescent="0.25">
      <c r="F1556" s="46">
        <f>IFERROR(VLOOKUP($E1569,'BASE DE DATOS'!$A:$I,3,0),0)</f>
        <v>0</v>
      </c>
      <c r="G1556" s="46">
        <f>IFERROR(VLOOKUP($E1556,'BASE DE DATOS'!$A:$I,3,0),0)</f>
        <v>0</v>
      </c>
      <c r="H1556" s="46">
        <f>IFERROR(VLOOKUP($E1556,'BASE DE DATOS'!$A:$I,3,0),0)</f>
        <v>0</v>
      </c>
      <c r="I1556" s="46">
        <f>IFERROR(VLOOKUP($E1556,'BASE DE DATOS'!$A:$I,3,0),0)</f>
        <v>0</v>
      </c>
      <c r="J1556" s="46">
        <f>IFERROR(VLOOKUP($E1556,'BASE DE DATOS'!$A:$I,3,0),0)</f>
        <v>0</v>
      </c>
      <c r="L1556" s="46">
        <f>IFERROR(VLOOKUP($E1556,'BASE DE DATOS'!$A:$I,3,0),0)</f>
        <v>0</v>
      </c>
    </row>
    <row r="1557" spans="6:12" x14ac:dyDescent="0.25">
      <c r="F1557" s="46">
        <f>IFERROR(VLOOKUP($E1570,'BASE DE DATOS'!$A:$I,3,0),0)</f>
        <v>0</v>
      </c>
      <c r="G1557" s="46">
        <f>IFERROR(VLOOKUP($E1557,'BASE DE DATOS'!$A:$I,3,0),0)</f>
        <v>0</v>
      </c>
      <c r="H1557" s="46">
        <f>IFERROR(VLOOKUP($E1557,'BASE DE DATOS'!$A:$I,3,0),0)</f>
        <v>0</v>
      </c>
      <c r="I1557" s="46">
        <f>IFERROR(VLOOKUP($E1557,'BASE DE DATOS'!$A:$I,3,0),0)</f>
        <v>0</v>
      </c>
      <c r="J1557" s="46">
        <f>IFERROR(VLOOKUP($E1557,'BASE DE DATOS'!$A:$I,3,0),0)</f>
        <v>0</v>
      </c>
      <c r="L1557" s="46">
        <f>IFERROR(VLOOKUP($E1557,'BASE DE DATOS'!$A:$I,3,0),0)</f>
        <v>0</v>
      </c>
    </row>
    <row r="1558" spans="6:12" x14ac:dyDescent="0.25">
      <c r="F1558" s="46">
        <f>IFERROR(VLOOKUP($E1571,'BASE DE DATOS'!$A:$I,3,0),0)</f>
        <v>0</v>
      </c>
      <c r="G1558" s="46">
        <f>IFERROR(VLOOKUP($E1558,'BASE DE DATOS'!$A:$I,3,0),0)</f>
        <v>0</v>
      </c>
      <c r="H1558" s="46">
        <f>IFERROR(VLOOKUP($E1558,'BASE DE DATOS'!$A:$I,3,0),0)</f>
        <v>0</v>
      </c>
      <c r="I1558" s="46">
        <f>IFERROR(VLOOKUP($E1558,'BASE DE DATOS'!$A:$I,3,0),0)</f>
        <v>0</v>
      </c>
      <c r="J1558" s="46">
        <f>IFERROR(VLOOKUP($E1558,'BASE DE DATOS'!$A:$I,3,0),0)</f>
        <v>0</v>
      </c>
      <c r="L1558" s="46">
        <f>IFERROR(VLOOKUP($E1558,'BASE DE DATOS'!$A:$I,3,0),0)</f>
        <v>0</v>
      </c>
    </row>
    <row r="1559" spans="6:12" x14ac:dyDescent="0.25">
      <c r="F1559" s="46">
        <f>IFERROR(VLOOKUP($E1572,'BASE DE DATOS'!$A:$I,3,0),0)</f>
        <v>0</v>
      </c>
      <c r="G1559" s="46">
        <f>IFERROR(VLOOKUP($E1559,'BASE DE DATOS'!$A:$I,3,0),0)</f>
        <v>0</v>
      </c>
      <c r="H1559" s="46">
        <f>IFERROR(VLOOKUP($E1559,'BASE DE DATOS'!$A:$I,3,0),0)</f>
        <v>0</v>
      </c>
      <c r="I1559" s="46">
        <f>IFERROR(VLOOKUP($E1559,'BASE DE DATOS'!$A:$I,3,0),0)</f>
        <v>0</v>
      </c>
      <c r="J1559" s="46">
        <f>IFERROR(VLOOKUP($E1559,'BASE DE DATOS'!$A:$I,3,0),0)</f>
        <v>0</v>
      </c>
      <c r="L1559" s="46">
        <f>IFERROR(VLOOKUP($E1559,'BASE DE DATOS'!$A:$I,3,0),0)</f>
        <v>0</v>
      </c>
    </row>
    <row r="1560" spans="6:12" x14ac:dyDescent="0.25">
      <c r="F1560" s="46">
        <f>IFERROR(VLOOKUP($E1573,'BASE DE DATOS'!$A:$I,3,0),0)</f>
        <v>0</v>
      </c>
      <c r="G1560" s="46">
        <f>IFERROR(VLOOKUP($E1560,'BASE DE DATOS'!$A:$I,3,0),0)</f>
        <v>0</v>
      </c>
      <c r="H1560" s="46">
        <f>IFERROR(VLOOKUP($E1560,'BASE DE DATOS'!$A:$I,3,0),0)</f>
        <v>0</v>
      </c>
      <c r="I1560" s="46">
        <f>IFERROR(VLOOKUP($E1560,'BASE DE DATOS'!$A:$I,3,0),0)</f>
        <v>0</v>
      </c>
      <c r="J1560" s="46">
        <f>IFERROR(VLOOKUP($E1560,'BASE DE DATOS'!$A:$I,3,0),0)</f>
        <v>0</v>
      </c>
      <c r="L1560" s="46">
        <f>IFERROR(VLOOKUP($E1560,'BASE DE DATOS'!$A:$I,3,0),0)</f>
        <v>0</v>
      </c>
    </row>
    <row r="1561" spans="6:12" x14ac:dyDescent="0.25">
      <c r="F1561" s="46">
        <f>IFERROR(VLOOKUP($E1574,'BASE DE DATOS'!$A:$I,3,0),0)</f>
        <v>0</v>
      </c>
      <c r="G1561" s="46">
        <f>IFERROR(VLOOKUP($E1561,'BASE DE DATOS'!$A:$I,3,0),0)</f>
        <v>0</v>
      </c>
      <c r="H1561" s="46">
        <f>IFERROR(VLOOKUP($E1561,'BASE DE DATOS'!$A:$I,3,0),0)</f>
        <v>0</v>
      </c>
      <c r="I1561" s="46">
        <f>IFERROR(VLOOKUP($E1561,'BASE DE DATOS'!$A:$I,3,0),0)</f>
        <v>0</v>
      </c>
      <c r="J1561" s="46">
        <f>IFERROR(VLOOKUP($E1561,'BASE DE DATOS'!$A:$I,3,0),0)</f>
        <v>0</v>
      </c>
      <c r="L1561" s="46">
        <f>IFERROR(VLOOKUP($E1561,'BASE DE DATOS'!$A:$I,3,0),0)</f>
        <v>0</v>
      </c>
    </row>
    <row r="1562" spans="6:12" x14ac:dyDescent="0.25">
      <c r="F1562" s="46">
        <f>IFERROR(VLOOKUP($E1575,'BASE DE DATOS'!$A:$I,3,0),0)</f>
        <v>0</v>
      </c>
      <c r="G1562" s="46">
        <f>IFERROR(VLOOKUP($E1562,'BASE DE DATOS'!$A:$I,3,0),0)</f>
        <v>0</v>
      </c>
      <c r="H1562" s="46">
        <f>IFERROR(VLOOKUP($E1562,'BASE DE DATOS'!$A:$I,3,0),0)</f>
        <v>0</v>
      </c>
      <c r="I1562" s="46">
        <f>IFERROR(VLOOKUP($E1562,'BASE DE DATOS'!$A:$I,3,0),0)</f>
        <v>0</v>
      </c>
      <c r="J1562" s="46">
        <f>IFERROR(VLOOKUP($E1562,'BASE DE DATOS'!$A:$I,3,0),0)</f>
        <v>0</v>
      </c>
      <c r="L1562" s="46">
        <f>IFERROR(VLOOKUP($E1562,'BASE DE DATOS'!$A:$I,3,0),0)</f>
        <v>0</v>
      </c>
    </row>
    <row r="1563" spans="6:12" x14ac:dyDescent="0.25">
      <c r="F1563" s="46">
        <f>IFERROR(VLOOKUP($E1576,'BASE DE DATOS'!$A:$I,3,0),0)</f>
        <v>0</v>
      </c>
      <c r="G1563" s="46">
        <f>IFERROR(VLOOKUP($E1563,'BASE DE DATOS'!$A:$I,3,0),0)</f>
        <v>0</v>
      </c>
      <c r="H1563" s="46">
        <f>IFERROR(VLOOKUP($E1563,'BASE DE DATOS'!$A:$I,3,0),0)</f>
        <v>0</v>
      </c>
      <c r="I1563" s="46">
        <f>IFERROR(VLOOKUP($E1563,'BASE DE DATOS'!$A:$I,3,0),0)</f>
        <v>0</v>
      </c>
      <c r="J1563" s="46">
        <f>IFERROR(VLOOKUP($E1563,'BASE DE DATOS'!$A:$I,3,0),0)</f>
        <v>0</v>
      </c>
      <c r="L1563" s="46">
        <f>IFERROR(VLOOKUP($E1563,'BASE DE DATOS'!$A:$I,3,0),0)</f>
        <v>0</v>
      </c>
    </row>
    <row r="1564" spans="6:12" x14ac:dyDescent="0.25">
      <c r="F1564" s="46">
        <f>IFERROR(VLOOKUP($E1577,'BASE DE DATOS'!$A:$I,3,0),0)</f>
        <v>0</v>
      </c>
      <c r="G1564" s="46">
        <f>IFERROR(VLOOKUP($E1564,'BASE DE DATOS'!$A:$I,3,0),0)</f>
        <v>0</v>
      </c>
      <c r="H1564" s="46">
        <f>IFERROR(VLOOKUP($E1564,'BASE DE DATOS'!$A:$I,3,0),0)</f>
        <v>0</v>
      </c>
      <c r="I1564" s="46">
        <f>IFERROR(VLOOKUP($E1564,'BASE DE DATOS'!$A:$I,3,0),0)</f>
        <v>0</v>
      </c>
      <c r="J1564" s="46">
        <f>IFERROR(VLOOKUP($E1564,'BASE DE DATOS'!$A:$I,3,0),0)</f>
        <v>0</v>
      </c>
      <c r="L1564" s="46">
        <f>IFERROR(VLOOKUP($E1564,'BASE DE DATOS'!$A:$I,3,0),0)</f>
        <v>0</v>
      </c>
    </row>
    <row r="1565" spans="6:12" x14ac:dyDescent="0.25">
      <c r="F1565" s="46">
        <f>IFERROR(VLOOKUP($E1578,'BASE DE DATOS'!$A:$I,3,0),0)</f>
        <v>0</v>
      </c>
      <c r="G1565" s="46">
        <f>IFERROR(VLOOKUP($E1565,'BASE DE DATOS'!$A:$I,3,0),0)</f>
        <v>0</v>
      </c>
      <c r="H1565" s="46">
        <f>IFERROR(VLOOKUP($E1565,'BASE DE DATOS'!$A:$I,3,0),0)</f>
        <v>0</v>
      </c>
      <c r="I1565" s="46">
        <f>IFERROR(VLOOKUP($E1565,'BASE DE DATOS'!$A:$I,3,0),0)</f>
        <v>0</v>
      </c>
      <c r="J1565" s="46">
        <f>IFERROR(VLOOKUP($E1565,'BASE DE DATOS'!$A:$I,3,0),0)</f>
        <v>0</v>
      </c>
      <c r="L1565" s="46">
        <f>IFERROR(VLOOKUP($E1565,'BASE DE DATOS'!$A:$I,3,0),0)</f>
        <v>0</v>
      </c>
    </row>
    <row r="1566" spans="6:12" x14ac:dyDescent="0.25">
      <c r="F1566" s="46">
        <f>IFERROR(VLOOKUP($E1579,'BASE DE DATOS'!$A:$I,3,0),0)</f>
        <v>0</v>
      </c>
      <c r="G1566" s="46">
        <f>IFERROR(VLOOKUP($E1566,'BASE DE DATOS'!$A:$I,3,0),0)</f>
        <v>0</v>
      </c>
      <c r="H1566" s="46">
        <f>IFERROR(VLOOKUP($E1566,'BASE DE DATOS'!$A:$I,3,0),0)</f>
        <v>0</v>
      </c>
      <c r="I1566" s="46">
        <f>IFERROR(VLOOKUP($E1566,'BASE DE DATOS'!$A:$I,3,0),0)</f>
        <v>0</v>
      </c>
      <c r="J1566" s="46">
        <f>IFERROR(VLOOKUP($E1566,'BASE DE DATOS'!$A:$I,3,0),0)</f>
        <v>0</v>
      </c>
      <c r="L1566" s="46">
        <f>IFERROR(VLOOKUP($E1566,'BASE DE DATOS'!$A:$I,3,0),0)</f>
        <v>0</v>
      </c>
    </row>
    <row r="1567" spans="6:12" x14ac:dyDescent="0.25">
      <c r="F1567" s="46">
        <f>IFERROR(VLOOKUP($E1580,'BASE DE DATOS'!$A:$I,3,0),0)</f>
        <v>0</v>
      </c>
      <c r="G1567" s="46">
        <f>IFERROR(VLOOKUP($E1567,'BASE DE DATOS'!$A:$I,3,0),0)</f>
        <v>0</v>
      </c>
      <c r="H1567" s="46">
        <f>IFERROR(VLOOKUP($E1567,'BASE DE DATOS'!$A:$I,3,0),0)</f>
        <v>0</v>
      </c>
      <c r="I1567" s="46">
        <f>IFERROR(VLOOKUP($E1567,'BASE DE DATOS'!$A:$I,3,0),0)</f>
        <v>0</v>
      </c>
      <c r="J1567" s="46">
        <f>IFERROR(VLOOKUP($E1567,'BASE DE DATOS'!$A:$I,3,0),0)</f>
        <v>0</v>
      </c>
      <c r="L1567" s="46">
        <f>IFERROR(VLOOKUP($E1567,'BASE DE DATOS'!$A:$I,3,0),0)</f>
        <v>0</v>
      </c>
    </row>
    <row r="1568" spans="6:12" x14ac:dyDescent="0.25">
      <c r="F1568" s="46">
        <f>IFERROR(VLOOKUP($E1581,'BASE DE DATOS'!$A:$I,3,0),0)</f>
        <v>0</v>
      </c>
      <c r="G1568" s="46">
        <f>IFERROR(VLOOKUP($E1568,'BASE DE DATOS'!$A:$I,3,0),0)</f>
        <v>0</v>
      </c>
      <c r="H1568" s="46">
        <f>IFERROR(VLOOKUP($E1568,'BASE DE DATOS'!$A:$I,3,0),0)</f>
        <v>0</v>
      </c>
      <c r="I1568" s="46">
        <f>IFERROR(VLOOKUP($E1568,'BASE DE DATOS'!$A:$I,3,0),0)</f>
        <v>0</v>
      </c>
      <c r="J1568" s="46">
        <f>IFERROR(VLOOKUP($E1568,'BASE DE DATOS'!$A:$I,3,0),0)</f>
        <v>0</v>
      </c>
      <c r="L1568" s="46">
        <f>IFERROR(VLOOKUP($E1568,'BASE DE DATOS'!$A:$I,3,0),0)</f>
        <v>0</v>
      </c>
    </row>
    <row r="1569" spans="6:12" x14ac:dyDescent="0.25">
      <c r="F1569" s="46">
        <f>IFERROR(VLOOKUP($E1582,'BASE DE DATOS'!$A:$I,3,0),0)</f>
        <v>0</v>
      </c>
      <c r="G1569" s="46">
        <f>IFERROR(VLOOKUP($E1569,'BASE DE DATOS'!$A:$I,3,0),0)</f>
        <v>0</v>
      </c>
      <c r="H1569" s="46">
        <f>IFERROR(VLOOKUP($E1569,'BASE DE DATOS'!$A:$I,3,0),0)</f>
        <v>0</v>
      </c>
      <c r="I1569" s="46">
        <f>IFERROR(VLOOKUP($E1569,'BASE DE DATOS'!$A:$I,3,0),0)</f>
        <v>0</v>
      </c>
      <c r="J1569" s="46">
        <f>IFERROR(VLOOKUP($E1569,'BASE DE DATOS'!$A:$I,3,0),0)</f>
        <v>0</v>
      </c>
      <c r="L1569" s="46">
        <f>IFERROR(VLOOKUP($E1569,'BASE DE DATOS'!$A:$I,3,0),0)</f>
        <v>0</v>
      </c>
    </row>
    <row r="1570" spans="6:12" x14ac:dyDescent="0.25">
      <c r="F1570" s="46">
        <f>IFERROR(VLOOKUP($E1583,'BASE DE DATOS'!$A:$I,3,0),0)</f>
        <v>0</v>
      </c>
      <c r="G1570" s="46">
        <f>IFERROR(VLOOKUP($E1570,'BASE DE DATOS'!$A:$I,3,0),0)</f>
        <v>0</v>
      </c>
      <c r="H1570" s="46">
        <f>IFERROR(VLOOKUP($E1570,'BASE DE DATOS'!$A:$I,3,0),0)</f>
        <v>0</v>
      </c>
      <c r="I1570" s="46">
        <f>IFERROR(VLOOKUP($E1570,'BASE DE DATOS'!$A:$I,3,0),0)</f>
        <v>0</v>
      </c>
      <c r="J1570" s="46">
        <f>IFERROR(VLOOKUP($E1570,'BASE DE DATOS'!$A:$I,3,0),0)</f>
        <v>0</v>
      </c>
      <c r="L1570" s="46">
        <f>IFERROR(VLOOKUP($E1570,'BASE DE DATOS'!$A:$I,3,0),0)</f>
        <v>0</v>
      </c>
    </row>
    <row r="1571" spans="6:12" x14ac:dyDescent="0.25">
      <c r="F1571" s="46">
        <f>IFERROR(VLOOKUP($E1584,'BASE DE DATOS'!$A:$I,3,0),0)</f>
        <v>0</v>
      </c>
      <c r="G1571" s="46">
        <f>IFERROR(VLOOKUP($E1571,'BASE DE DATOS'!$A:$I,3,0),0)</f>
        <v>0</v>
      </c>
      <c r="H1571" s="46">
        <f>IFERROR(VLOOKUP($E1571,'BASE DE DATOS'!$A:$I,3,0),0)</f>
        <v>0</v>
      </c>
      <c r="I1571" s="46">
        <f>IFERROR(VLOOKUP($E1571,'BASE DE DATOS'!$A:$I,3,0),0)</f>
        <v>0</v>
      </c>
      <c r="J1571" s="46">
        <f>IFERROR(VLOOKUP($E1571,'BASE DE DATOS'!$A:$I,3,0),0)</f>
        <v>0</v>
      </c>
      <c r="L1571" s="46">
        <f>IFERROR(VLOOKUP($E1571,'BASE DE DATOS'!$A:$I,3,0),0)</f>
        <v>0</v>
      </c>
    </row>
    <row r="1572" spans="6:12" x14ac:dyDescent="0.25">
      <c r="F1572" s="46">
        <f>IFERROR(VLOOKUP($E1585,'BASE DE DATOS'!$A:$I,3,0),0)</f>
        <v>0</v>
      </c>
      <c r="G1572" s="46">
        <f>IFERROR(VLOOKUP($E1572,'BASE DE DATOS'!$A:$I,3,0),0)</f>
        <v>0</v>
      </c>
      <c r="H1572" s="46">
        <f>IFERROR(VLOOKUP($E1572,'BASE DE DATOS'!$A:$I,3,0),0)</f>
        <v>0</v>
      </c>
      <c r="I1572" s="46">
        <f>IFERROR(VLOOKUP($E1572,'BASE DE DATOS'!$A:$I,3,0),0)</f>
        <v>0</v>
      </c>
      <c r="J1572" s="46">
        <f>IFERROR(VLOOKUP($E1572,'BASE DE DATOS'!$A:$I,3,0),0)</f>
        <v>0</v>
      </c>
      <c r="L1572" s="46">
        <f>IFERROR(VLOOKUP($E1572,'BASE DE DATOS'!$A:$I,3,0),0)</f>
        <v>0</v>
      </c>
    </row>
    <row r="1573" spans="6:12" x14ac:dyDescent="0.25">
      <c r="F1573" s="46">
        <f>IFERROR(VLOOKUP($E1586,'BASE DE DATOS'!$A:$I,3,0),0)</f>
        <v>0</v>
      </c>
      <c r="G1573" s="46">
        <f>IFERROR(VLOOKUP($E1573,'BASE DE DATOS'!$A:$I,3,0),0)</f>
        <v>0</v>
      </c>
      <c r="H1573" s="46">
        <f>IFERROR(VLOOKUP($E1573,'BASE DE DATOS'!$A:$I,3,0),0)</f>
        <v>0</v>
      </c>
      <c r="I1573" s="46">
        <f>IFERROR(VLOOKUP($E1573,'BASE DE DATOS'!$A:$I,3,0),0)</f>
        <v>0</v>
      </c>
      <c r="J1573" s="46">
        <f>IFERROR(VLOOKUP($E1573,'BASE DE DATOS'!$A:$I,3,0),0)</f>
        <v>0</v>
      </c>
      <c r="L1573" s="46">
        <f>IFERROR(VLOOKUP($E1573,'BASE DE DATOS'!$A:$I,3,0),0)</f>
        <v>0</v>
      </c>
    </row>
    <row r="1574" spans="6:12" x14ac:dyDescent="0.25">
      <c r="F1574" s="46">
        <f>IFERROR(VLOOKUP($E1587,'BASE DE DATOS'!$A:$I,3,0),0)</f>
        <v>0</v>
      </c>
      <c r="G1574" s="46">
        <f>IFERROR(VLOOKUP($E1574,'BASE DE DATOS'!$A:$I,3,0),0)</f>
        <v>0</v>
      </c>
      <c r="H1574" s="46">
        <f>IFERROR(VLOOKUP($E1574,'BASE DE DATOS'!$A:$I,3,0),0)</f>
        <v>0</v>
      </c>
      <c r="I1574" s="46">
        <f>IFERROR(VLOOKUP($E1574,'BASE DE DATOS'!$A:$I,3,0),0)</f>
        <v>0</v>
      </c>
      <c r="J1574" s="46">
        <f>IFERROR(VLOOKUP($E1574,'BASE DE DATOS'!$A:$I,3,0),0)</f>
        <v>0</v>
      </c>
      <c r="L1574" s="46">
        <f>IFERROR(VLOOKUP($E1574,'BASE DE DATOS'!$A:$I,3,0),0)</f>
        <v>0</v>
      </c>
    </row>
    <row r="1575" spans="6:12" x14ac:dyDescent="0.25">
      <c r="F1575" s="46">
        <f>IFERROR(VLOOKUP($E1588,'BASE DE DATOS'!$A:$I,3,0),0)</f>
        <v>0</v>
      </c>
      <c r="G1575" s="46">
        <f>IFERROR(VLOOKUP($E1575,'BASE DE DATOS'!$A:$I,3,0),0)</f>
        <v>0</v>
      </c>
      <c r="H1575" s="46">
        <f>IFERROR(VLOOKUP($E1575,'BASE DE DATOS'!$A:$I,3,0),0)</f>
        <v>0</v>
      </c>
      <c r="I1575" s="46">
        <f>IFERROR(VLOOKUP($E1575,'BASE DE DATOS'!$A:$I,3,0),0)</f>
        <v>0</v>
      </c>
      <c r="J1575" s="46">
        <f>IFERROR(VLOOKUP($E1575,'BASE DE DATOS'!$A:$I,3,0),0)</f>
        <v>0</v>
      </c>
      <c r="L1575" s="46">
        <f>IFERROR(VLOOKUP($E1575,'BASE DE DATOS'!$A:$I,3,0),0)</f>
        <v>0</v>
      </c>
    </row>
    <row r="1576" spans="6:12" x14ac:dyDescent="0.25">
      <c r="F1576" s="46">
        <f>IFERROR(VLOOKUP($E1589,'BASE DE DATOS'!$A:$I,3,0),0)</f>
        <v>0</v>
      </c>
      <c r="G1576" s="46">
        <f>IFERROR(VLOOKUP($E1576,'BASE DE DATOS'!$A:$I,3,0),0)</f>
        <v>0</v>
      </c>
      <c r="H1576" s="46">
        <f>IFERROR(VLOOKUP($E1576,'BASE DE DATOS'!$A:$I,3,0),0)</f>
        <v>0</v>
      </c>
      <c r="I1576" s="46">
        <f>IFERROR(VLOOKUP($E1576,'BASE DE DATOS'!$A:$I,3,0),0)</f>
        <v>0</v>
      </c>
      <c r="J1576" s="46">
        <f>IFERROR(VLOOKUP($E1576,'BASE DE DATOS'!$A:$I,3,0),0)</f>
        <v>0</v>
      </c>
      <c r="L1576" s="46">
        <f>IFERROR(VLOOKUP($E1576,'BASE DE DATOS'!$A:$I,3,0),0)</f>
        <v>0</v>
      </c>
    </row>
    <row r="1577" spans="6:12" x14ac:dyDescent="0.25">
      <c r="F1577" s="46">
        <f>IFERROR(VLOOKUP($E1590,'BASE DE DATOS'!$A:$I,3,0),0)</f>
        <v>0</v>
      </c>
      <c r="G1577" s="46">
        <f>IFERROR(VLOOKUP($E1577,'BASE DE DATOS'!$A:$I,3,0),0)</f>
        <v>0</v>
      </c>
      <c r="H1577" s="46">
        <f>IFERROR(VLOOKUP($E1577,'BASE DE DATOS'!$A:$I,3,0),0)</f>
        <v>0</v>
      </c>
      <c r="I1577" s="46">
        <f>IFERROR(VLOOKUP($E1577,'BASE DE DATOS'!$A:$I,3,0),0)</f>
        <v>0</v>
      </c>
      <c r="J1577" s="46">
        <f>IFERROR(VLOOKUP($E1577,'BASE DE DATOS'!$A:$I,3,0),0)</f>
        <v>0</v>
      </c>
      <c r="L1577" s="46">
        <f>IFERROR(VLOOKUP($E1577,'BASE DE DATOS'!$A:$I,3,0),0)</f>
        <v>0</v>
      </c>
    </row>
    <row r="1578" spans="6:12" x14ac:dyDescent="0.25">
      <c r="F1578" s="46">
        <f>IFERROR(VLOOKUP($E1591,'BASE DE DATOS'!$A:$I,3,0),0)</f>
        <v>0</v>
      </c>
      <c r="G1578" s="46">
        <f>IFERROR(VLOOKUP($E1578,'BASE DE DATOS'!$A:$I,3,0),0)</f>
        <v>0</v>
      </c>
      <c r="H1578" s="46">
        <f>IFERROR(VLOOKUP($E1578,'BASE DE DATOS'!$A:$I,3,0),0)</f>
        <v>0</v>
      </c>
      <c r="I1578" s="46">
        <f>IFERROR(VLOOKUP($E1578,'BASE DE DATOS'!$A:$I,3,0),0)</f>
        <v>0</v>
      </c>
      <c r="J1578" s="46">
        <f>IFERROR(VLOOKUP($E1578,'BASE DE DATOS'!$A:$I,3,0),0)</f>
        <v>0</v>
      </c>
      <c r="L1578" s="46">
        <f>IFERROR(VLOOKUP($E1578,'BASE DE DATOS'!$A:$I,3,0),0)</f>
        <v>0</v>
      </c>
    </row>
    <row r="1579" spans="6:12" x14ac:dyDescent="0.25">
      <c r="F1579" s="46">
        <f>IFERROR(VLOOKUP($E1592,'BASE DE DATOS'!$A:$I,3,0),0)</f>
        <v>0</v>
      </c>
      <c r="G1579" s="46">
        <f>IFERROR(VLOOKUP($E1579,'BASE DE DATOS'!$A:$I,3,0),0)</f>
        <v>0</v>
      </c>
      <c r="H1579" s="46">
        <f>IFERROR(VLOOKUP($E1579,'BASE DE DATOS'!$A:$I,3,0),0)</f>
        <v>0</v>
      </c>
      <c r="I1579" s="46">
        <f>IFERROR(VLOOKUP($E1579,'BASE DE DATOS'!$A:$I,3,0),0)</f>
        <v>0</v>
      </c>
      <c r="J1579" s="46">
        <f>IFERROR(VLOOKUP($E1579,'BASE DE DATOS'!$A:$I,3,0),0)</f>
        <v>0</v>
      </c>
      <c r="L1579" s="46">
        <f>IFERROR(VLOOKUP($E1579,'BASE DE DATOS'!$A:$I,3,0),0)</f>
        <v>0</v>
      </c>
    </row>
    <row r="1580" spans="6:12" x14ac:dyDescent="0.25">
      <c r="F1580" s="46">
        <f>IFERROR(VLOOKUP($E1593,'BASE DE DATOS'!$A:$I,3,0),0)</f>
        <v>0</v>
      </c>
      <c r="G1580" s="46">
        <f>IFERROR(VLOOKUP($E1580,'BASE DE DATOS'!$A:$I,3,0),0)</f>
        <v>0</v>
      </c>
      <c r="H1580" s="46">
        <f>IFERROR(VLOOKUP($E1580,'BASE DE DATOS'!$A:$I,3,0),0)</f>
        <v>0</v>
      </c>
      <c r="I1580" s="46">
        <f>IFERROR(VLOOKUP($E1580,'BASE DE DATOS'!$A:$I,3,0),0)</f>
        <v>0</v>
      </c>
      <c r="J1580" s="46">
        <f>IFERROR(VLOOKUP($E1580,'BASE DE DATOS'!$A:$I,3,0),0)</f>
        <v>0</v>
      </c>
      <c r="L1580" s="46">
        <f>IFERROR(VLOOKUP($E1580,'BASE DE DATOS'!$A:$I,3,0),0)</f>
        <v>0</v>
      </c>
    </row>
    <row r="1581" spans="6:12" x14ac:dyDescent="0.25">
      <c r="F1581" s="46">
        <f>IFERROR(VLOOKUP($E1594,'BASE DE DATOS'!$A:$I,3,0),0)</f>
        <v>0</v>
      </c>
      <c r="G1581" s="46">
        <f>IFERROR(VLOOKUP($E1581,'BASE DE DATOS'!$A:$I,3,0),0)</f>
        <v>0</v>
      </c>
      <c r="H1581" s="46">
        <f>IFERROR(VLOOKUP($E1581,'BASE DE DATOS'!$A:$I,3,0),0)</f>
        <v>0</v>
      </c>
      <c r="I1581" s="46">
        <f>IFERROR(VLOOKUP($E1581,'BASE DE DATOS'!$A:$I,3,0),0)</f>
        <v>0</v>
      </c>
      <c r="J1581" s="46">
        <f>IFERROR(VLOOKUP($E1581,'BASE DE DATOS'!$A:$I,3,0),0)</f>
        <v>0</v>
      </c>
      <c r="L1581" s="46">
        <f>IFERROR(VLOOKUP($E1581,'BASE DE DATOS'!$A:$I,3,0),0)</f>
        <v>0</v>
      </c>
    </row>
    <row r="1582" spans="6:12" x14ac:dyDescent="0.25">
      <c r="F1582" s="46">
        <f>IFERROR(VLOOKUP($E1595,'BASE DE DATOS'!$A:$I,3,0),0)</f>
        <v>0</v>
      </c>
      <c r="G1582" s="46">
        <f>IFERROR(VLOOKUP($E1582,'BASE DE DATOS'!$A:$I,3,0),0)</f>
        <v>0</v>
      </c>
      <c r="H1582" s="46">
        <f>IFERROR(VLOOKUP($E1582,'BASE DE DATOS'!$A:$I,3,0),0)</f>
        <v>0</v>
      </c>
      <c r="I1582" s="46">
        <f>IFERROR(VLOOKUP($E1582,'BASE DE DATOS'!$A:$I,3,0),0)</f>
        <v>0</v>
      </c>
      <c r="J1582" s="46">
        <f>IFERROR(VLOOKUP($E1582,'BASE DE DATOS'!$A:$I,3,0),0)</f>
        <v>0</v>
      </c>
      <c r="L1582" s="46">
        <f>IFERROR(VLOOKUP($E1582,'BASE DE DATOS'!$A:$I,3,0),0)</f>
        <v>0</v>
      </c>
    </row>
    <row r="1583" spans="6:12" x14ac:dyDescent="0.25">
      <c r="F1583" s="46">
        <f>IFERROR(VLOOKUP($E1596,'BASE DE DATOS'!$A:$I,3,0),0)</f>
        <v>0</v>
      </c>
      <c r="G1583" s="46">
        <f>IFERROR(VLOOKUP($E1583,'BASE DE DATOS'!$A:$I,3,0),0)</f>
        <v>0</v>
      </c>
      <c r="H1583" s="46">
        <f>IFERROR(VLOOKUP($E1583,'BASE DE DATOS'!$A:$I,3,0),0)</f>
        <v>0</v>
      </c>
      <c r="I1583" s="46">
        <f>IFERROR(VLOOKUP($E1583,'BASE DE DATOS'!$A:$I,3,0),0)</f>
        <v>0</v>
      </c>
      <c r="J1583" s="46">
        <f>IFERROR(VLOOKUP($E1583,'BASE DE DATOS'!$A:$I,3,0),0)</f>
        <v>0</v>
      </c>
      <c r="L1583" s="46">
        <f>IFERROR(VLOOKUP($E1583,'BASE DE DATOS'!$A:$I,3,0),0)</f>
        <v>0</v>
      </c>
    </row>
    <row r="1584" spans="6:12" x14ac:dyDescent="0.25">
      <c r="F1584" s="46">
        <f>IFERROR(VLOOKUP($E1597,'BASE DE DATOS'!$A:$I,3,0),0)</f>
        <v>0</v>
      </c>
      <c r="G1584" s="46">
        <f>IFERROR(VLOOKUP($E1584,'BASE DE DATOS'!$A:$I,3,0),0)</f>
        <v>0</v>
      </c>
      <c r="H1584" s="46">
        <f>IFERROR(VLOOKUP($E1584,'BASE DE DATOS'!$A:$I,3,0),0)</f>
        <v>0</v>
      </c>
      <c r="I1584" s="46">
        <f>IFERROR(VLOOKUP($E1584,'BASE DE DATOS'!$A:$I,3,0),0)</f>
        <v>0</v>
      </c>
      <c r="J1584" s="46">
        <f>IFERROR(VLOOKUP($E1584,'BASE DE DATOS'!$A:$I,3,0),0)</f>
        <v>0</v>
      </c>
      <c r="L1584" s="46">
        <f>IFERROR(VLOOKUP($E1584,'BASE DE DATOS'!$A:$I,3,0),0)</f>
        <v>0</v>
      </c>
    </row>
    <row r="1585" spans="6:12" x14ac:dyDescent="0.25">
      <c r="F1585" s="46">
        <f>IFERROR(VLOOKUP($E1598,'BASE DE DATOS'!$A:$I,3,0),0)</f>
        <v>0</v>
      </c>
      <c r="G1585" s="46">
        <f>IFERROR(VLOOKUP($E1585,'BASE DE DATOS'!$A:$I,3,0),0)</f>
        <v>0</v>
      </c>
      <c r="H1585" s="46">
        <f>IFERROR(VLOOKUP($E1585,'BASE DE DATOS'!$A:$I,3,0),0)</f>
        <v>0</v>
      </c>
      <c r="I1585" s="46">
        <f>IFERROR(VLOOKUP($E1585,'BASE DE DATOS'!$A:$I,3,0),0)</f>
        <v>0</v>
      </c>
      <c r="J1585" s="46">
        <f>IFERROR(VLOOKUP($E1585,'BASE DE DATOS'!$A:$I,3,0),0)</f>
        <v>0</v>
      </c>
      <c r="L1585" s="46">
        <f>IFERROR(VLOOKUP($E1585,'BASE DE DATOS'!$A:$I,3,0),0)</f>
        <v>0</v>
      </c>
    </row>
    <row r="1586" spans="6:12" x14ac:dyDescent="0.25">
      <c r="F1586" s="46">
        <f>IFERROR(VLOOKUP($E1599,'BASE DE DATOS'!$A:$I,3,0),0)</f>
        <v>0</v>
      </c>
      <c r="G1586" s="46">
        <f>IFERROR(VLOOKUP($E1586,'BASE DE DATOS'!$A:$I,3,0),0)</f>
        <v>0</v>
      </c>
      <c r="H1586" s="46">
        <f>IFERROR(VLOOKUP($E1586,'BASE DE DATOS'!$A:$I,3,0),0)</f>
        <v>0</v>
      </c>
      <c r="I1586" s="46">
        <f>IFERROR(VLOOKUP($E1586,'BASE DE DATOS'!$A:$I,3,0),0)</f>
        <v>0</v>
      </c>
      <c r="J1586" s="46">
        <f>IFERROR(VLOOKUP($E1586,'BASE DE DATOS'!$A:$I,3,0),0)</f>
        <v>0</v>
      </c>
      <c r="L1586" s="46">
        <f>IFERROR(VLOOKUP($E1586,'BASE DE DATOS'!$A:$I,3,0),0)</f>
        <v>0</v>
      </c>
    </row>
    <row r="1587" spans="6:12" x14ac:dyDescent="0.25">
      <c r="F1587" s="46">
        <f>IFERROR(VLOOKUP($E1600,'BASE DE DATOS'!$A:$I,3,0),0)</f>
        <v>0</v>
      </c>
      <c r="G1587" s="46">
        <f>IFERROR(VLOOKUP($E1587,'BASE DE DATOS'!$A:$I,3,0),0)</f>
        <v>0</v>
      </c>
      <c r="H1587" s="46">
        <f>IFERROR(VLOOKUP($E1587,'BASE DE DATOS'!$A:$I,3,0),0)</f>
        <v>0</v>
      </c>
      <c r="I1587" s="46">
        <f>IFERROR(VLOOKUP($E1587,'BASE DE DATOS'!$A:$I,3,0),0)</f>
        <v>0</v>
      </c>
      <c r="J1587" s="46">
        <f>IFERROR(VLOOKUP($E1587,'BASE DE DATOS'!$A:$I,3,0),0)</f>
        <v>0</v>
      </c>
      <c r="L1587" s="46">
        <f>IFERROR(VLOOKUP($E1587,'BASE DE DATOS'!$A:$I,3,0),0)</f>
        <v>0</v>
      </c>
    </row>
    <row r="1588" spans="6:12" x14ac:dyDescent="0.25">
      <c r="F1588" s="46">
        <f>IFERROR(VLOOKUP($E1601,'BASE DE DATOS'!$A:$I,3,0),0)</f>
        <v>0</v>
      </c>
      <c r="G1588" s="46">
        <f>IFERROR(VLOOKUP($E1588,'BASE DE DATOS'!$A:$I,3,0),0)</f>
        <v>0</v>
      </c>
      <c r="H1588" s="46">
        <f>IFERROR(VLOOKUP($E1588,'BASE DE DATOS'!$A:$I,3,0),0)</f>
        <v>0</v>
      </c>
      <c r="I1588" s="46">
        <f>IFERROR(VLOOKUP($E1588,'BASE DE DATOS'!$A:$I,3,0),0)</f>
        <v>0</v>
      </c>
      <c r="J1588" s="46">
        <f>IFERROR(VLOOKUP($E1588,'BASE DE DATOS'!$A:$I,3,0),0)</f>
        <v>0</v>
      </c>
      <c r="L1588" s="46">
        <f>IFERROR(VLOOKUP($E1588,'BASE DE DATOS'!$A:$I,3,0),0)</f>
        <v>0</v>
      </c>
    </row>
    <row r="1589" spans="6:12" x14ac:dyDescent="0.25">
      <c r="F1589" s="46">
        <f>IFERROR(VLOOKUP($E1602,'BASE DE DATOS'!$A:$I,3,0),0)</f>
        <v>0</v>
      </c>
      <c r="G1589" s="46">
        <f>IFERROR(VLOOKUP($E1589,'BASE DE DATOS'!$A:$I,3,0),0)</f>
        <v>0</v>
      </c>
      <c r="H1589" s="46">
        <f>IFERROR(VLOOKUP($E1589,'BASE DE DATOS'!$A:$I,3,0),0)</f>
        <v>0</v>
      </c>
      <c r="I1589" s="46">
        <f>IFERROR(VLOOKUP($E1589,'BASE DE DATOS'!$A:$I,3,0),0)</f>
        <v>0</v>
      </c>
      <c r="J1589" s="46">
        <f>IFERROR(VLOOKUP($E1589,'BASE DE DATOS'!$A:$I,3,0),0)</f>
        <v>0</v>
      </c>
      <c r="L1589" s="46">
        <f>IFERROR(VLOOKUP($E1589,'BASE DE DATOS'!$A:$I,3,0),0)</f>
        <v>0</v>
      </c>
    </row>
    <row r="1590" spans="6:12" x14ac:dyDescent="0.25">
      <c r="F1590" s="46">
        <f>IFERROR(VLOOKUP($E1603,'BASE DE DATOS'!$A:$I,3,0),0)</f>
        <v>0</v>
      </c>
      <c r="G1590" s="46">
        <f>IFERROR(VLOOKUP($E1590,'BASE DE DATOS'!$A:$I,3,0),0)</f>
        <v>0</v>
      </c>
      <c r="H1590" s="46">
        <f>IFERROR(VLOOKUP($E1590,'BASE DE DATOS'!$A:$I,3,0),0)</f>
        <v>0</v>
      </c>
      <c r="I1590" s="46">
        <f>IFERROR(VLOOKUP($E1590,'BASE DE DATOS'!$A:$I,3,0),0)</f>
        <v>0</v>
      </c>
      <c r="J1590" s="46">
        <f>IFERROR(VLOOKUP($E1590,'BASE DE DATOS'!$A:$I,3,0),0)</f>
        <v>0</v>
      </c>
      <c r="L1590" s="46">
        <f>IFERROR(VLOOKUP($E1590,'BASE DE DATOS'!$A:$I,3,0),0)</f>
        <v>0</v>
      </c>
    </row>
    <row r="1591" spans="6:12" x14ac:dyDescent="0.25">
      <c r="F1591" s="46">
        <f>IFERROR(VLOOKUP($E1604,'BASE DE DATOS'!$A:$I,3,0),0)</f>
        <v>0</v>
      </c>
      <c r="G1591" s="46">
        <f>IFERROR(VLOOKUP($E1591,'BASE DE DATOS'!$A:$I,3,0),0)</f>
        <v>0</v>
      </c>
      <c r="H1591" s="46">
        <f>IFERROR(VLOOKUP($E1591,'BASE DE DATOS'!$A:$I,3,0),0)</f>
        <v>0</v>
      </c>
      <c r="I1591" s="46">
        <f>IFERROR(VLOOKUP($E1591,'BASE DE DATOS'!$A:$I,3,0),0)</f>
        <v>0</v>
      </c>
      <c r="J1591" s="46">
        <f>IFERROR(VLOOKUP($E1591,'BASE DE DATOS'!$A:$I,3,0),0)</f>
        <v>0</v>
      </c>
      <c r="L1591" s="46">
        <f>IFERROR(VLOOKUP($E1591,'BASE DE DATOS'!$A:$I,3,0),0)</f>
        <v>0</v>
      </c>
    </row>
    <row r="1592" spans="6:12" x14ac:dyDescent="0.25">
      <c r="F1592" s="46">
        <f>IFERROR(VLOOKUP($E1605,'BASE DE DATOS'!$A:$I,3,0),0)</f>
        <v>0</v>
      </c>
      <c r="G1592" s="46">
        <f>IFERROR(VLOOKUP($E1592,'BASE DE DATOS'!$A:$I,3,0),0)</f>
        <v>0</v>
      </c>
      <c r="H1592" s="46">
        <f>IFERROR(VLOOKUP($E1592,'BASE DE DATOS'!$A:$I,3,0),0)</f>
        <v>0</v>
      </c>
      <c r="I1592" s="46">
        <f>IFERROR(VLOOKUP($E1592,'BASE DE DATOS'!$A:$I,3,0),0)</f>
        <v>0</v>
      </c>
      <c r="J1592" s="46">
        <f>IFERROR(VLOOKUP($E1592,'BASE DE DATOS'!$A:$I,3,0),0)</f>
        <v>0</v>
      </c>
      <c r="L1592" s="46">
        <f>IFERROR(VLOOKUP($E1592,'BASE DE DATOS'!$A:$I,3,0),0)</f>
        <v>0</v>
      </c>
    </row>
    <row r="1593" spans="6:12" x14ac:dyDescent="0.25">
      <c r="F1593" s="46">
        <f>IFERROR(VLOOKUP($E1606,'BASE DE DATOS'!$A:$I,3,0),0)</f>
        <v>0</v>
      </c>
      <c r="G1593" s="46">
        <f>IFERROR(VLOOKUP($E1593,'BASE DE DATOS'!$A:$I,3,0),0)</f>
        <v>0</v>
      </c>
      <c r="H1593" s="46">
        <f>IFERROR(VLOOKUP($E1593,'BASE DE DATOS'!$A:$I,3,0),0)</f>
        <v>0</v>
      </c>
      <c r="I1593" s="46">
        <f>IFERROR(VLOOKUP($E1593,'BASE DE DATOS'!$A:$I,3,0),0)</f>
        <v>0</v>
      </c>
      <c r="J1593" s="46">
        <f>IFERROR(VLOOKUP($E1593,'BASE DE DATOS'!$A:$I,3,0),0)</f>
        <v>0</v>
      </c>
      <c r="L1593" s="46">
        <f>IFERROR(VLOOKUP($E1593,'BASE DE DATOS'!$A:$I,3,0),0)</f>
        <v>0</v>
      </c>
    </row>
    <row r="1594" spans="6:12" x14ac:dyDescent="0.25">
      <c r="F1594" s="46">
        <f>IFERROR(VLOOKUP($E1607,'BASE DE DATOS'!$A:$I,3,0),0)</f>
        <v>0</v>
      </c>
      <c r="G1594" s="46">
        <f>IFERROR(VLOOKUP($E1594,'BASE DE DATOS'!$A:$I,3,0),0)</f>
        <v>0</v>
      </c>
      <c r="H1594" s="46">
        <f>IFERROR(VLOOKUP($E1594,'BASE DE DATOS'!$A:$I,3,0),0)</f>
        <v>0</v>
      </c>
      <c r="I1594" s="46">
        <f>IFERROR(VLOOKUP($E1594,'BASE DE DATOS'!$A:$I,3,0),0)</f>
        <v>0</v>
      </c>
      <c r="J1594" s="46">
        <f>IFERROR(VLOOKUP($E1594,'BASE DE DATOS'!$A:$I,3,0),0)</f>
        <v>0</v>
      </c>
      <c r="L1594" s="46">
        <f>IFERROR(VLOOKUP($E1594,'BASE DE DATOS'!$A:$I,3,0),0)</f>
        <v>0</v>
      </c>
    </row>
    <row r="1595" spans="6:12" x14ac:dyDescent="0.25">
      <c r="F1595" s="46">
        <f>IFERROR(VLOOKUP($E1608,'BASE DE DATOS'!$A:$I,3,0),0)</f>
        <v>0</v>
      </c>
      <c r="G1595" s="46">
        <f>IFERROR(VLOOKUP($E1595,'BASE DE DATOS'!$A:$I,3,0),0)</f>
        <v>0</v>
      </c>
      <c r="H1595" s="46">
        <f>IFERROR(VLOOKUP($E1595,'BASE DE DATOS'!$A:$I,3,0),0)</f>
        <v>0</v>
      </c>
      <c r="I1595" s="46">
        <f>IFERROR(VLOOKUP($E1595,'BASE DE DATOS'!$A:$I,3,0),0)</f>
        <v>0</v>
      </c>
      <c r="J1595" s="46">
        <f>IFERROR(VLOOKUP($E1595,'BASE DE DATOS'!$A:$I,3,0),0)</f>
        <v>0</v>
      </c>
      <c r="L1595" s="46">
        <f>IFERROR(VLOOKUP($E1595,'BASE DE DATOS'!$A:$I,3,0),0)</f>
        <v>0</v>
      </c>
    </row>
    <row r="1596" spans="6:12" x14ac:dyDescent="0.25">
      <c r="F1596" s="46">
        <f>IFERROR(VLOOKUP($E1609,'BASE DE DATOS'!$A:$I,3,0),0)</f>
        <v>0</v>
      </c>
      <c r="G1596" s="46">
        <f>IFERROR(VLOOKUP($E1596,'BASE DE DATOS'!$A:$I,3,0),0)</f>
        <v>0</v>
      </c>
      <c r="H1596" s="46">
        <f>IFERROR(VLOOKUP($E1596,'BASE DE DATOS'!$A:$I,3,0),0)</f>
        <v>0</v>
      </c>
      <c r="I1596" s="46">
        <f>IFERROR(VLOOKUP($E1596,'BASE DE DATOS'!$A:$I,3,0),0)</f>
        <v>0</v>
      </c>
      <c r="J1596" s="46">
        <f>IFERROR(VLOOKUP($E1596,'BASE DE DATOS'!$A:$I,3,0),0)</f>
        <v>0</v>
      </c>
      <c r="L1596" s="46">
        <f>IFERROR(VLOOKUP($E1596,'BASE DE DATOS'!$A:$I,3,0),0)</f>
        <v>0</v>
      </c>
    </row>
    <row r="1597" spans="6:12" x14ac:dyDescent="0.25">
      <c r="F1597" s="46">
        <f>IFERROR(VLOOKUP($E1610,'BASE DE DATOS'!$A:$I,3,0),0)</f>
        <v>0</v>
      </c>
      <c r="G1597" s="46">
        <f>IFERROR(VLOOKUP($E1597,'BASE DE DATOS'!$A:$I,3,0),0)</f>
        <v>0</v>
      </c>
      <c r="H1597" s="46">
        <f>IFERROR(VLOOKUP($E1597,'BASE DE DATOS'!$A:$I,3,0),0)</f>
        <v>0</v>
      </c>
      <c r="I1597" s="46">
        <f>IFERROR(VLOOKUP($E1597,'BASE DE DATOS'!$A:$I,3,0),0)</f>
        <v>0</v>
      </c>
      <c r="J1597" s="46">
        <f>IFERROR(VLOOKUP($E1597,'BASE DE DATOS'!$A:$I,3,0),0)</f>
        <v>0</v>
      </c>
      <c r="L1597" s="46">
        <f>IFERROR(VLOOKUP($E1597,'BASE DE DATOS'!$A:$I,3,0),0)</f>
        <v>0</v>
      </c>
    </row>
    <row r="1598" spans="6:12" x14ac:dyDescent="0.25">
      <c r="F1598" s="46">
        <f>IFERROR(VLOOKUP($E1611,'BASE DE DATOS'!$A:$I,3,0),0)</f>
        <v>0</v>
      </c>
      <c r="G1598" s="46">
        <f>IFERROR(VLOOKUP($E1598,'BASE DE DATOS'!$A:$I,3,0),0)</f>
        <v>0</v>
      </c>
      <c r="H1598" s="46">
        <f>IFERROR(VLOOKUP($E1598,'BASE DE DATOS'!$A:$I,3,0),0)</f>
        <v>0</v>
      </c>
      <c r="I1598" s="46">
        <f>IFERROR(VLOOKUP($E1598,'BASE DE DATOS'!$A:$I,3,0),0)</f>
        <v>0</v>
      </c>
      <c r="J1598" s="46">
        <f>IFERROR(VLOOKUP($E1598,'BASE DE DATOS'!$A:$I,3,0),0)</f>
        <v>0</v>
      </c>
      <c r="L1598" s="46">
        <f>IFERROR(VLOOKUP($E1598,'BASE DE DATOS'!$A:$I,3,0),0)</f>
        <v>0</v>
      </c>
    </row>
    <row r="1599" spans="6:12" x14ac:dyDescent="0.25">
      <c r="F1599" s="46">
        <f>IFERROR(VLOOKUP($E1612,'BASE DE DATOS'!$A:$I,3,0),0)</f>
        <v>0</v>
      </c>
      <c r="G1599" s="46">
        <f>IFERROR(VLOOKUP($E1599,'BASE DE DATOS'!$A:$I,3,0),0)</f>
        <v>0</v>
      </c>
      <c r="H1599" s="46">
        <f>IFERROR(VLOOKUP($E1599,'BASE DE DATOS'!$A:$I,3,0),0)</f>
        <v>0</v>
      </c>
      <c r="I1599" s="46">
        <f>IFERROR(VLOOKUP($E1599,'BASE DE DATOS'!$A:$I,3,0),0)</f>
        <v>0</v>
      </c>
      <c r="J1599" s="46">
        <f>IFERROR(VLOOKUP($E1599,'BASE DE DATOS'!$A:$I,3,0),0)</f>
        <v>0</v>
      </c>
      <c r="L1599" s="46">
        <f>IFERROR(VLOOKUP($E1599,'BASE DE DATOS'!$A:$I,3,0),0)</f>
        <v>0</v>
      </c>
    </row>
    <row r="1600" spans="6:12" x14ac:dyDescent="0.25">
      <c r="F1600" s="46">
        <f>IFERROR(VLOOKUP($E1613,'BASE DE DATOS'!$A:$I,3,0),0)</f>
        <v>0</v>
      </c>
      <c r="G1600" s="46">
        <f>IFERROR(VLOOKUP($E1600,'BASE DE DATOS'!$A:$I,3,0),0)</f>
        <v>0</v>
      </c>
      <c r="H1600" s="46">
        <f>IFERROR(VLOOKUP($E1600,'BASE DE DATOS'!$A:$I,3,0),0)</f>
        <v>0</v>
      </c>
      <c r="I1600" s="46">
        <f>IFERROR(VLOOKUP($E1600,'BASE DE DATOS'!$A:$I,3,0),0)</f>
        <v>0</v>
      </c>
      <c r="J1600" s="46">
        <f>IFERROR(VLOOKUP($E1600,'BASE DE DATOS'!$A:$I,3,0),0)</f>
        <v>0</v>
      </c>
      <c r="L1600" s="46">
        <f>IFERROR(VLOOKUP($E1600,'BASE DE DATOS'!$A:$I,3,0),0)</f>
        <v>0</v>
      </c>
    </row>
    <row r="1601" spans="6:12" x14ac:dyDescent="0.25">
      <c r="F1601" s="46">
        <f>IFERROR(VLOOKUP($E1614,'BASE DE DATOS'!$A:$I,3,0),0)</f>
        <v>0</v>
      </c>
      <c r="G1601" s="46">
        <f>IFERROR(VLOOKUP($E1601,'BASE DE DATOS'!$A:$I,3,0),0)</f>
        <v>0</v>
      </c>
      <c r="H1601" s="46">
        <f>IFERROR(VLOOKUP($E1601,'BASE DE DATOS'!$A:$I,3,0),0)</f>
        <v>0</v>
      </c>
      <c r="I1601" s="46">
        <f>IFERROR(VLOOKUP($E1601,'BASE DE DATOS'!$A:$I,3,0),0)</f>
        <v>0</v>
      </c>
      <c r="J1601" s="46">
        <f>IFERROR(VLOOKUP($E1601,'BASE DE DATOS'!$A:$I,3,0),0)</f>
        <v>0</v>
      </c>
      <c r="L1601" s="46">
        <f>IFERROR(VLOOKUP($E1601,'BASE DE DATOS'!$A:$I,3,0),0)</f>
        <v>0</v>
      </c>
    </row>
    <row r="1602" spans="6:12" x14ac:dyDescent="0.25">
      <c r="F1602" s="46">
        <f>IFERROR(VLOOKUP($E1615,'BASE DE DATOS'!$A:$I,3,0),0)</f>
        <v>0</v>
      </c>
      <c r="G1602" s="46">
        <f>IFERROR(VLOOKUP($E1602,'BASE DE DATOS'!$A:$I,3,0),0)</f>
        <v>0</v>
      </c>
      <c r="H1602" s="46">
        <f>IFERROR(VLOOKUP($E1602,'BASE DE DATOS'!$A:$I,3,0),0)</f>
        <v>0</v>
      </c>
      <c r="I1602" s="46">
        <f>IFERROR(VLOOKUP($E1602,'BASE DE DATOS'!$A:$I,3,0),0)</f>
        <v>0</v>
      </c>
      <c r="J1602" s="46">
        <f>IFERROR(VLOOKUP($E1602,'BASE DE DATOS'!$A:$I,3,0),0)</f>
        <v>0</v>
      </c>
      <c r="L1602" s="46">
        <f>IFERROR(VLOOKUP($E1602,'BASE DE DATOS'!$A:$I,3,0),0)</f>
        <v>0</v>
      </c>
    </row>
    <row r="1603" spans="6:12" x14ac:dyDescent="0.25">
      <c r="F1603" s="46">
        <f>IFERROR(VLOOKUP($E1616,'BASE DE DATOS'!$A:$I,3,0),0)</f>
        <v>0</v>
      </c>
      <c r="G1603" s="46">
        <f>IFERROR(VLOOKUP($E1603,'BASE DE DATOS'!$A:$I,3,0),0)</f>
        <v>0</v>
      </c>
      <c r="H1603" s="46">
        <f>IFERROR(VLOOKUP($E1603,'BASE DE DATOS'!$A:$I,3,0),0)</f>
        <v>0</v>
      </c>
      <c r="I1603" s="46">
        <f>IFERROR(VLOOKUP($E1603,'BASE DE DATOS'!$A:$I,3,0),0)</f>
        <v>0</v>
      </c>
      <c r="J1603" s="46">
        <f>IFERROR(VLOOKUP($E1603,'BASE DE DATOS'!$A:$I,3,0),0)</f>
        <v>0</v>
      </c>
      <c r="L1603" s="46">
        <f>IFERROR(VLOOKUP($E1603,'BASE DE DATOS'!$A:$I,3,0),0)</f>
        <v>0</v>
      </c>
    </row>
    <row r="1604" spans="6:12" x14ac:dyDescent="0.25">
      <c r="F1604" s="46">
        <f>IFERROR(VLOOKUP($E1617,'BASE DE DATOS'!$A:$I,3,0),0)</f>
        <v>0</v>
      </c>
      <c r="G1604" s="46">
        <f>IFERROR(VLOOKUP($E1604,'BASE DE DATOS'!$A:$I,3,0),0)</f>
        <v>0</v>
      </c>
      <c r="H1604" s="46">
        <f>IFERROR(VLOOKUP($E1604,'BASE DE DATOS'!$A:$I,3,0),0)</f>
        <v>0</v>
      </c>
      <c r="I1604" s="46">
        <f>IFERROR(VLOOKUP($E1604,'BASE DE DATOS'!$A:$I,3,0),0)</f>
        <v>0</v>
      </c>
      <c r="J1604" s="46">
        <f>IFERROR(VLOOKUP($E1604,'BASE DE DATOS'!$A:$I,3,0),0)</f>
        <v>0</v>
      </c>
      <c r="L1604" s="46">
        <f>IFERROR(VLOOKUP($E1604,'BASE DE DATOS'!$A:$I,3,0),0)</f>
        <v>0</v>
      </c>
    </row>
    <row r="1605" spans="6:12" x14ac:dyDescent="0.25">
      <c r="F1605" s="46">
        <f>IFERROR(VLOOKUP($E1618,'BASE DE DATOS'!$A:$I,3,0),0)</f>
        <v>0</v>
      </c>
      <c r="G1605" s="46">
        <f>IFERROR(VLOOKUP($E1605,'BASE DE DATOS'!$A:$I,3,0),0)</f>
        <v>0</v>
      </c>
      <c r="H1605" s="46">
        <f>IFERROR(VLOOKUP($E1605,'BASE DE DATOS'!$A:$I,3,0),0)</f>
        <v>0</v>
      </c>
      <c r="I1605" s="46">
        <f>IFERROR(VLOOKUP($E1605,'BASE DE DATOS'!$A:$I,3,0),0)</f>
        <v>0</v>
      </c>
      <c r="J1605" s="46">
        <f>IFERROR(VLOOKUP($E1605,'BASE DE DATOS'!$A:$I,3,0),0)</f>
        <v>0</v>
      </c>
      <c r="L1605" s="46">
        <f>IFERROR(VLOOKUP($E1605,'BASE DE DATOS'!$A:$I,3,0),0)</f>
        <v>0</v>
      </c>
    </row>
    <row r="1606" spans="6:12" x14ac:dyDescent="0.25">
      <c r="F1606" s="46">
        <f>IFERROR(VLOOKUP($E1619,'BASE DE DATOS'!$A:$I,3,0),0)</f>
        <v>0</v>
      </c>
      <c r="G1606" s="46">
        <f>IFERROR(VLOOKUP($E1606,'BASE DE DATOS'!$A:$I,3,0),0)</f>
        <v>0</v>
      </c>
      <c r="H1606" s="46">
        <f>IFERROR(VLOOKUP($E1606,'BASE DE DATOS'!$A:$I,3,0),0)</f>
        <v>0</v>
      </c>
      <c r="I1606" s="46">
        <f>IFERROR(VLOOKUP($E1606,'BASE DE DATOS'!$A:$I,3,0),0)</f>
        <v>0</v>
      </c>
      <c r="J1606" s="46">
        <f>IFERROR(VLOOKUP($E1606,'BASE DE DATOS'!$A:$I,3,0),0)</f>
        <v>0</v>
      </c>
      <c r="L1606" s="46">
        <f>IFERROR(VLOOKUP($E1606,'BASE DE DATOS'!$A:$I,3,0),0)</f>
        <v>0</v>
      </c>
    </row>
    <row r="1607" spans="6:12" x14ac:dyDescent="0.25">
      <c r="F1607" s="46">
        <f>IFERROR(VLOOKUP($E1620,'BASE DE DATOS'!$A:$I,3,0),0)</f>
        <v>0</v>
      </c>
      <c r="G1607" s="46">
        <f>IFERROR(VLOOKUP($E1607,'BASE DE DATOS'!$A:$I,3,0),0)</f>
        <v>0</v>
      </c>
      <c r="H1607" s="46">
        <f>IFERROR(VLOOKUP($E1607,'BASE DE DATOS'!$A:$I,3,0),0)</f>
        <v>0</v>
      </c>
      <c r="I1607" s="46">
        <f>IFERROR(VLOOKUP($E1607,'BASE DE DATOS'!$A:$I,3,0),0)</f>
        <v>0</v>
      </c>
      <c r="J1607" s="46">
        <f>IFERROR(VLOOKUP($E1607,'BASE DE DATOS'!$A:$I,3,0),0)</f>
        <v>0</v>
      </c>
      <c r="L1607" s="46">
        <f>IFERROR(VLOOKUP($E1607,'BASE DE DATOS'!$A:$I,3,0),0)</f>
        <v>0</v>
      </c>
    </row>
    <row r="1608" spans="6:12" x14ac:dyDescent="0.25">
      <c r="F1608" s="46">
        <f>IFERROR(VLOOKUP($E1621,'BASE DE DATOS'!$A:$I,3,0),0)</f>
        <v>0</v>
      </c>
      <c r="G1608" s="46">
        <f>IFERROR(VLOOKUP($E1608,'BASE DE DATOS'!$A:$I,3,0),0)</f>
        <v>0</v>
      </c>
      <c r="H1608" s="46">
        <f>IFERROR(VLOOKUP($E1608,'BASE DE DATOS'!$A:$I,3,0),0)</f>
        <v>0</v>
      </c>
      <c r="I1608" s="46">
        <f>IFERROR(VLOOKUP($E1608,'BASE DE DATOS'!$A:$I,3,0),0)</f>
        <v>0</v>
      </c>
      <c r="J1608" s="46">
        <f>IFERROR(VLOOKUP($E1608,'BASE DE DATOS'!$A:$I,3,0),0)</f>
        <v>0</v>
      </c>
      <c r="L1608" s="46">
        <f>IFERROR(VLOOKUP($E1608,'BASE DE DATOS'!$A:$I,3,0),0)</f>
        <v>0</v>
      </c>
    </row>
    <row r="1609" spans="6:12" x14ac:dyDescent="0.25">
      <c r="F1609" s="46">
        <f>IFERROR(VLOOKUP($E1622,'BASE DE DATOS'!$A:$I,3,0),0)</f>
        <v>0</v>
      </c>
      <c r="G1609" s="46">
        <f>IFERROR(VLOOKUP($E1609,'BASE DE DATOS'!$A:$I,3,0),0)</f>
        <v>0</v>
      </c>
      <c r="H1609" s="46">
        <f>IFERROR(VLOOKUP($E1609,'BASE DE DATOS'!$A:$I,3,0),0)</f>
        <v>0</v>
      </c>
      <c r="I1609" s="46">
        <f>IFERROR(VLOOKUP($E1609,'BASE DE DATOS'!$A:$I,3,0),0)</f>
        <v>0</v>
      </c>
      <c r="J1609" s="46">
        <f>IFERROR(VLOOKUP($E1609,'BASE DE DATOS'!$A:$I,3,0),0)</f>
        <v>0</v>
      </c>
      <c r="L1609" s="46">
        <f>IFERROR(VLOOKUP($E1609,'BASE DE DATOS'!$A:$I,3,0),0)</f>
        <v>0</v>
      </c>
    </row>
    <row r="1610" spans="6:12" x14ac:dyDescent="0.25">
      <c r="F1610" s="46">
        <f>IFERROR(VLOOKUP($E1623,'BASE DE DATOS'!$A:$I,3,0),0)</f>
        <v>0</v>
      </c>
      <c r="G1610" s="46">
        <f>IFERROR(VLOOKUP($E1610,'BASE DE DATOS'!$A:$I,3,0),0)</f>
        <v>0</v>
      </c>
      <c r="H1610" s="46">
        <f>IFERROR(VLOOKUP($E1610,'BASE DE DATOS'!$A:$I,3,0),0)</f>
        <v>0</v>
      </c>
      <c r="I1610" s="46">
        <f>IFERROR(VLOOKUP($E1610,'BASE DE DATOS'!$A:$I,3,0),0)</f>
        <v>0</v>
      </c>
      <c r="J1610" s="46">
        <f>IFERROR(VLOOKUP($E1610,'BASE DE DATOS'!$A:$I,3,0),0)</f>
        <v>0</v>
      </c>
      <c r="L1610" s="46">
        <f>IFERROR(VLOOKUP($E1610,'BASE DE DATOS'!$A:$I,3,0),0)</f>
        <v>0</v>
      </c>
    </row>
    <row r="1611" spans="6:12" x14ac:dyDescent="0.25">
      <c r="F1611" s="46">
        <f>IFERROR(VLOOKUP($E1624,'BASE DE DATOS'!$A:$I,3,0),0)</f>
        <v>0</v>
      </c>
      <c r="G1611" s="46">
        <f>IFERROR(VLOOKUP($E1611,'BASE DE DATOS'!$A:$I,3,0),0)</f>
        <v>0</v>
      </c>
      <c r="H1611" s="46">
        <f>IFERROR(VLOOKUP($E1611,'BASE DE DATOS'!$A:$I,3,0),0)</f>
        <v>0</v>
      </c>
      <c r="I1611" s="46">
        <f>IFERROR(VLOOKUP($E1611,'BASE DE DATOS'!$A:$I,3,0),0)</f>
        <v>0</v>
      </c>
      <c r="J1611" s="46">
        <f>IFERROR(VLOOKUP($E1611,'BASE DE DATOS'!$A:$I,3,0),0)</f>
        <v>0</v>
      </c>
      <c r="L1611" s="46">
        <f>IFERROR(VLOOKUP($E1611,'BASE DE DATOS'!$A:$I,3,0),0)</f>
        <v>0</v>
      </c>
    </row>
    <row r="1612" spans="6:12" x14ac:dyDescent="0.25">
      <c r="F1612" s="46">
        <f>IFERROR(VLOOKUP($E1625,'BASE DE DATOS'!$A:$I,3,0),0)</f>
        <v>0</v>
      </c>
      <c r="G1612" s="46">
        <f>IFERROR(VLOOKUP($E1612,'BASE DE DATOS'!$A:$I,3,0),0)</f>
        <v>0</v>
      </c>
      <c r="H1612" s="46">
        <f>IFERROR(VLOOKUP($E1612,'BASE DE DATOS'!$A:$I,3,0),0)</f>
        <v>0</v>
      </c>
      <c r="I1612" s="46">
        <f>IFERROR(VLOOKUP($E1612,'BASE DE DATOS'!$A:$I,3,0),0)</f>
        <v>0</v>
      </c>
      <c r="J1612" s="46">
        <f>IFERROR(VLOOKUP($E1612,'BASE DE DATOS'!$A:$I,3,0),0)</f>
        <v>0</v>
      </c>
      <c r="L1612" s="46">
        <f>IFERROR(VLOOKUP($E1612,'BASE DE DATOS'!$A:$I,3,0),0)</f>
        <v>0</v>
      </c>
    </row>
    <row r="1613" spans="6:12" x14ac:dyDescent="0.25">
      <c r="F1613" s="46">
        <f>IFERROR(VLOOKUP($E1626,'BASE DE DATOS'!$A:$I,3,0),0)</f>
        <v>0</v>
      </c>
      <c r="G1613" s="46">
        <f>IFERROR(VLOOKUP($E1613,'BASE DE DATOS'!$A:$I,3,0),0)</f>
        <v>0</v>
      </c>
      <c r="H1613" s="46">
        <f>IFERROR(VLOOKUP($E1613,'BASE DE DATOS'!$A:$I,3,0),0)</f>
        <v>0</v>
      </c>
      <c r="I1613" s="46">
        <f>IFERROR(VLOOKUP($E1613,'BASE DE DATOS'!$A:$I,3,0),0)</f>
        <v>0</v>
      </c>
      <c r="J1613" s="46">
        <f>IFERROR(VLOOKUP($E1613,'BASE DE DATOS'!$A:$I,3,0),0)</f>
        <v>0</v>
      </c>
      <c r="L1613" s="46">
        <f>IFERROR(VLOOKUP($E1613,'BASE DE DATOS'!$A:$I,3,0),0)</f>
        <v>0</v>
      </c>
    </row>
    <row r="1614" spans="6:12" x14ac:dyDescent="0.25">
      <c r="F1614" s="46">
        <f>IFERROR(VLOOKUP($E1627,'BASE DE DATOS'!$A:$I,3,0),0)</f>
        <v>0</v>
      </c>
      <c r="G1614" s="46">
        <f>IFERROR(VLOOKUP($E1614,'BASE DE DATOS'!$A:$I,3,0),0)</f>
        <v>0</v>
      </c>
      <c r="H1614" s="46">
        <f>IFERROR(VLOOKUP($E1614,'BASE DE DATOS'!$A:$I,3,0),0)</f>
        <v>0</v>
      </c>
      <c r="I1614" s="46">
        <f>IFERROR(VLOOKUP($E1614,'BASE DE DATOS'!$A:$I,3,0),0)</f>
        <v>0</v>
      </c>
      <c r="J1614" s="46">
        <f>IFERROR(VLOOKUP($E1614,'BASE DE DATOS'!$A:$I,3,0),0)</f>
        <v>0</v>
      </c>
      <c r="L1614" s="46">
        <f>IFERROR(VLOOKUP($E1614,'BASE DE DATOS'!$A:$I,3,0),0)</f>
        <v>0</v>
      </c>
    </row>
    <row r="1615" spans="6:12" x14ac:dyDescent="0.25">
      <c r="F1615" s="46">
        <f>IFERROR(VLOOKUP($E1628,'BASE DE DATOS'!$A:$I,3,0),0)</f>
        <v>0</v>
      </c>
      <c r="G1615" s="46">
        <f>IFERROR(VLOOKUP($E1615,'BASE DE DATOS'!$A:$I,3,0),0)</f>
        <v>0</v>
      </c>
      <c r="H1615" s="46">
        <f>IFERROR(VLOOKUP($E1615,'BASE DE DATOS'!$A:$I,3,0),0)</f>
        <v>0</v>
      </c>
      <c r="I1615" s="46">
        <f>IFERROR(VLOOKUP($E1615,'BASE DE DATOS'!$A:$I,3,0),0)</f>
        <v>0</v>
      </c>
      <c r="J1615" s="46">
        <f>IFERROR(VLOOKUP($E1615,'BASE DE DATOS'!$A:$I,3,0),0)</f>
        <v>0</v>
      </c>
      <c r="L1615" s="46">
        <f>IFERROR(VLOOKUP($E1615,'BASE DE DATOS'!$A:$I,3,0),0)</f>
        <v>0</v>
      </c>
    </row>
    <row r="1616" spans="6:12" x14ac:dyDescent="0.25">
      <c r="F1616" s="46">
        <f>IFERROR(VLOOKUP($E1629,'BASE DE DATOS'!$A:$I,3,0),0)</f>
        <v>0</v>
      </c>
      <c r="G1616" s="46">
        <f>IFERROR(VLOOKUP($E1616,'BASE DE DATOS'!$A:$I,3,0),0)</f>
        <v>0</v>
      </c>
      <c r="H1616" s="46">
        <f>IFERROR(VLOOKUP($E1616,'BASE DE DATOS'!$A:$I,3,0),0)</f>
        <v>0</v>
      </c>
      <c r="I1616" s="46">
        <f>IFERROR(VLOOKUP($E1616,'BASE DE DATOS'!$A:$I,3,0),0)</f>
        <v>0</v>
      </c>
      <c r="J1616" s="46">
        <f>IFERROR(VLOOKUP($E1616,'BASE DE DATOS'!$A:$I,3,0),0)</f>
        <v>0</v>
      </c>
      <c r="L1616" s="46">
        <f>IFERROR(VLOOKUP($E1616,'BASE DE DATOS'!$A:$I,3,0),0)</f>
        <v>0</v>
      </c>
    </row>
    <row r="1617" spans="6:12" x14ac:dyDescent="0.25">
      <c r="F1617" s="46">
        <f>IFERROR(VLOOKUP($E1630,'BASE DE DATOS'!$A:$I,3,0),0)</f>
        <v>0</v>
      </c>
      <c r="G1617" s="46">
        <f>IFERROR(VLOOKUP($E1617,'BASE DE DATOS'!$A:$I,3,0),0)</f>
        <v>0</v>
      </c>
      <c r="H1617" s="46">
        <f>IFERROR(VLOOKUP($E1617,'BASE DE DATOS'!$A:$I,3,0),0)</f>
        <v>0</v>
      </c>
      <c r="I1617" s="46">
        <f>IFERROR(VLOOKUP($E1617,'BASE DE DATOS'!$A:$I,3,0),0)</f>
        <v>0</v>
      </c>
      <c r="J1617" s="46">
        <f>IFERROR(VLOOKUP($E1617,'BASE DE DATOS'!$A:$I,3,0),0)</f>
        <v>0</v>
      </c>
      <c r="L1617" s="46">
        <f>IFERROR(VLOOKUP($E1617,'BASE DE DATOS'!$A:$I,3,0),0)</f>
        <v>0</v>
      </c>
    </row>
    <row r="1618" spans="6:12" x14ac:dyDescent="0.25">
      <c r="F1618" s="46">
        <f>IFERROR(VLOOKUP($E1631,'BASE DE DATOS'!$A:$I,3,0),0)</f>
        <v>0</v>
      </c>
      <c r="G1618" s="46">
        <f>IFERROR(VLOOKUP($E1618,'BASE DE DATOS'!$A:$I,3,0),0)</f>
        <v>0</v>
      </c>
      <c r="H1618" s="46">
        <f>IFERROR(VLOOKUP($E1618,'BASE DE DATOS'!$A:$I,3,0),0)</f>
        <v>0</v>
      </c>
      <c r="I1618" s="46">
        <f>IFERROR(VLOOKUP($E1618,'BASE DE DATOS'!$A:$I,3,0),0)</f>
        <v>0</v>
      </c>
      <c r="J1618" s="46">
        <f>IFERROR(VLOOKUP($E1618,'BASE DE DATOS'!$A:$I,3,0),0)</f>
        <v>0</v>
      </c>
      <c r="L1618" s="46">
        <f>IFERROR(VLOOKUP($E1618,'BASE DE DATOS'!$A:$I,3,0),0)</f>
        <v>0</v>
      </c>
    </row>
    <row r="1619" spans="6:12" x14ac:dyDescent="0.25">
      <c r="F1619" s="46">
        <f>IFERROR(VLOOKUP($E1632,'BASE DE DATOS'!$A:$I,3,0),0)</f>
        <v>0</v>
      </c>
      <c r="G1619" s="46">
        <f>IFERROR(VLOOKUP($E1619,'BASE DE DATOS'!$A:$I,3,0),0)</f>
        <v>0</v>
      </c>
      <c r="H1619" s="46">
        <f>IFERROR(VLOOKUP($E1619,'BASE DE DATOS'!$A:$I,3,0),0)</f>
        <v>0</v>
      </c>
      <c r="I1619" s="46">
        <f>IFERROR(VLOOKUP($E1619,'BASE DE DATOS'!$A:$I,3,0),0)</f>
        <v>0</v>
      </c>
      <c r="J1619" s="46">
        <f>IFERROR(VLOOKUP($E1619,'BASE DE DATOS'!$A:$I,3,0),0)</f>
        <v>0</v>
      </c>
      <c r="L1619" s="46">
        <f>IFERROR(VLOOKUP($E1619,'BASE DE DATOS'!$A:$I,3,0),0)</f>
        <v>0</v>
      </c>
    </row>
    <row r="1620" spans="6:12" x14ac:dyDescent="0.25">
      <c r="F1620" s="46">
        <f>IFERROR(VLOOKUP($E1633,'BASE DE DATOS'!$A:$I,3,0),0)</f>
        <v>0</v>
      </c>
      <c r="G1620" s="46">
        <f>IFERROR(VLOOKUP($E1620,'BASE DE DATOS'!$A:$I,3,0),0)</f>
        <v>0</v>
      </c>
      <c r="H1620" s="46">
        <f>IFERROR(VLOOKUP($E1620,'BASE DE DATOS'!$A:$I,3,0),0)</f>
        <v>0</v>
      </c>
      <c r="I1620" s="46">
        <f>IFERROR(VLOOKUP($E1620,'BASE DE DATOS'!$A:$I,3,0),0)</f>
        <v>0</v>
      </c>
      <c r="J1620" s="46">
        <f>IFERROR(VLOOKUP($E1620,'BASE DE DATOS'!$A:$I,3,0),0)</f>
        <v>0</v>
      </c>
      <c r="L1620" s="46">
        <f>IFERROR(VLOOKUP($E1620,'BASE DE DATOS'!$A:$I,3,0),0)</f>
        <v>0</v>
      </c>
    </row>
    <row r="1621" spans="6:12" x14ac:dyDescent="0.25">
      <c r="F1621" s="46">
        <f>IFERROR(VLOOKUP($E1634,'BASE DE DATOS'!$A:$I,3,0),0)</f>
        <v>0</v>
      </c>
      <c r="G1621" s="46">
        <f>IFERROR(VLOOKUP($E1621,'BASE DE DATOS'!$A:$I,3,0),0)</f>
        <v>0</v>
      </c>
      <c r="H1621" s="46">
        <f>IFERROR(VLOOKUP($E1621,'BASE DE DATOS'!$A:$I,3,0),0)</f>
        <v>0</v>
      </c>
      <c r="I1621" s="46">
        <f>IFERROR(VLOOKUP($E1621,'BASE DE DATOS'!$A:$I,3,0),0)</f>
        <v>0</v>
      </c>
      <c r="J1621" s="46">
        <f>IFERROR(VLOOKUP($E1621,'BASE DE DATOS'!$A:$I,3,0),0)</f>
        <v>0</v>
      </c>
      <c r="L1621" s="46">
        <f>IFERROR(VLOOKUP($E1621,'BASE DE DATOS'!$A:$I,3,0),0)</f>
        <v>0</v>
      </c>
    </row>
    <row r="1622" spans="6:12" x14ac:dyDescent="0.25">
      <c r="F1622" s="46">
        <f>IFERROR(VLOOKUP($E1635,'BASE DE DATOS'!$A:$I,3,0),0)</f>
        <v>0</v>
      </c>
      <c r="G1622" s="46">
        <f>IFERROR(VLOOKUP($E1622,'BASE DE DATOS'!$A:$I,3,0),0)</f>
        <v>0</v>
      </c>
      <c r="H1622" s="46">
        <f>IFERROR(VLOOKUP($E1622,'BASE DE DATOS'!$A:$I,3,0),0)</f>
        <v>0</v>
      </c>
      <c r="I1622" s="46">
        <f>IFERROR(VLOOKUP($E1622,'BASE DE DATOS'!$A:$I,3,0),0)</f>
        <v>0</v>
      </c>
      <c r="J1622" s="46">
        <f>IFERROR(VLOOKUP($E1622,'BASE DE DATOS'!$A:$I,3,0),0)</f>
        <v>0</v>
      </c>
      <c r="L1622" s="46">
        <f>IFERROR(VLOOKUP($E1622,'BASE DE DATOS'!$A:$I,3,0),0)</f>
        <v>0</v>
      </c>
    </row>
    <row r="1623" spans="6:12" x14ac:dyDescent="0.25">
      <c r="F1623" s="46">
        <f>IFERROR(VLOOKUP($E1636,'BASE DE DATOS'!$A:$I,3,0),0)</f>
        <v>0</v>
      </c>
      <c r="G1623" s="46">
        <f>IFERROR(VLOOKUP($E1623,'BASE DE DATOS'!$A:$I,3,0),0)</f>
        <v>0</v>
      </c>
      <c r="H1623" s="46">
        <f>IFERROR(VLOOKUP($E1623,'BASE DE DATOS'!$A:$I,3,0),0)</f>
        <v>0</v>
      </c>
      <c r="I1623" s="46">
        <f>IFERROR(VLOOKUP($E1623,'BASE DE DATOS'!$A:$I,3,0),0)</f>
        <v>0</v>
      </c>
      <c r="J1623" s="46">
        <f>IFERROR(VLOOKUP($E1623,'BASE DE DATOS'!$A:$I,3,0),0)</f>
        <v>0</v>
      </c>
      <c r="L1623" s="46">
        <f>IFERROR(VLOOKUP($E1623,'BASE DE DATOS'!$A:$I,3,0),0)</f>
        <v>0</v>
      </c>
    </row>
    <row r="1624" spans="6:12" x14ac:dyDescent="0.25">
      <c r="F1624" s="46">
        <f>IFERROR(VLOOKUP($E1637,'BASE DE DATOS'!$A:$I,3,0),0)</f>
        <v>0</v>
      </c>
      <c r="G1624" s="46">
        <f>IFERROR(VLOOKUP($E1624,'BASE DE DATOS'!$A:$I,3,0),0)</f>
        <v>0</v>
      </c>
      <c r="H1624" s="46">
        <f>IFERROR(VLOOKUP($E1624,'BASE DE DATOS'!$A:$I,3,0),0)</f>
        <v>0</v>
      </c>
      <c r="I1624" s="46">
        <f>IFERROR(VLOOKUP($E1624,'BASE DE DATOS'!$A:$I,3,0),0)</f>
        <v>0</v>
      </c>
      <c r="J1624" s="46">
        <f>IFERROR(VLOOKUP($E1624,'BASE DE DATOS'!$A:$I,3,0),0)</f>
        <v>0</v>
      </c>
      <c r="L1624" s="46">
        <f>IFERROR(VLOOKUP($E1624,'BASE DE DATOS'!$A:$I,3,0),0)</f>
        <v>0</v>
      </c>
    </row>
    <row r="1625" spans="6:12" x14ac:dyDescent="0.25">
      <c r="F1625" s="46">
        <f>IFERROR(VLOOKUP($E1638,'BASE DE DATOS'!$A:$I,3,0),0)</f>
        <v>0</v>
      </c>
      <c r="G1625" s="46">
        <f>IFERROR(VLOOKUP($E1625,'BASE DE DATOS'!$A:$I,3,0),0)</f>
        <v>0</v>
      </c>
      <c r="H1625" s="46">
        <f>IFERROR(VLOOKUP($E1625,'BASE DE DATOS'!$A:$I,3,0),0)</f>
        <v>0</v>
      </c>
      <c r="I1625" s="46">
        <f>IFERROR(VLOOKUP($E1625,'BASE DE DATOS'!$A:$I,3,0),0)</f>
        <v>0</v>
      </c>
      <c r="J1625" s="46">
        <f>IFERROR(VLOOKUP($E1625,'BASE DE DATOS'!$A:$I,3,0),0)</f>
        <v>0</v>
      </c>
      <c r="L1625" s="46">
        <f>IFERROR(VLOOKUP($E1625,'BASE DE DATOS'!$A:$I,3,0),0)</f>
        <v>0</v>
      </c>
    </row>
    <row r="1626" spans="6:12" x14ac:dyDescent="0.25">
      <c r="F1626" s="46">
        <f>IFERROR(VLOOKUP($E1639,'BASE DE DATOS'!$A:$I,3,0),0)</f>
        <v>0</v>
      </c>
      <c r="G1626" s="46">
        <f>IFERROR(VLOOKUP($E1626,'BASE DE DATOS'!$A:$I,3,0),0)</f>
        <v>0</v>
      </c>
      <c r="H1626" s="46">
        <f>IFERROR(VLOOKUP($E1626,'BASE DE DATOS'!$A:$I,3,0),0)</f>
        <v>0</v>
      </c>
      <c r="I1626" s="46">
        <f>IFERROR(VLOOKUP($E1626,'BASE DE DATOS'!$A:$I,3,0),0)</f>
        <v>0</v>
      </c>
      <c r="J1626" s="46">
        <f>IFERROR(VLOOKUP($E1626,'BASE DE DATOS'!$A:$I,3,0),0)</f>
        <v>0</v>
      </c>
      <c r="L1626" s="46">
        <f>IFERROR(VLOOKUP($E1626,'BASE DE DATOS'!$A:$I,3,0),0)</f>
        <v>0</v>
      </c>
    </row>
    <row r="1627" spans="6:12" x14ac:dyDescent="0.25">
      <c r="F1627" s="46">
        <f>IFERROR(VLOOKUP($E1640,'BASE DE DATOS'!$A:$I,3,0),0)</f>
        <v>0</v>
      </c>
      <c r="G1627" s="46">
        <f>IFERROR(VLOOKUP($E1627,'BASE DE DATOS'!$A:$I,3,0),0)</f>
        <v>0</v>
      </c>
      <c r="H1627" s="46">
        <f>IFERROR(VLOOKUP($E1627,'BASE DE DATOS'!$A:$I,3,0),0)</f>
        <v>0</v>
      </c>
      <c r="I1627" s="46">
        <f>IFERROR(VLOOKUP($E1627,'BASE DE DATOS'!$A:$I,3,0),0)</f>
        <v>0</v>
      </c>
      <c r="J1627" s="46">
        <f>IFERROR(VLOOKUP($E1627,'BASE DE DATOS'!$A:$I,3,0),0)</f>
        <v>0</v>
      </c>
      <c r="L1627" s="46">
        <f>IFERROR(VLOOKUP($E1627,'BASE DE DATOS'!$A:$I,3,0),0)</f>
        <v>0</v>
      </c>
    </row>
    <row r="1628" spans="6:12" x14ac:dyDescent="0.25">
      <c r="F1628" s="46">
        <f>IFERROR(VLOOKUP($E1641,'BASE DE DATOS'!$A:$I,3,0),0)</f>
        <v>0</v>
      </c>
      <c r="G1628" s="46">
        <f>IFERROR(VLOOKUP($E1628,'BASE DE DATOS'!$A:$I,3,0),0)</f>
        <v>0</v>
      </c>
      <c r="H1628" s="46">
        <f>IFERROR(VLOOKUP($E1628,'BASE DE DATOS'!$A:$I,3,0),0)</f>
        <v>0</v>
      </c>
      <c r="I1628" s="46">
        <f>IFERROR(VLOOKUP($E1628,'BASE DE DATOS'!$A:$I,3,0),0)</f>
        <v>0</v>
      </c>
      <c r="J1628" s="46">
        <f>IFERROR(VLOOKUP($E1628,'BASE DE DATOS'!$A:$I,3,0),0)</f>
        <v>0</v>
      </c>
      <c r="L1628" s="46">
        <f>IFERROR(VLOOKUP($E1628,'BASE DE DATOS'!$A:$I,3,0),0)</f>
        <v>0</v>
      </c>
    </row>
    <row r="1629" spans="6:12" x14ac:dyDescent="0.25">
      <c r="F1629" s="46">
        <f>IFERROR(VLOOKUP($E1642,'BASE DE DATOS'!$A:$I,3,0),0)</f>
        <v>0</v>
      </c>
      <c r="G1629" s="46">
        <f>IFERROR(VLOOKUP($E1629,'BASE DE DATOS'!$A:$I,3,0),0)</f>
        <v>0</v>
      </c>
      <c r="H1629" s="46">
        <f>IFERROR(VLOOKUP($E1629,'BASE DE DATOS'!$A:$I,3,0),0)</f>
        <v>0</v>
      </c>
      <c r="I1629" s="46">
        <f>IFERROR(VLOOKUP($E1629,'BASE DE DATOS'!$A:$I,3,0),0)</f>
        <v>0</v>
      </c>
      <c r="J1629" s="46">
        <f>IFERROR(VLOOKUP($E1629,'BASE DE DATOS'!$A:$I,3,0),0)</f>
        <v>0</v>
      </c>
      <c r="L1629" s="46">
        <f>IFERROR(VLOOKUP($E1629,'BASE DE DATOS'!$A:$I,3,0),0)</f>
        <v>0</v>
      </c>
    </row>
    <row r="1630" spans="6:12" x14ac:dyDescent="0.25">
      <c r="F1630" s="46">
        <f>IFERROR(VLOOKUP($E1643,'BASE DE DATOS'!$A:$I,3,0),0)</f>
        <v>0</v>
      </c>
      <c r="G1630" s="46">
        <f>IFERROR(VLOOKUP($E1630,'BASE DE DATOS'!$A:$I,3,0),0)</f>
        <v>0</v>
      </c>
      <c r="H1630" s="46">
        <f>IFERROR(VLOOKUP($E1630,'BASE DE DATOS'!$A:$I,3,0),0)</f>
        <v>0</v>
      </c>
      <c r="I1630" s="46">
        <f>IFERROR(VLOOKUP($E1630,'BASE DE DATOS'!$A:$I,3,0),0)</f>
        <v>0</v>
      </c>
      <c r="J1630" s="46">
        <f>IFERROR(VLOOKUP($E1630,'BASE DE DATOS'!$A:$I,3,0),0)</f>
        <v>0</v>
      </c>
      <c r="L1630" s="46">
        <f>IFERROR(VLOOKUP($E1630,'BASE DE DATOS'!$A:$I,3,0),0)</f>
        <v>0</v>
      </c>
    </row>
    <row r="1631" spans="6:12" x14ac:dyDescent="0.25">
      <c r="F1631" s="46">
        <f>IFERROR(VLOOKUP($E1644,'BASE DE DATOS'!$A:$I,3,0),0)</f>
        <v>0</v>
      </c>
      <c r="G1631" s="46">
        <f>IFERROR(VLOOKUP($E1631,'BASE DE DATOS'!$A:$I,3,0),0)</f>
        <v>0</v>
      </c>
      <c r="H1631" s="46">
        <f>IFERROR(VLOOKUP($E1631,'BASE DE DATOS'!$A:$I,3,0),0)</f>
        <v>0</v>
      </c>
      <c r="I1631" s="46">
        <f>IFERROR(VLOOKUP($E1631,'BASE DE DATOS'!$A:$I,3,0),0)</f>
        <v>0</v>
      </c>
      <c r="J1631" s="46">
        <f>IFERROR(VLOOKUP($E1631,'BASE DE DATOS'!$A:$I,3,0),0)</f>
        <v>0</v>
      </c>
      <c r="L1631" s="46">
        <f>IFERROR(VLOOKUP($E1631,'BASE DE DATOS'!$A:$I,3,0),0)</f>
        <v>0</v>
      </c>
    </row>
    <row r="1632" spans="6:12" x14ac:dyDescent="0.25">
      <c r="F1632" s="46">
        <f>IFERROR(VLOOKUP($E1645,'BASE DE DATOS'!$A:$I,3,0),0)</f>
        <v>0</v>
      </c>
      <c r="G1632" s="46">
        <f>IFERROR(VLOOKUP($E1632,'BASE DE DATOS'!$A:$I,3,0),0)</f>
        <v>0</v>
      </c>
      <c r="H1632" s="46">
        <f>IFERROR(VLOOKUP($E1632,'BASE DE DATOS'!$A:$I,3,0),0)</f>
        <v>0</v>
      </c>
      <c r="I1632" s="46">
        <f>IFERROR(VLOOKUP($E1632,'BASE DE DATOS'!$A:$I,3,0),0)</f>
        <v>0</v>
      </c>
      <c r="J1632" s="46">
        <f>IFERROR(VLOOKUP($E1632,'BASE DE DATOS'!$A:$I,3,0),0)</f>
        <v>0</v>
      </c>
      <c r="L1632" s="46">
        <f>IFERROR(VLOOKUP($E1632,'BASE DE DATOS'!$A:$I,3,0),0)</f>
        <v>0</v>
      </c>
    </row>
    <row r="1633" spans="6:12" x14ac:dyDescent="0.25">
      <c r="F1633" s="46">
        <f>IFERROR(VLOOKUP($E1646,'BASE DE DATOS'!$A:$I,3,0),0)</f>
        <v>0</v>
      </c>
      <c r="G1633" s="46">
        <f>IFERROR(VLOOKUP($E1633,'BASE DE DATOS'!$A:$I,3,0),0)</f>
        <v>0</v>
      </c>
      <c r="H1633" s="46">
        <f>IFERROR(VLOOKUP($E1633,'BASE DE DATOS'!$A:$I,3,0),0)</f>
        <v>0</v>
      </c>
      <c r="I1633" s="46">
        <f>IFERROR(VLOOKUP($E1633,'BASE DE DATOS'!$A:$I,3,0),0)</f>
        <v>0</v>
      </c>
      <c r="J1633" s="46">
        <f>IFERROR(VLOOKUP($E1633,'BASE DE DATOS'!$A:$I,3,0),0)</f>
        <v>0</v>
      </c>
      <c r="L1633" s="46">
        <f>IFERROR(VLOOKUP($E1633,'BASE DE DATOS'!$A:$I,3,0),0)</f>
        <v>0</v>
      </c>
    </row>
    <row r="1634" spans="6:12" x14ac:dyDescent="0.25">
      <c r="F1634" s="46">
        <f>IFERROR(VLOOKUP($E1647,'BASE DE DATOS'!$A:$I,3,0),0)</f>
        <v>0</v>
      </c>
      <c r="G1634" s="46">
        <f>IFERROR(VLOOKUP($E1634,'BASE DE DATOS'!$A:$I,3,0),0)</f>
        <v>0</v>
      </c>
      <c r="H1634" s="46">
        <f>IFERROR(VLOOKUP($E1634,'BASE DE DATOS'!$A:$I,3,0),0)</f>
        <v>0</v>
      </c>
      <c r="I1634" s="46">
        <f>IFERROR(VLOOKUP($E1634,'BASE DE DATOS'!$A:$I,3,0),0)</f>
        <v>0</v>
      </c>
      <c r="J1634" s="46">
        <f>IFERROR(VLOOKUP($E1634,'BASE DE DATOS'!$A:$I,3,0),0)</f>
        <v>0</v>
      </c>
      <c r="L1634" s="46">
        <f>IFERROR(VLOOKUP($E1634,'BASE DE DATOS'!$A:$I,3,0),0)</f>
        <v>0</v>
      </c>
    </row>
    <row r="1635" spans="6:12" x14ac:dyDescent="0.25">
      <c r="F1635" s="46">
        <f>IFERROR(VLOOKUP($E1648,'BASE DE DATOS'!$A:$I,3,0),0)</f>
        <v>0</v>
      </c>
      <c r="G1635" s="46">
        <f>IFERROR(VLOOKUP($E1635,'BASE DE DATOS'!$A:$I,3,0),0)</f>
        <v>0</v>
      </c>
      <c r="H1635" s="46">
        <f>IFERROR(VLOOKUP($E1635,'BASE DE DATOS'!$A:$I,3,0),0)</f>
        <v>0</v>
      </c>
      <c r="I1635" s="46">
        <f>IFERROR(VLOOKUP($E1635,'BASE DE DATOS'!$A:$I,3,0),0)</f>
        <v>0</v>
      </c>
      <c r="J1635" s="46">
        <f>IFERROR(VLOOKUP($E1635,'BASE DE DATOS'!$A:$I,3,0),0)</f>
        <v>0</v>
      </c>
      <c r="L1635" s="46">
        <f>IFERROR(VLOOKUP($E1635,'BASE DE DATOS'!$A:$I,3,0),0)</f>
        <v>0</v>
      </c>
    </row>
    <row r="1636" spans="6:12" x14ac:dyDescent="0.25">
      <c r="F1636" s="46">
        <f>IFERROR(VLOOKUP($E1649,'BASE DE DATOS'!$A:$I,3,0),0)</f>
        <v>0</v>
      </c>
      <c r="G1636" s="46">
        <f>IFERROR(VLOOKUP($E1636,'BASE DE DATOS'!$A:$I,3,0),0)</f>
        <v>0</v>
      </c>
      <c r="H1636" s="46">
        <f>IFERROR(VLOOKUP($E1636,'BASE DE DATOS'!$A:$I,3,0),0)</f>
        <v>0</v>
      </c>
      <c r="I1636" s="46">
        <f>IFERROR(VLOOKUP($E1636,'BASE DE DATOS'!$A:$I,3,0),0)</f>
        <v>0</v>
      </c>
      <c r="J1636" s="46">
        <f>IFERROR(VLOOKUP($E1636,'BASE DE DATOS'!$A:$I,3,0),0)</f>
        <v>0</v>
      </c>
      <c r="L1636" s="46">
        <f>IFERROR(VLOOKUP($E1636,'BASE DE DATOS'!$A:$I,3,0),0)</f>
        <v>0</v>
      </c>
    </row>
    <row r="1637" spans="6:12" x14ac:dyDescent="0.25">
      <c r="F1637" s="46">
        <f>IFERROR(VLOOKUP($E1650,'BASE DE DATOS'!$A:$I,3,0),0)</f>
        <v>0</v>
      </c>
      <c r="G1637" s="46">
        <f>IFERROR(VLOOKUP($E1637,'BASE DE DATOS'!$A:$I,3,0),0)</f>
        <v>0</v>
      </c>
      <c r="H1637" s="46">
        <f>IFERROR(VLOOKUP($E1637,'BASE DE DATOS'!$A:$I,3,0),0)</f>
        <v>0</v>
      </c>
      <c r="I1637" s="46">
        <f>IFERROR(VLOOKUP($E1637,'BASE DE DATOS'!$A:$I,3,0),0)</f>
        <v>0</v>
      </c>
      <c r="J1637" s="46">
        <f>IFERROR(VLOOKUP($E1637,'BASE DE DATOS'!$A:$I,3,0),0)</f>
        <v>0</v>
      </c>
      <c r="L1637" s="46">
        <f>IFERROR(VLOOKUP($E1637,'BASE DE DATOS'!$A:$I,3,0),0)</f>
        <v>0</v>
      </c>
    </row>
    <row r="1638" spans="6:12" x14ac:dyDescent="0.25">
      <c r="F1638" s="46">
        <f>IFERROR(VLOOKUP($E1651,'BASE DE DATOS'!$A:$I,3,0),0)</f>
        <v>0</v>
      </c>
      <c r="G1638" s="46">
        <f>IFERROR(VLOOKUP($E1638,'BASE DE DATOS'!$A:$I,3,0),0)</f>
        <v>0</v>
      </c>
      <c r="H1638" s="46">
        <f>IFERROR(VLOOKUP($E1638,'BASE DE DATOS'!$A:$I,3,0),0)</f>
        <v>0</v>
      </c>
      <c r="I1638" s="46">
        <f>IFERROR(VLOOKUP($E1638,'BASE DE DATOS'!$A:$I,3,0),0)</f>
        <v>0</v>
      </c>
      <c r="J1638" s="46">
        <f>IFERROR(VLOOKUP($E1638,'BASE DE DATOS'!$A:$I,3,0),0)</f>
        <v>0</v>
      </c>
      <c r="L1638" s="46">
        <f>IFERROR(VLOOKUP($E1638,'BASE DE DATOS'!$A:$I,3,0),0)</f>
        <v>0</v>
      </c>
    </row>
    <row r="1639" spans="6:12" x14ac:dyDescent="0.25">
      <c r="F1639" s="46">
        <f>IFERROR(VLOOKUP($E1652,'BASE DE DATOS'!$A:$I,3,0),0)</f>
        <v>0</v>
      </c>
      <c r="G1639" s="46">
        <f>IFERROR(VLOOKUP($E1639,'BASE DE DATOS'!$A:$I,3,0),0)</f>
        <v>0</v>
      </c>
      <c r="H1639" s="46">
        <f>IFERROR(VLOOKUP($E1639,'BASE DE DATOS'!$A:$I,3,0),0)</f>
        <v>0</v>
      </c>
      <c r="I1639" s="46">
        <f>IFERROR(VLOOKUP($E1639,'BASE DE DATOS'!$A:$I,3,0),0)</f>
        <v>0</v>
      </c>
      <c r="J1639" s="46">
        <f>IFERROR(VLOOKUP($E1639,'BASE DE DATOS'!$A:$I,3,0),0)</f>
        <v>0</v>
      </c>
      <c r="L1639" s="46">
        <f>IFERROR(VLOOKUP($E1639,'BASE DE DATOS'!$A:$I,3,0),0)</f>
        <v>0</v>
      </c>
    </row>
    <row r="1640" spans="6:12" x14ac:dyDescent="0.25">
      <c r="F1640" s="46">
        <f>IFERROR(VLOOKUP($E1653,'BASE DE DATOS'!$A:$I,3,0),0)</f>
        <v>0</v>
      </c>
      <c r="G1640" s="46">
        <f>IFERROR(VLOOKUP($E1640,'BASE DE DATOS'!$A:$I,3,0),0)</f>
        <v>0</v>
      </c>
      <c r="H1640" s="46">
        <f>IFERROR(VLOOKUP($E1640,'BASE DE DATOS'!$A:$I,3,0),0)</f>
        <v>0</v>
      </c>
      <c r="I1640" s="46">
        <f>IFERROR(VLOOKUP($E1640,'BASE DE DATOS'!$A:$I,3,0),0)</f>
        <v>0</v>
      </c>
      <c r="J1640" s="46">
        <f>IFERROR(VLOOKUP($E1640,'BASE DE DATOS'!$A:$I,3,0),0)</f>
        <v>0</v>
      </c>
      <c r="L1640" s="46">
        <f>IFERROR(VLOOKUP($E1640,'BASE DE DATOS'!$A:$I,3,0),0)</f>
        <v>0</v>
      </c>
    </row>
    <row r="1641" spans="6:12" x14ac:dyDescent="0.25">
      <c r="F1641" s="46">
        <f>IFERROR(VLOOKUP($E1654,'BASE DE DATOS'!$A:$I,3,0),0)</f>
        <v>0</v>
      </c>
      <c r="G1641" s="46">
        <f>IFERROR(VLOOKUP($E1641,'BASE DE DATOS'!$A:$I,3,0),0)</f>
        <v>0</v>
      </c>
      <c r="H1641" s="46">
        <f>IFERROR(VLOOKUP($E1641,'BASE DE DATOS'!$A:$I,3,0),0)</f>
        <v>0</v>
      </c>
      <c r="I1641" s="46">
        <f>IFERROR(VLOOKUP($E1641,'BASE DE DATOS'!$A:$I,3,0),0)</f>
        <v>0</v>
      </c>
      <c r="J1641" s="46">
        <f>IFERROR(VLOOKUP($E1641,'BASE DE DATOS'!$A:$I,3,0),0)</f>
        <v>0</v>
      </c>
      <c r="L1641" s="46">
        <f>IFERROR(VLOOKUP($E1641,'BASE DE DATOS'!$A:$I,3,0),0)</f>
        <v>0</v>
      </c>
    </row>
    <row r="1642" spans="6:12" x14ac:dyDescent="0.25">
      <c r="F1642" s="46">
        <f>IFERROR(VLOOKUP($E1655,'BASE DE DATOS'!$A:$I,3,0),0)</f>
        <v>0</v>
      </c>
      <c r="G1642" s="46">
        <f>IFERROR(VLOOKUP($E1642,'BASE DE DATOS'!$A:$I,3,0),0)</f>
        <v>0</v>
      </c>
      <c r="H1642" s="46">
        <f>IFERROR(VLOOKUP($E1642,'BASE DE DATOS'!$A:$I,3,0),0)</f>
        <v>0</v>
      </c>
      <c r="I1642" s="46">
        <f>IFERROR(VLOOKUP($E1642,'BASE DE DATOS'!$A:$I,3,0),0)</f>
        <v>0</v>
      </c>
      <c r="J1642" s="46">
        <f>IFERROR(VLOOKUP($E1642,'BASE DE DATOS'!$A:$I,3,0),0)</f>
        <v>0</v>
      </c>
      <c r="L1642" s="46">
        <f>IFERROR(VLOOKUP($E1642,'BASE DE DATOS'!$A:$I,3,0),0)</f>
        <v>0</v>
      </c>
    </row>
    <row r="1643" spans="6:12" x14ac:dyDescent="0.25">
      <c r="F1643" s="46">
        <f>IFERROR(VLOOKUP($E1656,'BASE DE DATOS'!$A:$I,3,0),0)</f>
        <v>0</v>
      </c>
      <c r="G1643" s="46">
        <f>IFERROR(VLOOKUP($E1643,'BASE DE DATOS'!$A:$I,3,0),0)</f>
        <v>0</v>
      </c>
      <c r="H1643" s="46">
        <f>IFERROR(VLOOKUP($E1643,'BASE DE DATOS'!$A:$I,3,0),0)</f>
        <v>0</v>
      </c>
      <c r="I1643" s="46">
        <f>IFERROR(VLOOKUP($E1643,'BASE DE DATOS'!$A:$I,3,0),0)</f>
        <v>0</v>
      </c>
      <c r="J1643" s="46">
        <f>IFERROR(VLOOKUP($E1643,'BASE DE DATOS'!$A:$I,3,0),0)</f>
        <v>0</v>
      </c>
      <c r="L1643" s="46">
        <f>IFERROR(VLOOKUP($E1643,'BASE DE DATOS'!$A:$I,3,0),0)</f>
        <v>0</v>
      </c>
    </row>
    <row r="1644" spans="6:12" x14ac:dyDescent="0.25">
      <c r="F1644" s="46">
        <f>IFERROR(VLOOKUP($E1657,'BASE DE DATOS'!$A:$I,3,0),0)</f>
        <v>0</v>
      </c>
      <c r="G1644" s="46">
        <f>IFERROR(VLOOKUP($E1644,'BASE DE DATOS'!$A:$I,3,0),0)</f>
        <v>0</v>
      </c>
      <c r="H1644" s="46">
        <f>IFERROR(VLOOKUP($E1644,'BASE DE DATOS'!$A:$I,3,0),0)</f>
        <v>0</v>
      </c>
      <c r="I1644" s="46">
        <f>IFERROR(VLOOKUP($E1644,'BASE DE DATOS'!$A:$I,3,0),0)</f>
        <v>0</v>
      </c>
      <c r="J1644" s="46">
        <f>IFERROR(VLOOKUP($E1644,'BASE DE DATOS'!$A:$I,3,0),0)</f>
        <v>0</v>
      </c>
      <c r="L1644" s="46">
        <f>IFERROR(VLOOKUP($E1644,'BASE DE DATOS'!$A:$I,3,0),0)</f>
        <v>0</v>
      </c>
    </row>
    <row r="1645" spans="6:12" x14ac:dyDescent="0.25">
      <c r="F1645" s="46">
        <f>IFERROR(VLOOKUP($E1658,'BASE DE DATOS'!$A:$I,3,0),0)</f>
        <v>0</v>
      </c>
      <c r="G1645" s="46">
        <f>IFERROR(VLOOKUP($E1645,'BASE DE DATOS'!$A:$I,3,0),0)</f>
        <v>0</v>
      </c>
      <c r="H1645" s="46">
        <f>IFERROR(VLOOKUP($E1645,'BASE DE DATOS'!$A:$I,3,0),0)</f>
        <v>0</v>
      </c>
      <c r="I1645" s="46">
        <f>IFERROR(VLOOKUP($E1645,'BASE DE DATOS'!$A:$I,3,0),0)</f>
        <v>0</v>
      </c>
      <c r="J1645" s="46">
        <f>IFERROR(VLOOKUP($E1645,'BASE DE DATOS'!$A:$I,3,0),0)</f>
        <v>0</v>
      </c>
      <c r="L1645" s="46">
        <f>IFERROR(VLOOKUP($E1645,'BASE DE DATOS'!$A:$I,3,0),0)</f>
        <v>0</v>
      </c>
    </row>
    <row r="1646" spans="6:12" x14ac:dyDescent="0.25">
      <c r="F1646" s="46">
        <f>IFERROR(VLOOKUP($E1659,'BASE DE DATOS'!$A:$I,3,0),0)</f>
        <v>0</v>
      </c>
      <c r="G1646" s="46">
        <f>IFERROR(VLOOKUP($E1646,'BASE DE DATOS'!$A:$I,3,0),0)</f>
        <v>0</v>
      </c>
      <c r="H1646" s="46">
        <f>IFERROR(VLOOKUP($E1646,'BASE DE DATOS'!$A:$I,3,0),0)</f>
        <v>0</v>
      </c>
      <c r="I1646" s="46">
        <f>IFERROR(VLOOKUP($E1646,'BASE DE DATOS'!$A:$I,3,0),0)</f>
        <v>0</v>
      </c>
      <c r="J1646" s="46">
        <f>IFERROR(VLOOKUP($E1646,'BASE DE DATOS'!$A:$I,3,0),0)</f>
        <v>0</v>
      </c>
      <c r="L1646" s="46">
        <f>IFERROR(VLOOKUP($E1646,'BASE DE DATOS'!$A:$I,3,0),0)</f>
        <v>0</v>
      </c>
    </row>
    <row r="1647" spans="6:12" x14ac:dyDescent="0.25">
      <c r="F1647" s="46">
        <f>IFERROR(VLOOKUP($E1660,'BASE DE DATOS'!$A:$I,3,0),0)</f>
        <v>0</v>
      </c>
      <c r="G1647" s="46">
        <f>IFERROR(VLOOKUP($E1647,'BASE DE DATOS'!$A:$I,3,0),0)</f>
        <v>0</v>
      </c>
      <c r="H1647" s="46">
        <f>IFERROR(VLOOKUP($E1647,'BASE DE DATOS'!$A:$I,3,0),0)</f>
        <v>0</v>
      </c>
      <c r="I1647" s="46">
        <f>IFERROR(VLOOKUP($E1647,'BASE DE DATOS'!$A:$I,3,0),0)</f>
        <v>0</v>
      </c>
      <c r="J1647" s="46">
        <f>IFERROR(VLOOKUP($E1647,'BASE DE DATOS'!$A:$I,3,0),0)</f>
        <v>0</v>
      </c>
      <c r="L1647" s="46">
        <f>IFERROR(VLOOKUP($E1647,'BASE DE DATOS'!$A:$I,3,0),0)</f>
        <v>0</v>
      </c>
    </row>
    <row r="1648" spans="6:12" x14ac:dyDescent="0.25">
      <c r="F1648" s="46">
        <f>IFERROR(VLOOKUP($E1661,'BASE DE DATOS'!$A:$I,3,0),0)</f>
        <v>0</v>
      </c>
      <c r="G1648" s="46">
        <f>IFERROR(VLOOKUP($E1648,'BASE DE DATOS'!$A:$I,3,0),0)</f>
        <v>0</v>
      </c>
      <c r="H1648" s="46">
        <f>IFERROR(VLOOKUP($E1648,'BASE DE DATOS'!$A:$I,3,0),0)</f>
        <v>0</v>
      </c>
      <c r="I1648" s="46">
        <f>IFERROR(VLOOKUP($E1648,'BASE DE DATOS'!$A:$I,3,0),0)</f>
        <v>0</v>
      </c>
      <c r="J1648" s="46">
        <f>IFERROR(VLOOKUP($E1648,'BASE DE DATOS'!$A:$I,3,0),0)</f>
        <v>0</v>
      </c>
      <c r="L1648" s="46">
        <f>IFERROR(VLOOKUP($E1648,'BASE DE DATOS'!$A:$I,3,0),0)</f>
        <v>0</v>
      </c>
    </row>
    <row r="1649" spans="6:12" x14ac:dyDescent="0.25">
      <c r="F1649" s="46">
        <f>IFERROR(VLOOKUP($E1662,'BASE DE DATOS'!$A:$I,3,0),0)</f>
        <v>0</v>
      </c>
      <c r="G1649" s="46">
        <f>IFERROR(VLOOKUP($E1649,'BASE DE DATOS'!$A:$I,3,0),0)</f>
        <v>0</v>
      </c>
      <c r="H1649" s="46">
        <f>IFERROR(VLOOKUP($E1649,'BASE DE DATOS'!$A:$I,3,0),0)</f>
        <v>0</v>
      </c>
      <c r="I1649" s="46">
        <f>IFERROR(VLOOKUP($E1649,'BASE DE DATOS'!$A:$I,3,0),0)</f>
        <v>0</v>
      </c>
      <c r="J1649" s="46">
        <f>IFERROR(VLOOKUP($E1649,'BASE DE DATOS'!$A:$I,3,0),0)</f>
        <v>0</v>
      </c>
      <c r="L1649" s="46">
        <f>IFERROR(VLOOKUP($E1649,'BASE DE DATOS'!$A:$I,3,0),0)</f>
        <v>0</v>
      </c>
    </row>
    <row r="1650" spans="6:12" x14ac:dyDescent="0.25">
      <c r="F1650" s="46">
        <f>IFERROR(VLOOKUP($E1663,'BASE DE DATOS'!$A:$I,3,0),0)</f>
        <v>0</v>
      </c>
      <c r="G1650" s="46">
        <f>IFERROR(VLOOKUP($E1650,'BASE DE DATOS'!$A:$I,3,0),0)</f>
        <v>0</v>
      </c>
      <c r="H1650" s="46">
        <f>IFERROR(VLOOKUP($E1650,'BASE DE DATOS'!$A:$I,3,0),0)</f>
        <v>0</v>
      </c>
      <c r="I1650" s="46">
        <f>IFERROR(VLOOKUP($E1650,'BASE DE DATOS'!$A:$I,3,0),0)</f>
        <v>0</v>
      </c>
      <c r="J1650" s="46">
        <f>IFERROR(VLOOKUP($E1650,'BASE DE DATOS'!$A:$I,3,0),0)</f>
        <v>0</v>
      </c>
      <c r="L1650" s="46">
        <f>IFERROR(VLOOKUP($E1650,'BASE DE DATOS'!$A:$I,3,0),0)</f>
        <v>0</v>
      </c>
    </row>
    <row r="1651" spans="6:12" x14ac:dyDescent="0.25">
      <c r="F1651" s="46">
        <f>IFERROR(VLOOKUP($E1664,'BASE DE DATOS'!$A:$I,3,0),0)</f>
        <v>0</v>
      </c>
      <c r="G1651" s="46">
        <f>IFERROR(VLOOKUP($E1651,'BASE DE DATOS'!$A:$I,3,0),0)</f>
        <v>0</v>
      </c>
      <c r="H1651" s="46">
        <f>IFERROR(VLOOKUP($E1651,'BASE DE DATOS'!$A:$I,3,0),0)</f>
        <v>0</v>
      </c>
      <c r="I1651" s="46">
        <f>IFERROR(VLOOKUP($E1651,'BASE DE DATOS'!$A:$I,3,0),0)</f>
        <v>0</v>
      </c>
      <c r="J1651" s="46">
        <f>IFERROR(VLOOKUP($E1651,'BASE DE DATOS'!$A:$I,3,0),0)</f>
        <v>0</v>
      </c>
      <c r="L1651" s="46">
        <f>IFERROR(VLOOKUP($E1651,'BASE DE DATOS'!$A:$I,3,0),0)</f>
        <v>0</v>
      </c>
    </row>
    <row r="1652" spans="6:12" x14ac:dyDescent="0.25">
      <c r="F1652" s="46">
        <f>IFERROR(VLOOKUP($E1665,'BASE DE DATOS'!$A:$I,3,0),0)</f>
        <v>0</v>
      </c>
      <c r="G1652" s="46">
        <f>IFERROR(VLOOKUP($E1652,'BASE DE DATOS'!$A:$I,3,0),0)</f>
        <v>0</v>
      </c>
      <c r="H1652" s="46">
        <f>IFERROR(VLOOKUP($E1652,'BASE DE DATOS'!$A:$I,3,0),0)</f>
        <v>0</v>
      </c>
      <c r="I1652" s="46">
        <f>IFERROR(VLOOKUP($E1652,'BASE DE DATOS'!$A:$I,3,0),0)</f>
        <v>0</v>
      </c>
      <c r="J1652" s="46">
        <f>IFERROR(VLOOKUP($E1652,'BASE DE DATOS'!$A:$I,3,0),0)</f>
        <v>0</v>
      </c>
      <c r="L1652" s="46">
        <f>IFERROR(VLOOKUP($E1652,'BASE DE DATOS'!$A:$I,3,0),0)</f>
        <v>0</v>
      </c>
    </row>
    <row r="1653" spans="6:12" x14ac:dyDescent="0.25">
      <c r="F1653" s="46">
        <f>IFERROR(VLOOKUP($E1666,'BASE DE DATOS'!$A:$I,3,0),0)</f>
        <v>0</v>
      </c>
      <c r="G1653" s="46">
        <f>IFERROR(VLOOKUP($E1653,'BASE DE DATOS'!$A:$I,3,0),0)</f>
        <v>0</v>
      </c>
      <c r="H1653" s="46">
        <f>IFERROR(VLOOKUP($E1653,'BASE DE DATOS'!$A:$I,3,0),0)</f>
        <v>0</v>
      </c>
      <c r="I1653" s="46">
        <f>IFERROR(VLOOKUP($E1653,'BASE DE DATOS'!$A:$I,3,0),0)</f>
        <v>0</v>
      </c>
      <c r="J1653" s="46">
        <f>IFERROR(VLOOKUP($E1653,'BASE DE DATOS'!$A:$I,3,0),0)</f>
        <v>0</v>
      </c>
      <c r="L1653" s="46">
        <f>IFERROR(VLOOKUP($E1653,'BASE DE DATOS'!$A:$I,3,0),0)</f>
        <v>0</v>
      </c>
    </row>
    <row r="1654" spans="6:12" x14ac:dyDescent="0.25">
      <c r="F1654" s="46">
        <f>IFERROR(VLOOKUP($E1667,'BASE DE DATOS'!$A:$I,3,0),0)</f>
        <v>0</v>
      </c>
      <c r="G1654" s="46">
        <f>IFERROR(VLOOKUP($E1654,'BASE DE DATOS'!$A:$I,3,0),0)</f>
        <v>0</v>
      </c>
      <c r="H1654" s="46">
        <f>IFERROR(VLOOKUP($E1654,'BASE DE DATOS'!$A:$I,3,0),0)</f>
        <v>0</v>
      </c>
      <c r="I1654" s="46">
        <f>IFERROR(VLOOKUP($E1654,'BASE DE DATOS'!$A:$I,3,0),0)</f>
        <v>0</v>
      </c>
      <c r="J1654" s="46">
        <f>IFERROR(VLOOKUP($E1654,'BASE DE DATOS'!$A:$I,3,0),0)</f>
        <v>0</v>
      </c>
      <c r="L1654" s="46">
        <f>IFERROR(VLOOKUP($E1654,'BASE DE DATOS'!$A:$I,3,0),0)</f>
        <v>0</v>
      </c>
    </row>
    <row r="1655" spans="6:12" x14ac:dyDescent="0.25">
      <c r="F1655" s="46">
        <f>IFERROR(VLOOKUP($E1668,'BASE DE DATOS'!$A:$I,3,0),0)</f>
        <v>0</v>
      </c>
      <c r="G1655" s="46">
        <f>IFERROR(VLOOKUP($E1655,'BASE DE DATOS'!$A:$I,3,0),0)</f>
        <v>0</v>
      </c>
      <c r="H1655" s="46">
        <f>IFERROR(VLOOKUP($E1655,'BASE DE DATOS'!$A:$I,3,0),0)</f>
        <v>0</v>
      </c>
      <c r="I1655" s="46">
        <f>IFERROR(VLOOKUP($E1655,'BASE DE DATOS'!$A:$I,3,0),0)</f>
        <v>0</v>
      </c>
      <c r="J1655" s="46">
        <f>IFERROR(VLOOKUP($E1655,'BASE DE DATOS'!$A:$I,3,0),0)</f>
        <v>0</v>
      </c>
      <c r="L1655" s="46">
        <f>IFERROR(VLOOKUP($E1655,'BASE DE DATOS'!$A:$I,3,0),0)</f>
        <v>0</v>
      </c>
    </row>
    <row r="1656" spans="6:12" x14ac:dyDescent="0.25">
      <c r="G1656" s="46">
        <f>IFERROR(VLOOKUP($E1656,'BASE DE DATOS'!$A:$I,3,0),0)</f>
        <v>0</v>
      </c>
      <c r="H1656" s="46">
        <f>IFERROR(VLOOKUP($E1656,'BASE DE DATOS'!$A:$I,3,0),0)</f>
        <v>0</v>
      </c>
      <c r="I1656" s="46">
        <f>IFERROR(VLOOKUP($E1656,'BASE DE DATOS'!$A:$I,3,0),0)</f>
        <v>0</v>
      </c>
      <c r="J1656" s="46">
        <f>IFERROR(VLOOKUP($E1656,'BASE DE DATOS'!$A:$I,3,0),0)</f>
        <v>0</v>
      </c>
      <c r="L1656" s="46">
        <f>IFERROR(VLOOKUP($E1656,'BASE DE DATOS'!$A:$I,3,0),0)</f>
        <v>0</v>
      </c>
    </row>
    <row r="1657" spans="6:12" x14ac:dyDescent="0.25">
      <c r="G1657" s="46">
        <f>IFERROR(VLOOKUP($E1657,'BASE DE DATOS'!$A:$I,3,0),0)</f>
        <v>0</v>
      </c>
      <c r="H1657" s="46">
        <f>IFERROR(VLOOKUP($E1657,'BASE DE DATOS'!$A:$I,3,0),0)</f>
        <v>0</v>
      </c>
      <c r="I1657" s="46">
        <f>IFERROR(VLOOKUP($E1657,'BASE DE DATOS'!$A:$I,3,0),0)</f>
        <v>0</v>
      </c>
      <c r="J1657" s="46">
        <f>IFERROR(VLOOKUP($E1657,'BASE DE DATOS'!$A:$I,3,0),0)</f>
        <v>0</v>
      </c>
      <c r="L1657" s="46">
        <f>IFERROR(VLOOKUP($E1657,'BASE DE DATOS'!$A:$I,3,0),0)</f>
        <v>0</v>
      </c>
    </row>
    <row r="1658" spans="6:12" x14ac:dyDescent="0.25">
      <c r="G1658" s="46">
        <f>IFERROR(VLOOKUP($E1658,'BASE DE DATOS'!$A:$I,3,0),0)</f>
        <v>0</v>
      </c>
      <c r="H1658" s="46">
        <f>IFERROR(VLOOKUP($E1658,'BASE DE DATOS'!$A:$I,3,0),0)</f>
        <v>0</v>
      </c>
      <c r="I1658" s="46">
        <f>IFERROR(VLOOKUP($E1658,'BASE DE DATOS'!$A:$I,3,0),0)</f>
        <v>0</v>
      </c>
      <c r="J1658" s="46">
        <f>IFERROR(VLOOKUP($E1658,'BASE DE DATOS'!$A:$I,3,0),0)</f>
        <v>0</v>
      </c>
      <c r="L1658" s="46">
        <f>IFERROR(VLOOKUP($E1658,'BASE DE DATOS'!$A:$I,3,0),0)</f>
        <v>0</v>
      </c>
    </row>
    <row r="1659" spans="6:12" x14ac:dyDescent="0.25">
      <c r="G1659" s="46">
        <f>IFERROR(VLOOKUP($E1659,'BASE DE DATOS'!$A:$I,3,0),0)</f>
        <v>0</v>
      </c>
      <c r="H1659" s="46">
        <f>IFERROR(VLOOKUP($E1659,'BASE DE DATOS'!$A:$I,3,0),0)</f>
        <v>0</v>
      </c>
      <c r="I1659" s="46">
        <f>IFERROR(VLOOKUP($E1659,'BASE DE DATOS'!$A:$I,3,0),0)</f>
        <v>0</v>
      </c>
      <c r="J1659" s="46">
        <f>IFERROR(VLOOKUP($E1659,'BASE DE DATOS'!$A:$I,3,0),0)</f>
        <v>0</v>
      </c>
      <c r="L1659" s="46">
        <f>IFERROR(VLOOKUP($E1659,'BASE DE DATOS'!$A:$I,3,0),0)</f>
        <v>0</v>
      </c>
    </row>
    <row r="1660" spans="6:12" x14ac:dyDescent="0.25">
      <c r="G1660" s="46">
        <f>IFERROR(VLOOKUP($E1660,'BASE DE DATOS'!$A:$I,3,0),0)</f>
        <v>0</v>
      </c>
      <c r="H1660" s="46">
        <f>IFERROR(VLOOKUP($E1660,'BASE DE DATOS'!$A:$I,3,0),0)</f>
        <v>0</v>
      </c>
      <c r="I1660" s="46">
        <f>IFERROR(VLOOKUP($E1660,'BASE DE DATOS'!$A:$I,3,0),0)</f>
        <v>0</v>
      </c>
      <c r="J1660" s="46">
        <f>IFERROR(VLOOKUP($E1660,'BASE DE DATOS'!$A:$I,3,0),0)</f>
        <v>0</v>
      </c>
      <c r="L1660" s="46">
        <f>IFERROR(VLOOKUP($E1660,'BASE DE DATOS'!$A:$I,3,0),0)</f>
        <v>0</v>
      </c>
    </row>
    <row r="1661" spans="6:12" x14ac:dyDescent="0.25">
      <c r="G1661" s="46">
        <f>IFERROR(VLOOKUP($E1661,'BASE DE DATOS'!$A:$I,3,0),0)</f>
        <v>0</v>
      </c>
      <c r="H1661" s="46">
        <f>IFERROR(VLOOKUP($E1661,'BASE DE DATOS'!$A:$I,3,0),0)</f>
        <v>0</v>
      </c>
      <c r="I1661" s="46">
        <f>IFERROR(VLOOKUP($E1661,'BASE DE DATOS'!$A:$I,3,0),0)</f>
        <v>0</v>
      </c>
      <c r="J1661" s="46">
        <f>IFERROR(VLOOKUP($E1661,'BASE DE DATOS'!$A:$I,3,0),0)</f>
        <v>0</v>
      </c>
      <c r="L1661" s="46">
        <f>IFERROR(VLOOKUP($E1661,'BASE DE DATOS'!$A:$I,3,0),0)</f>
        <v>0</v>
      </c>
    </row>
    <row r="1662" spans="6:12" x14ac:dyDescent="0.25">
      <c r="G1662" s="46">
        <f>IFERROR(VLOOKUP($E1662,'BASE DE DATOS'!$A:$I,3,0),0)</f>
        <v>0</v>
      </c>
      <c r="H1662" s="46">
        <f>IFERROR(VLOOKUP($E1662,'BASE DE DATOS'!$A:$I,3,0),0)</f>
        <v>0</v>
      </c>
      <c r="I1662" s="46">
        <f>IFERROR(VLOOKUP($E1662,'BASE DE DATOS'!$A:$I,3,0),0)</f>
        <v>0</v>
      </c>
      <c r="J1662" s="46">
        <f>IFERROR(VLOOKUP($E1662,'BASE DE DATOS'!$A:$I,3,0),0)</f>
        <v>0</v>
      </c>
      <c r="L1662" s="46">
        <f>IFERROR(VLOOKUP($E1662,'BASE DE DATOS'!$A:$I,3,0),0)</f>
        <v>0</v>
      </c>
    </row>
    <row r="1663" spans="6:12" x14ac:dyDescent="0.25">
      <c r="G1663" s="46">
        <f>IFERROR(VLOOKUP($E1663,'BASE DE DATOS'!$A:$I,3,0),0)</f>
        <v>0</v>
      </c>
      <c r="H1663" s="46">
        <f>IFERROR(VLOOKUP($E1663,'BASE DE DATOS'!$A:$I,3,0),0)</f>
        <v>0</v>
      </c>
      <c r="I1663" s="46">
        <f>IFERROR(VLOOKUP($E1663,'BASE DE DATOS'!$A:$I,3,0),0)</f>
        <v>0</v>
      </c>
      <c r="J1663" s="46">
        <f>IFERROR(VLOOKUP($E1663,'BASE DE DATOS'!$A:$I,3,0),0)</f>
        <v>0</v>
      </c>
      <c r="L1663" s="46">
        <f>IFERROR(VLOOKUP($E1663,'BASE DE DATOS'!$A:$I,3,0),0)</f>
        <v>0</v>
      </c>
    </row>
    <row r="1664" spans="6:12" x14ac:dyDescent="0.25">
      <c r="G1664" s="46">
        <f>IFERROR(VLOOKUP($E1664,'BASE DE DATOS'!$A:$I,3,0),0)</f>
        <v>0</v>
      </c>
      <c r="H1664" s="46">
        <f>IFERROR(VLOOKUP($E1664,'BASE DE DATOS'!$A:$I,3,0),0)</f>
        <v>0</v>
      </c>
      <c r="I1664" s="46">
        <f>IFERROR(VLOOKUP($E1664,'BASE DE DATOS'!$A:$I,3,0),0)</f>
        <v>0</v>
      </c>
      <c r="J1664" s="46">
        <f>IFERROR(VLOOKUP($E1664,'BASE DE DATOS'!$A:$I,3,0),0)</f>
        <v>0</v>
      </c>
      <c r="L1664" s="46">
        <f>IFERROR(VLOOKUP($E1664,'BASE DE DATOS'!$A:$I,3,0),0)</f>
        <v>0</v>
      </c>
    </row>
    <row r="1665" spans="7:12" x14ac:dyDescent="0.25">
      <c r="G1665" s="46">
        <f>IFERROR(VLOOKUP($E1665,'BASE DE DATOS'!$A:$I,3,0),0)</f>
        <v>0</v>
      </c>
      <c r="H1665" s="46">
        <f>IFERROR(VLOOKUP($E1665,'BASE DE DATOS'!$A:$I,3,0),0)</f>
        <v>0</v>
      </c>
      <c r="I1665" s="46">
        <f>IFERROR(VLOOKUP($E1665,'BASE DE DATOS'!$A:$I,3,0),0)</f>
        <v>0</v>
      </c>
      <c r="J1665" s="46">
        <f>IFERROR(VLOOKUP($E1665,'BASE DE DATOS'!$A:$I,3,0),0)</f>
        <v>0</v>
      </c>
      <c r="L1665" s="46">
        <f>IFERROR(VLOOKUP($E1665,'BASE DE DATOS'!$A:$I,3,0),0)</f>
        <v>0</v>
      </c>
    </row>
    <row r="1666" spans="7:12" x14ac:dyDescent="0.25">
      <c r="G1666" s="46">
        <f>IFERROR(VLOOKUP($E1666,'BASE DE DATOS'!$A:$I,3,0),0)</f>
        <v>0</v>
      </c>
      <c r="H1666" s="46">
        <f>IFERROR(VLOOKUP($E1666,'BASE DE DATOS'!$A:$I,3,0),0)</f>
        <v>0</v>
      </c>
      <c r="I1666" s="46">
        <f>IFERROR(VLOOKUP($E1666,'BASE DE DATOS'!$A:$I,3,0),0)</f>
        <v>0</v>
      </c>
      <c r="J1666" s="46">
        <f>IFERROR(VLOOKUP($E1666,'BASE DE DATOS'!$A:$I,3,0),0)</f>
        <v>0</v>
      </c>
      <c r="L1666" s="46">
        <f>IFERROR(VLOOKUP($E1666,'BASE DE DATOS'!$A:$I,3,0),0)</f>
        <v>0</v>
      </c>
    </row>
    <row r="1667" spans="7:12" x14ac:dyDescent="0.25">
      <c r="G1667" s="46">
        <f>IFERROR(VLOOKUP($E1667,'BASE DE DATOS'!$A:$I,3,0),0)</f>
        <v>0</v>
      </c>
      <c r="H1667" s="46">
        <f>IFERROR(VLOOKUP($E1667,'BASE DE DATOS'!$A:$I,3,0),0)</f>
        <v>0</v>
      </c>
      <c r="I1667" s="46">
        <f>IFERROR(VLOOKUP($E1667,'BASE DE DATOS'!$A:$I,3,0),0)</f>
        <v>0</v>
      </c>
      <c r="J1667" s="46">
        <f>IFERROR(VLOOKUP($E1667,'BASE DE DATOS'!$A:$I,3,0),0)</f>
        <v>0</v>
      </c>
      <c r="L1667" s="46">
        <f>IFERROR(VLOOKUP($E1667,'BASE DE DATOS'!$A:$I,3,0),0)</f>
        <v>0</v>
      </c>
    </row>
    <row r="1668" spans="7:12" x14ac:dyDescent="0.25">
      <c r="G1668" s="46">
        <f>IFERROR(VLOOKUP($E1668,'BASE DE DATOS'!$A:$I,3,0),0)</f>
        <v>0</v>
      </c>
      <c r="H1668" s="46">
        <f>IFERROR(VLOOKUP($E1668,'BASE DE DATOS'!$A:$I,3,0),0)</f>
        <v>0</v>
      </c>
      <c r="I1668" s="46">
        <f>IFERROR(VLOOKUP($E1668,'BASE DE DATOS'!$A:$I,3,0),0)</f>
        <v>0</v>
      </c>
      <c r="J1668" s="46">
        <f>IFERROR(VLOOKUP($E1668,'BASE DE DATOS'!$A:$I,3,0),0)</f>
        <v>0</v>
      </c>
      <c r="L1668" s="46">
        <f>IFERROR(VLOOKUP($E1668,'BASE DE DATOS'!$A:$I,3,0),0)</f>
        <v>0</v>
      </c>
    </row>
  </sheetData>
  <sortState ref="A3:N2128">
    <sortCondition ref="A3:A2128"/>
  </sortState>
  <mergeCells count="1">
    <mergeCell ref="A1:N1"/>
  </mergeCells>
  <pageMargins left="0.23622047244094491" right="0.23622047244094491" top="0.74803149606299213" bottom="0.74803149606299213" header="0.31496062992125984" footer="0.31496062992125984"/>
  <pageSetup scale="5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D42" sqref="D42"/>
    </sheetView>
  </sheetViews>
  <sheetFormatPr baseColWidth="10" defaultRowHeight="15" x14ac:dyDescent="0.25"/>
  <cols>
    <col min="1" max="1" width="13.5703125" customWidth="1"/>
    <col min="2" max="2" width="21.5703125" customWidth="1"/>
    <col min="3" max="3" width="18.7109375" customWidth="1"/>
    <col min="4" max="4" width="19.42578125" customWidth="1"/>
    <col min="6" max="6" width="18.5703125" bestFit="1" customWidth="1"/>
  </cols>
  <sheetData>
    <row r="1" spans="1:4" ht="15" customHeight="1" x14ac:dyDescent="0.25">
      <c r="A1" s="73" t="s">
        <v>543</v>
      </c>
      <c r="B1" s="74"/>
      <c r="C1" s="74"/>
      <c r="D1" s="75"/>
    </row>
    <row r="2" spans="1:4" ht="15" customHeight="1" x14ac:dyDescent="0.25">
      <c r="A2" s="76"/>
      <c r="B2" s="77"/>
      <c r="C2" s="77"/>
      <c r="D2" s="78"/>
    </row>
    <row r="3" spans="1:4" x14ac:dyDescent="0.25">
      <c r="A3" s="51" t="s">
        <v>0</v>
      </c>
      <c r="B3" s="52" t="s">
        <v>361</v>
      </c>
      <c r="C3" s="52" t="s">
        <v>362</v>
      </c>
      <c r="D3" s="53" t="s">
        <v>363</v>
      </c>
    </row>
    <row r="4" spans="1:4" x14ac:dyDescent="0.25">
      <c r="A4" s="54">
        <v>45717</v>
      </c>
      <c r="B4" s="55">
        <v>3797500</v>
      </c>
      <c r="C4" s="55">
        <v>1069500</v>
      </c>
      <c r="D4" s="56">
        <v>117900</v>
      </c>
    </row>
    <row r="5" spans="1:4" x14ac:dyDescent="0.25">
      <c r="A5" s="54">
        <v>45718</v>
      </c>
      <c r="B5" s="55">
        <v>3452500</v>
      </c>
      <c r="C5" s="55">
        <v>411000</v>
      </c>
      <c r="D5" s="56">
        <v>58150</v>
      </c>
    </row>
    <row r="6" spans="1:4" x14ac:dyDescent="0.25">
      <c r="A6" s="54">
        <v>45719</v>
      </c>
      <c r="B6" s="55"/>
      <c r="C6" s="55"/>
      <c r="D6" s="56"/>
    </row>
    <row r="7" spans="1:4" x14ac:dyDescent="0.25">
      <c r="A7" s="54">
        <v>45720</v>
      </c>
      <c r="B7" s="55"/>
      <c r="C7" s="55"/>
      <c r="D7" s="56"/>
    </row>
    <row r="8" spans="1:4" x14ac:dyDescent="0.25">
      <c r="A8" s="54">
        <v>45721</v>
      </c>
      <c r="B8" s="55">
        <v>664500</v>
      </c>
      <c r="C8" s="55">
        <v>128500</v>
      </c>
      <c r="D8" s="56">
        <v>12350</v>
      </c>
    </row>
    <row r="9" spans="1:4" x14ac:dyDescent="0.25">
      <c r="A9" s="54">
        <v>45722</v>
      </c>
      <c r="B9" s="55">
        <v>1468500</v>
      </c>
      <c r="C9" s="55">
        <v>246000</v>
      </c>
      <c r="D9" s="56">
        <v>0</v>
      </c>
    </row>
    <row r="10" spans="1:4" x14ac:dyDescent="0.25">
      <c r="A10" s="54">
        <v>45723</v>
      </c>
      <c r="B10" s="55">
        <v>1653500</v>
      </c>
      <c r="C10" s="55">
        <v>504000</v>
      </c>
      <c r="D10" s="56">
        <v>152400</v>
      </c>
    </row>
    <row r="11" spans="1:4" x14ac:dyDescent="0.25">
      <c r="A11" s="54">
        <v>45724</v>
      </c>
      <c r="B11" s="55">
        <v>4781000</v>
      </c>
      <c r="C11" s="55">
        <v>1005500</v>
      </c>
      <c r="D11" s="56">
        <v>111200</v>
      </c>
    </row>
    <row r="12" spans="1:4" x14ac:dyDescent="0.25">
      <c r="A12" s="54">
        <v>45725</v>
      </c>
      <c r="B12" s="55">
        <v>3348000</v>
      </c>
      <c r="C12" s="55">
        <v>945500</v>
      </c>
      <c r="D12" s="56">
        <v>118900</v>
      </c>
    </row>
    <row r="13" spans="1:4" x14ac:dyDescent="0.25">
      <c r="A13" s="54">
        <v>45726</v>
      </c>
      <c r="B13" s="55"/>
      <c r="C13" s="55"/>
      <c r="D13" s="56"/>
    </row>
    <row r="14" spans="1:4" x14ac:dyDescent="0.25">
      <c r="A14" s="54">
        <v>45727</v>
      </c>
      <c r="B14" s="55"/>
      <c r="C14" s="55"/>
      <c r="D14" s="56"/>
    </row>
    <row r="15" spans="1:4" x14ac:dyDescent="0.25">
      <c r="A15" s="54">
        <v>45728</v>
      </c>
      <c r="B15" s="55">
        <v>952500</v>
      </c>
      <c r="C15" s="55">
        <v>246500</v>
      </c>
      <c r="D15" s="56">
        <v>62800</v>
      </c>
    </row>
    <row r="16" spans="1:4" x14ac:dyDescent="0.25">
      <c r="A16" s="54">
        <v>45729</v>
      </c>
      <c r="B16" s="55">
        <v>666000</v>
      </c>
      <c r="C16" s="55">
        <v>271500</v>
      </c>
      <c r="D16" s="56">
        <v>19550</v>
      </c>
    </row>
    <row r="17" spans="1:4" x14ac:dyDescent="0.25">
      <c r="A17" s="54">
        <v>45730</v>
      </c>
      <c r="B17" s="55">
        <v>1316000</v>
      </c>
      <c r="C17" s="55">
        <v>613500</v>
      </c>
      <c r="D17" s="56">
        <v>97300</v>
      </c>
    </row>
    <row r="18" spans="1:4" x14ac:dyDescent="0.25">
      <c r="A18" s="54">
        <v>45731</v>
      </c>
      <c r="B18" s="55">
        <v>3208500</v>
      </c>
      <c r="C18" s="55">
        <v>554500</v>
      </c>
      <c r="D18" s="56">
        <v>181200</v>
      </c>
    </row>
    <row r="19" spans="1:4" x14ac:dyDescent="0.25">
      <c r="A19" s="54">
        <v>45732</v>
      </c>
      <c r="B19" s="55">
        <v>2513000</v>
      </c>
      <c r="C19" s="55">
        <v>942500</v>
      </c>
      <c r="D19" s="56">
        <v>96000</v>
      </c>
    </row>
    <row r="20" spans="1:4" x14ac:dyDescent="0.25">
      <c r="A20" s="54">
        <v>45733</v>
      </c>
      <c r="B20" s="55"/>
      <c r="C20" s="55"/>
      <c r="D20" s="56"/>
    </row>
    <row r="21" spans="1:4" x14ac:dyDescent="0.25">
      <c r="A21" s="54">
        <v>45734</v>
      </c>
      <c r="B21" s="55"/>
      <c r="C21" s="55"/>
      <c r="D21" s="56"/>
    </row>
    <row r="22" spans="1:4" x14ac:dyDescent="0.25">
      <c r="A22" s="54">
        <v>45735</v>
      </c>
      <c r="B22" s="55">
        <v>1110000</v>
      </c>
      <c r="C22" s="55">
        <v>497000</v>
      </c>
      <c r="D22" s="56">
        <v>37050</v>
      </c>
    </row>
    <row r="23" spans="1:4" x14ac:dyDescent="0.25">
      <c r="A23" s="54">
        <v>45736</v>
      </c>
      <c r="B23" s="55">
        <v>976000</v>
      </c>
      <c r="C23" s="55">
        <v>386000</v>
      </c>
      <c r="D23" s="56">
        <v>90100</v>
      </c>
    </row>
    <row r="24" spans="1:4" x14ac:dyDescent="0.25">
      <c r="A24" s="54">
        <v>45737</v>
      </c>
      <c r="B24" s="55">
        <v>1315600</v>
      </c>
      <c r="C24" s="55">
        <v>561000</v>
      </c>
      <c r="D24" s="56">
        <v>53450</v>
      </c>
    </row>
    <row r="25" spans="1:4" x14ac:dyDescent="0.25">
      <c r="A25" s="54">
        <v>45738</v>
      </c>
      <c r="B25" s="55">
        <v>3812500</v>
      </c>
      <c r="C25" s="55">
        <v>597000</v>
      </c>
      <c r="D25" s="56">
        <v>132800</v>
      </c>
    </row>
    <row r="26" spans="1:4" x14ac:dyDescent="0.25">
      <c r="A26" s="54">
        <v>45739</v>
      </c>
      <c r="B26" s="55">
        <v>3157000</v>
      </c>
      <c r="C26" s="55">
        <v>447500</v>
      </c>
      <c r="D26" s="56">
        <v>146750</v>
      </c>
    </row>
    <row r="27" spans="1:4" x14ac:dyDescent="0.25">
      <c r="A27" s="54">
        <v>45740</v>
      </c>
      <c r="B27" s="55">
        <v>2350000</v>
      </c>
      <c r="C27" s="55">
        <v>868500</v>
      </c>
      <c r="D27" s="56">
        <v>155000</v>
      </c>
    </row>
    <row r="28" spans="1:4" x14ac:dyDescent="0.25">
      <c r="A28" s="54">
        <v>45741</v>
      </c>
      <c r="B28" s="55"/>
      <c r="C28" s="55"/>
      <c r="D28" s="56"/>
    </row>
    <row r="29" spans="1:4" x14ac:dyDescent="0.25">
      <c r="A29" s="54">
        <v>45742</v>
      </c>
      <c r="B29" s="55"/>
      <c r="C29" s="55"/>
      <c r="D29" s="56"/>
    </row>
    <row r="30" spans="1:4" x14ac:dyDescent="0.25">
      <c r="A30" s="54">
        <v>45743</v>
      </c>
      <c r="B30" s="55">
        <v>1124000</v>
      </c>
      <c r="C30" s="55">
        <v>224500</v>
      </c>
      <c r="D30" s="56">
        <v>0</v>
      </c>
    </row>
    <row r="31" spans="1:4" x14ac:dyDescent="0.25">
      <c r="A31" s="54">
        <v>45744</v>
      </c>
      <c r="B31" s="55">
        <v>2299800</v>
      </c>
      <c r="C31" s="55">
        <v>1102500</v>
      </c>
      <c r="D31" s="56">
        <v>157050</v>
      </c>
    </row>
    <row r="32" spans="1:4" x14ac:dyDescent="0.25">
      <c r="A32" s="54">
        <v>45745</v>
      </c>
      <c r="B32" s="55">
        <v>6007200</v>
      </c>
      <c r="C32" s="55">
        <v>1209400</v>
      </c>
      <c r="D32" s="56">
        <v>400550</v>
      </c>
    </row>
    <row r="33" spans="1:6" x14ac:dyDescent="0.25">
      <c r="A33" s="54">
        <v>45746</v>
      </c>
      <c r="B33" s="55">
        <v>4439900</v>
      </c>
      <c r="C33" s="55">
        <v>1762200</v>
      </c>
      <c r="D33" s="56">
        <v>155200</v>
      </c>
    </row>
    <row r="34" spans="1:6" x14ac:dyDescent="0.25">
      <c r="A34" s="54">
        <v>45747</v>
      </c>
      <c r="B34" s="55">
        <v>1579300</v>
      </c>
      <c r="C34" s="55">
        <v>665800</v>
      </c>
      <c r="D34" s="56">
        <v>92350</v>
      </c>
    </row>
    <row r="35" spans="1:6" x14ac:dyDescent="0.25">
      <c r="A35" s="57"/>
      <c r="B35" s="58"/>
      <c r="C35" s="58"/>
      <c r="D35" s="59"/>
    </row>
    <row r="36" spans="1:6" ht="21" x14ac:dyDescent="0.35">
      <c r="A36" s="60" t="s">
        <v>364</v>
      </c>
      <c r="B36" s="61">
        <f>SUM(B4:B34)</f>
        <v>55992800</v>
      </c>
      <c r="C36" s="61">
        <f>SUM(C4:C34)</f>
        <v>15259900</v>
      </c>
      <c r="D36" s="62">
        <f>SUM(D4:D34)</f>
        <v>2448050</v>
      </c>
      <c r="F36" s="64">
        <f>SUM(B36:D36)</f>
        <v>73700750</v>
      </c>
    </row>
    <row r="39" spans="1:6" x14ac:dyDescent="0.25">
      <c r="F39" s="63"/>
    </row>
  </sheetData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88"/>
  <sheetViews>
    <sheetView workbookViewId="0">
      <selection activeCell="A155" sqref="A155"/>
    </sheetView>
  </sheetViews>
  <sheetFormatPr baseColWidth="10" defaultRowHeight="15" x14ac:dyDescent="0.25"/>
  <cols>
    <col min="1" max="1" width="64.42578125" bestFit="1" customWidth="1"/>
    <col min="2" max="2" width="16.85546875" bestFit="1" customWidth="1"/>
    <col min="3" max="3" width="16.140625" bestFit="1" customWidth="1"/>
    <col min="4" max="4" width="18.140625" bestFit="1" customWidth="1"/>
    <col min="5" max="5" width="13.85546875" bestFit="1" customWidth="1"/>
    <col min="6" max="6" width="12.42578125" bestFit="1" customWidth="1"/>
    <col min="7" max="7" width="27.7109375" bestFit="1" customWidth="1"/>
    <col min="8" max="8" width="12" bestFit="1" customWidth="1"/>
    <col min="9" max="9" width="33" bestFit="1" customWidth="1"/>
  </cols>
  <sheetData>
    <row r="1" spans="1:10" ht="15.75" thickBot="1" x14ac:dyDescent="0.3">
      <c r="A1" s="10" t="s">
        <v>6</v>
      </c>
      <c r="B1" s="12" t="s">
        <v>2</v>
      </c>
      <c r="C1" s="10" t="s">
        <v>356</v>
      </c>
      <c r="D1" s="10" t="s">
        <v>357</v>
      </c>
      <c r="E1" s="10" t="s">
        <v>358</v>
      </c>
      <c r="F1" s="10" t="s">
        <v>380</v>
      </c>
      <c r="G1" s="10" t="s">
        <v>7</v>
      </c>
      <c r="H1" s="11" t="s">
        <v>8</v>
      </c>
      <c r="I1" s="10" t="s">
        <v>337</v>
      </c>
      <c r="J1" s="50" t="s">
        <v>360</v>
      </c>
    </row>
    <row r="2" spans="1:10" hidden="1" x14ac:dyDescent="0.25">
      <c r="A2" s="18" t="s">
        <v>138</v>
      </c>
      <c r="B2" s="19">
        <v>901086443</v>
      </c>
      <c r="C2" s="18"/>
      <c r="D2" s="20"/>
      <c r="E2" s="21"/>
      <c r="F2" s="21"/>
      <c r="G2" s="21" t="s">
        <v>139</v>
      </c>
      <c r="H2" s="22">
        <v>3165288931</v>
      </c>
      <c r="I2" s="20"/>
      <c r="J2" t="s">
        <v>5</v>
      </c>
    </row>
    <row r="3" spans="1:10" hidden="1" x14ac:dyDescent="0.25">
      <c r="A3" s="3" t="s">
        <v>229</v>
      </c>
      <c r="B3" s="35"/>
      <c r="C3" s="3"/>
      <c r="D3" s="3"/>
      <c r="E3" s="3"/>
      <c r="F3" s="3"/>
      <c r="G3" s="39"/>
      <c r="H3" s="40"/>
      <c r="I3" s="3"/>
      <c r="J3" t="s">
        <v>5</v>
      </c>
    </row>
    <row r="4" spans="1:10" hidden="1" x14ac:dyDescent="0.25">
      <c r="A4" s="1" t="str">
        <f>CONCATENATE(C4," ",D4," ",E4," ",F4)</f>
        <v>ALBA NELLY VALDES CUERO</v>
      </c>
      <c r="B4" s="23">
        <v>66885892</v>
      </c>
      <c r="C4" s="20" t="s">
        <v>173</v>
      </c>
      <c r="D4" s="20" t="s">
        <v>174</v>
      </c>
      <c r="E4" s="20" t="s">
        <v>175</v>
      </c>
      <c r="F4" s="20" t="s">
        <v>176</v>
      </c>
      <c r="G4" s="20" t="s">
        <v>177</v>
      </c>
      <c r="H4" s="26">
        <v>3225908464</v>
      </c>
      <c r="I4" s="20"/>
      <c r="J4" s="20" t="s">
        <v>32</v>
      </c>
    </row>
    <row r="5" spans="1:10" hidden="1" x14ac:dyDescent="0.25">
      <c r="A5" s="14" t="s">
        <v>92</v>
      </c>
      <c r="B5" s="16">
        <v>900147238</v>
      </c>
      <c r="C5" s="14"/>
      <c r="D5" s="14"/>
      <c r="E5" s="14"/>
      <c r="F5" s="14"/>
      <c r="G5" s="14" t="s">
        <v>93</v>
      </c>
      <c r="H5" s="14">
        <v>4853939</v>
      </c>
      <c r="I5" s="3"/>
      <c r="J5" t="s">
        <v>94</v>
      </c>
    </row>
    <row r="6" spans="1:10" hidden="1" x14ac:dyDescent="0.25">
      <c r="A6" s="18" t="s">
        <v>313</v>
      </c>
      <c r="B6" s="19">
        <v>29705164</v>
      </c>
      <c r="C6" s="18" t="s">
        <v>314</v>
      </c>
      <c r="D6" s="18" t="s">
        <v>315</v>
      </c>
      <c r="E6" s="18" t="s">
        <v>156</v>
      </c>
      <c r="F6" s="18" t="s">
        <v>316</v>
      </c>
      <c r="G6" s="18" t="s">
        <v>317</v>
      </c>
      <c r="H6" s="17">
        <v>3163471484</v>
      </c>
      <c r="I6" s="18"/>
      <c r="J6" t="s">
        <v>5</v>
      </c>
    </row>
    <row r="7" spans="1:10" hidden="1" x14ac:dyDescent="0.25">
      <c r="A7" s="1" t="s">
        <v>14</v>
      </c>
      <c r="B7" s="35">
        <v>830002366</v>
      </c>
      <c r="C7" s="3" t="s">
        <v>4</v>
      </c>
      <c r="D7" s="3" t="s">
        <v>4</v>
      </c>
      <c r="E7" s="3" t="s">
        <v>4</v>
      </c>
      <c r="F7" s="3" t="s">
        <v>4</v>
      </c>
      <c r="G7" s="14" t="s">
        <v>15</v>
      </c>
      <c r="H7" s="34"/>
      <c r="I7" s="3"/>
      <c r="J7" t="s">
        <v>5</v>
      </c>
    </row>
    <row r="8" spans="1:10" hidden="1" x14ac:dyDescent="0.25">
      <c r="A8" s="3" t="s">
        <v>72</v>
      </c>
      <c r="B8" s="35"/>
      <c r="C8" s="3"/>
      <c r="D8" s="3"/>
      <c r="E8" s="3"/>
      <c r="F8" s="3"/>
      <c r="G8" s="3"/>
      <c r="H8" s="34"/>
      <c r="I8" s="3"/>
      <c r="J8" t="s">
        <v>9</v>
      </c>
    </row>
    <row r="9" spans="1:10" hidden="1" x14ac:dyDescent="0.25">
      <c r="A9" s="1" t="str">
        <f>CONCATENATE(C9," ",D9," ",E9," ",F9)</f>
        <v xml:space="preserve">BREINER  RESTREPO </v>
      </c>
      <c r="B9" s="19"/>
      <c r="C9" s="18" t="s">
        <v>262</v>
      </c>
      <c r="D9" s="18"/>
      <c r="E9" s="30" t="s">
        <v>263</v>
      </c>
      <c r="F9" s="30"/>
      <c r="G9" s="30"/>
      <c r="H9" s="31"/>
      <c r="I9" s="18"/>
      <c r="J9" t="s">
        <v>32</v>
      </c>
    </row>
    <row r="10" spans="1:10" hidden="1" x14ac:dyDescent="0.25">
      <c r="A10" s="1" t="s">
        <v>345</v>
      </c>
      <c r="B10" s="8">
        <v>1112219602</v>
      </c>
      <c r="C10" s="1" t="s">
        <v>327</v>
      </c>
      <c r="D10" s="1"/>
      <c r="E10" s="1" t="s">
        <v>208</v>
      </c>
      <c r="F10" s="1"/>
      <c r="G10" s="1" t="s">
        <v>328</v>
      </c>
      <c r="H10" s="4">
        <v>3116075631</v>
      </c>
      <c r="I10" s="1"/>
      <c r="J10" t="s">
        <v>32</v>
      </c>
    </row>
    <row r="11" spans="1:10" hidden="1" x14ac:dyDescent="0.25">
      <c r="A11" s="20" t="s">
        <v>183</v>
      </c>
      <c r="B11" s="23"/>
      <c r="C11" s="18"/>
      <c r="D11" s="18"/>
      <c r="E11" s="18"/>
      <c r="F11" s="18"/>
      <c r="G11" s="24"/>
      <c r="H11" s="25"/>
      <c r="I11" s="20"/>
      <c r="J11" t="s">
        <v>5</v>
      </c>
    </row>
    <row r="12" spans="1:10" hidden="1" x14ac:dyDescent="0.25">
      <c r="A12" s="1" t="str">
        <f>CONCATENATE(C12," ",D12," ",E12," ",F12)</f>
        <v xml:space="preserve">CAMILA   GOMEZ </v>
      </c>
      <c r="B12" s="19">
        <v>1113696548</v>
      </c>
      <c r="C12" s="18" t="s">
        <v>207</v>
      </c>
      <c r="D12" s="18"/>
      <c r="E12" s="18" t="s">
        <v>208</v>
      </c>
      <c r="F12" s="18"/>
      <c r="G12" s="18" t="s">
        <v>209</v>
      </c>
      <c r="H12" s="17">
        <v>3113807982</v>
      </c>
      <c r="I12" s="18"/>
      <c r="J12" t="s">
        <v>32</v>
      </c>
    </row>
    <row r="13" spans="1:10" hidden="1" x14ac:dyDescent="0.25">
      <c r="A13" s="1" t="s">
        <v>73</v>
      </c>
      <c r="B13" s="8">
        <v>800249860</v>
      </c>
      <c r="C13" s="3" t="s">
        <v>4</v>
      </c>
      <c r="D13" s="3" t="s">
        <v>4</v>
      </c>
      <c r="E13" s="3" t="s">
        <v>4</v>
      </c>
      <c r="F13" s="3" t="s">
        <v>4</v>
      </c>
      <c r="G13" s="1" t="s">
        <v>74</v>
      </c>
      <c r="H13" s="4">
        <v>3210000</v>
      </c>
      <c r="I13" s="6" t="s">
        <v>75</v>
      </c>
      <c r="J13" t="s">
        <v>46</v>
      </c>
    </row>
    <row r="14" spans="1:10" hidden="1" x14ac:dyDescent="0.25">
      <c r="A14" s="18" t="s">
        <v>140</v>
      </c>
      <c r="B14" s="19">
        <v>900560653</v>
      </c>
      <c r="C14" s="18"/>
      <c r="D14" s="20"/>
      <c r="E14" s="21"/>
      <c r="F14" s="21"/>
      <c r="G14" s="21" t="s">
        <v>141</v>
      </c>
      <c r="H14" s="22">
        <v>2755717</v>
      </c>
      <c r="I14" s="28" t="s">
        <v>142</v>
      </c>
      <c r="J14" t="s">
        <v>9</v>
      </c>
    </row>
    <row r="15" spans="1:10" hidden="1" x14ac:dyDescent="0.25">
      <c r="A15" s="18" t="s">
        <v>226</v>
      </c>
      <c r="B15" s="19">
        <v>901265547</v>
      </c>
      <c r="C15" s="18"/>
      <c r="D15" s="18"/>
      <c r="E15" s="18"/>
      <c r="F15" s="18"/>
      <c r="G15" s="18" t="s">
        <v>227</v>
      </c>
      <c r="H15" s="17">
        <v>3163927576</v>
      </c>
      <c r="I15" s="28" t="s">
        <v>228</v>
      </c>
      <c r="J15" t="s">
        <v>9</v>
      </c>
    </row>
    <row r="16" spans="1:10" hidden="1" x14ac:dyDescent="0.25">
      <c r="A16" s="1" t="s">
        <v>343</v>
      </c>
      <c r="B16" s="8">
        <v>1112223387</v>
      </c>
      <c r="C16" s="1" t="s">
        <v>333</v>
      </c>
      <c r="D16" s="1" t="s">
        <v>334</v>
      </c>
      <c r="E16" s="1" t="s">
        <v>335</v>
      </c>
      <c r="F16" s="1"/>
      <c r="G16" s="1" t="s">
        <v>336</v>
      </c>
      <c r="H16" s="4">
        <v>3188276966</v>
      </c>
      <c r="I16" s="1"/>
      <c r="J16" t="s">
        <v>32</v>
      </c>
    </row>
    <row r="17" spans="1:10" hidden="1" x14ac:dyDescent="0.25">
      <c r="A17" s="1" t="s">
        <v>344</v>
      </c>
      <c r="B17" s="8">
        <v>1193134535</v>
      </c>
      <c r="C17" s="1" t="s">
        <v>329</v>
      </c>
      <c r="D17" s="1" t="s">
        <v>330</v>
      </c>
      <c r="E17" s="1" t="s">
        <v>331</v>
      </c>
      <c r="F17" s="1"/>
      <c r="G17" s="1" t="s">
        <v>332</v>
      </c>
      <c r="H17" s="4">
        <v>3235481899</v>
      </c>
      <c r="I17" s="1"/>
      <c r="J17" t="s">
        <v>32</v>
      </c>
    </row>
    <row r="18" spans="1:10" hidden="1" x14ac:dyDescent="0.25">
      <c r="A18" s="18" t="s">
        <v>170</v>
      </c>
      <c r="B18" s="19">
        <v>29707452</v>
      </c>
      <c r="C18" s="18"/>
      <c r="D18" s="20"/>
      <c r="E18" s="21"/>
      <c r="F18" s="21"/>
      <c r="G18" s="21"/>
      <c r="H18" s="22"/>
      <c r="I18" s="20"/>
      <c r="J18" t="s">
        <v>9</v>
      </c>
    </row>
    <row r="19" spans="1:10" hidden="1" x14ac:dyDescent="0.25">
      <c r="A19" s="3" t="s">
        <v>60</v>
      </c>
      <c r="B19" s="8">
        <v>94303413</v>
      </c>
      <c r="C19" s="3" t="s">
        <v>61</v>
      </c>
      <c r="D19" s="3" t="s">
        <v>62</v>
      </c>
      <c r="E19" s="14" t="s">
        <v>63</v>
      </c>
      <c r="F19" s="14" t="s">
        <v>64</v>
      </c>
      <c r="G19" s="14" t="s">
        <v>65</v>
      </c>
      <c r="H19" s="14">
        <v>3136595942</v>
      </c>
      <c r="I19" s="3"/>
      <c r="J19" t="s">
        <v>5</v>
      </c>
    </row>
    <row r="20" spans="1:10" hidden="1" x14ac:dyDescent="0.25">
      <c r="A20" s="3" t="s">
        <v>76</v>
      </c>
      <c r="B20" s="35">
        <v>830122566</v>
      </c>
      <c r="C20" s="3"/>
      <c r="D20" s="3"/>
      <c r="E20" s="3"/>
      <c r="F20" s="3"/>
      <c r="G20" s="39"/>
      <c r="H20" s="40"/>
      <c r="I20" s="3"/>
      <c r="J20" t="s">
        <v>46</v>
      </c>
    </row>
    <row r="21" spans="1:10" hidden="1" x14ac:dyDescent="0.25">
      <c r="A21" s="1" t="s">
        <v>40</v>
      </c>
      <c r="B21" s="35">
        <v>800153993</v>
      </c>
      <c r="C21" s="3" t="s">
        <v>4</v>
      </c>
      <c r="D21" s="3" t="s">
        <v>4</v>
      </c>
      <c r="E21" s="3" t="s">
        <v>4</v>
      </c>
      <c r="F21" s="3" t="s">
        <v>4</v>
      </c>
      <c r="G21" s="36"/>
      <c r="H21" s="34"/>
      <c r="I21" s="3"/>
      <c r="J21" t="s">
        <v>46</v>
      </c>
    </row>
    <row r="22" spans="1:10" hidden="1" x14ac:dyDescent="0.25">
      <c r="A22" s="3" t="s">
        <v>295</v>
      </c>
      <c r="B22" s="35">
        <v>901249410</v>
      </c>
      <c r="C22" s="3"/>
      <c r="D22" s="3"/>
      <c r="E22" s="3"/>
      <c r="F22" s="3"/>
      <c r="G22" s="3" t="s">
        <v>296</v>
      </c>
      <c r="H22" s="34">
        <v>2856473</v>
      </c>
      <c r="I22" s="3"/>
      <c r="J22" t="s">
        <v>5</v>
      </c>
    </row>
    <row r="23" spans="1:10" hidden="1" x14ac:dyDescent="0.25">
      <c r="A23" s="1" t="s">
        <v>203</v>
      </c>
      <c r="B23" s="8">
        <v>901344319</v>
      </c>
      <c r="C23" s="1"/>
      <c r="D23" s="1"/>
      <c r="E23" s="1"/>
      <c r="F23" s="1"/>
      <c r="G23" s="1" t="s">
        <v>204</v>
      </c>
      <c r="H23" s="4"/>
      <c r="I23" s="1"/>
      <c r="J23" t="s">
        <v>5</v>
      </c>
    </row>
    <row r="24" spans="1:10" hidden="1" x14ac:dyDescent="0.25">
      <c r="A24" s="1" t="s">
        <v>324</v>
      </c>
      <c r="B24" s="8">
        <v>800004599</v>
      </c>
      <c r="C24" s="1"/>
      <c r="D24" s="3"/>
      <c r="E24" s="14"/>
      <c r="F24" s="14"/>
      <c r="G24" s="14" t="s">
        <v>325</v>
      </c>
      <c r="H24" s="15"/>
      <c r="I24" s="3"/>
      <c r="J24" t="s">
        <v>9</v>
      </c>
    </row>
    <row r="25" spans="1:10" hidden="1" x14ac:dyDescent="0.25">
      <c r="A25" s="44" t="s">
        <v>194</v>
      </c>
      <c r="B25" s="43"/>
      <c r="C25" s="1"/>
      <c r="D25" s="1"/>
      <c r="E25" s="1"/>
      <c r="F25" s="1"/>
      <c r="G25" s="44"/>
      <c r="H25" s="37">
        <v>3178278606</v>
      </c>
      <c r="I25" s="37"/>
      <c r="J25" t="s">
        <v>5</v>
      </c>
    </row>
    <row r="26" spans="1:10" hidden="1" x14ac:dyDescent="0.25">
      <c r="A26" s="1" t="s">
        <v>171</v>
      </c>
      <c r="B26" s="35">
        <v>10085753</v>
      </c>
      <c r="C26" s="3"/>
      <c r="D26" s="3"/>
      <c r="E26" s="3"/>
      <c r="F26" s="3"/>
      <c r="G26" s="36" t="s">
        <v>172</v>
      </c>
      <c r="H26" s="34">
        <v>3163314926</v>
      </c>
      <c r="I26" s="6"/>
      <c r="J26" t="s">
        <v>9</v>
      </c>
    </row>
    <row r="27" spans="1:10" hidden="1" x14ac:dyDescent="0.25">
      <c r="A27" s="1" t="str">
        <f>CONCATENATE(C27," ",D27," ",E27," ",F27)</f>
        <v xml:space="preserve">CRISTIAN  GALLEGO </v>
      </c>
      <c r="B27" s="19"/>
      <c r="C27" s="18" t="s">
        <v>81</v>
      </c>
      <c r="D27" s="20"/>
      <c r="E27" s="21" t="s">
        <v>37</v>
      </c>
      <c r="F27" s="21"/>
      <c r="G27" s="21"/>
      <c r="H27" s="22"/>
      <c r="I27" s="20"/>
      <c r="J27" t="s">
        <v>32</v>
      </c>
    </row>
    <row r="28" spans="1:10" hidden="1" x14ac:dyDescent="0.25">
      <c r="A28" s="1" t="s">
        <v>347</v>
      </c>
      <c r="B28" s="8">
        <v>1112224034</v>
      </c>
      <c r="C28" s="1" t="s">
        <v>81</v>
      </c>
      <c r="D28" s="1" t="s">
        <v>238</v>
      </c>
      <c r="E28" s="1" t="s">
        <v>239</v>
      </c>
      <c r="F28" s="1" t="s">
        <v>240</v>
      </c>
      <c r="G28" s="1" t="s">
        <v>241</v>
      </c>
      <c r="H28" s="4">
        <v>3104657035</v>
      </c>
      <c r="I28" s="1"/>
      <c r="J28" t="s">
        <v>32</v>
      </c>
    </row>
    <row r="29" spans="1:10" hidden="1" x14ac:dyDescent="0.25">
      <c r="A29" s="1" t="s">
        <v>341</v>
      </c>
      <c r="B29" s="35">
        <v>1006218066</v>
      </c>
      <c r="C29" s="3" t="s">
        <v>81</v>
      </c>
      <c r="D29" s="3" t="s">
        <v>298</v>
      </c>
      <c r="E29" s="3" t="s">
        <v>299</v>
      </c>
      <c r="F29" s="3" t="s">
        <v>69</v>
      </c>
      <c r="G29" s="3" t="s">
        <v>300</v>
      </c>
      <c r="H29" s="34">
        <v>3215272745</v>
      </c>
      <c r="I29" s="3"/>
      <c r="J29" t="s">
        <v>32</v>
      </c>
    </row>
    <row r="30" spans="1:10" hidden="1" x14ac:dyDescent="0.25">
      <c r="A30" s="1" t="s">
        <v>349</v>
      </c>
      <c r="B30" s="8">
        <v>1006035547</v>
      </c>
      <c r="C30" s="1" t="s">
        <v>214</v>
      </c>
      <c r="D30" s="1" t="s">
        <v>215</v>
      </c>
      <c r="E30" s="37" t="s">
        <v>216</v>
      </c>
      <c r="F30" s="37" t="s">
        <v>217</v>
      </c>
      <c r="G30" s="37" t="s">
        <v>218</v>
      </c>
      <c r="H30" s="38">
        <v>3122529315</v>
      </c>
      <c r="I30" s="1"/>
      <c r="J30" t="s">
        <v>32</v>
      </c>
    </row>
    <row r="31" spans="1:10" hidden="1" x14ac:dyDescent="0.25">
      <c r="A31" s="20" t="s">
        <v>198</v>
      </c>
      <c r="B31" s="23">
        <v>12911666</v>
      </c>
      <c r="C31" s="20" t="s">
        <v>199</v>
      </c>
      <c r="D31" s="20" t="s">
        <v>127</v>
      </c>
      <c r="E31" s="20" t="s">
        <v>200</v>
      </c>
      <c r="F31" s="20"/>
      <c r="G31" s="20" t="s">
        <v>201</v>
      </c>
      <c r="H31" s="26">
        <v>3216713381</v>
      </c>
      <c r="I31" s="20"/>
      <c r="J31" t="s">
        <v>202</v>
      </c>
    </row>
    <row r="32" spans="1:10" hidden="1" x14ac:dyDescent="0.25">
      <c r="A32" s="3" t="s">
        <v>80</v>
      </c>
      <c r="B32" s="35">
        <v>900276962</v>
      </c>
      <c r="C32" s="1"/>
      <c r="D32" s="1"/>
      <c r="E32" s="1"/>
      <c r="F32" s="1"/>
      <c r="G32" s="39"/>
      <c r="H32" s="40">
        <v>18000120201</v>
      </c>
      <c r="I32" s="3"/>
      <c r="J32" t="s">
        <v>9</v>
      </c>
    </row>
    <row r="33" spans="1:10" hidden="1" x14ac:dyDescent="0.25">
      <c r="A33" s="1" t="str">
        <f>CONCATENATE(C33," ",D33," ",E33," ",F33)</f>
        <v xml:space="preserve">DANEISY  GARCIA </v>
      </c>
      <c r="B33" s="19">
        <v>1003152815</v>
      </c>
      <c r="C33" s="18" t="s">
        <v>125</v>
      </c>
      <c r="D33" s="18"/>
      <c r="E33" s="18" t="s">
        <v>126</v>
      </c>
      <c r="F33" s="18"/>
      <c r="G33" s="18" t="s">
        <v>82</v>
      </c>
      <c r="H33" s="17">
        <v>3103083893</v>
      </c>
      <c r="I33" s="18"/>
      <c r="J33" t="s">
        <v>32</v>
      </c>
    </row>
    <row r="34" spans="1:10" hidden="1" x14ac:dyDescent="0.25">
      <c r="A34" s="1" t="s">
        <v>350</v>
      </c>
      <c r="B34" s="8">
        <v>1114621431</v>
      </c>
      <c r="C34" s="1" t="s">
        <v>259</v>
      </c>
      <c r="D34" s="1"/>
      <c r="E34" s="1" t="s">
        <v>260</v>
      </c>
      <c r="F34" s="1" t="s">
        <v>221</v>
      </c>
      <c r="G34" s="1" t="s">
        <v>261</v>
      </c>
      <c r="H34" s="4">
        <v>3027634803</v>
      </c>
      <c r="I34" s="1"/>
      <c r="J34" t="s">
        <v>32</v>
      </c>
    </row>
    <row r="35" spans="1:10" hidden="1" x14ac:dyDescent="0.25">
      <c r="A35" s="1" t="s">
        <v>340</v>
      </c>
      <c r="B35" s="8">
        <v>1114621502</v>
      </c>
      <c r="C35" s="1" t="s">
        <v>219</v>
      </c>
      <c r="D35" s="1" t="s">
        <v>220</v>
      </c>
      <c r="E35" s="37" t="s">
        <v>221</v>
      </c>
      <c r="F35" s="37" t="s">
        <v>222</v>
      </c>
      <c r="G35" s="37" t="s">
        <v>223</v>
      </c>
      <c r="H35" s="38">
        <v>3217975473</v>
      </c>
      <c r="I35" s="1"/>
      <c r="J35" t="s">
        <v>32</v>
      </c>
    </row>
    <row r="36" spans="1:10" hidden="1" x14ac:dyDescent="0.25">
      <c r="A36" s="18" t="s">
        <v>264</v>
      </c>
      <c r="B36" s="19">
        <v>835000779</v>
      </c>
      <c r="C36" s="18"/>
      <c r="D36" s="18"/>
      <c r="E36" s="30"/>
      <c r="F36" s="30"/>
      <c r="G36" s="30" t="s">
        <v>265</v>
      </c>
      <c r="H36" s="31">
        <v>2757817</v>
      </c>
      <c r="I36" s="18"/>
      <c r="J36" t="s">
        <v>9</v>
      </c>
    </row>
    <row r="37" spans="1:10" hidden="1" x14ac:dyDescent="0.25">
      <c r="A37" s="18" t="s">
        <v>297</v>
      </c>
      <c r="B37" s="23">
        <v>860514592</v>
      </c>
      <c r="C37" s="20"/>
      <c r="D37" s="20"/>
      <c r="E37" s="20"/>
      <c r="F37" s="20"/>
      <c r="G37" s="21"/>
      <c r="H37" s="26"/>
      <c r="I37" s="20"/>
      <c r="J37" t="s">
        <v>9</v>
      </c>
    </row>
    <row r="38" spans="1:10" hidden="1" x14ac:dyDescent="0.25">
      <c r="A38" s="1" t="s">
        <v>167</v>
      </c>
      <c r="B38" s="8">
        <v>66660257</v>
      </c>
      <c r="C38" s="1"/>
      <c r="D38" s="3"/>
      <c r="E38" s="14"/>
      <c r="F38" s="14"/>
      <c r="G38" s="14" t="s">
        <v>97</v>
      </c>
      <c r="H38" s="15">
        <v>3005547057</v>
      </c>
      <c r="I38" s="3"/>
      <c r="J38" t="s">
        <v>5</v>
      </c>
    </row>
    <row r="39" spans="1:10" hidden="1" x14ac:dyDescent="0.25">
      <c r="A39" s="14" t="s">
        <v>167</v>
      </c>
      <c r="B39" s="16">
        <v>66660257</v>
      </c>
      <c r="C39" s="14"/>
      <c r="D39" s="14"/>
      <c r="E39" s="14"/>
      <c r="F39" s="14"/>
      <c r="G39" s="14" t="s">
        <v>180</v>
      </c>
      <c r="H39" s="14">
        <v>3005547057</v>
      </c>
      <c r="I39" s="3"/>
      <c r="J39" t="s">
        <v>5</v>
      </c>
    </row>
    <row r="40" spans="1:10" hidden="1" x14ac:dyDescent="0.25">
      <c r="A40" s="3" t="s">
        <v>87</v>
      </c>
      <c r="B40" s="39">
        <v>901473419</v>
      </c>
      <c r="C40" s="3"/>
      <c r="D40" s="3"/>
      <c r="E40" s="3"/>
      <c r="F40" s="3"/>
      <c r="G40" s="34" t="s">
        <v>88</v>
      </c>
      <c r="H40" s="42">
        <v>3147560646</v>
      </c>
      <c r="I40" s="6" t="s">
        <v>89</v>
      </c>
      <c r="J40" t="s">
        <v>5</v>
      </c>
    </row>
    <row r="41" spans="1:10" hidden="1" x14ac:dyDescent="0.25">
      <c r="A41" s="18" t="s">
        <v>154</v>
      </c>
      <c r="B41" s="19">
        <v>1006216746</v>
      </c>
      <c r="C41" s="18" t="s">
        <v>155</v>
      </c>
      <c r="D41" s="20"/>
      <c r="E41" s="21" t="s">
        <v>156</v>
      </c>
      <c r="F41" s="21" t="s">
        <v>157</v>
      </c>
      <c r="G41" s="21" t="s">
        <v>158</v>
      </c>
      <c r="H41" s="22">
        <v>3214293700</v>
      </c>
      <c r="I41" s="20"/>
      <c r="J41" t="s">
        <v>5</v>
      </c>
    </row>
    <row r="42" spans="1:10" hidden="1" x14ac:dyDescent="0.25">
      <c r="A42" s="18" t="s">
        <v>44</v>
      </c>
      <c r="B42" s="23">
        <v>6406403</v>
      </c>
      <c r="C42" s="20" t="s">
        <v>4</v>
      </c>
      <c r="D42" s="20" t="s">
        <v>4</v>
      </c>
      <c r="E42" s="20" t="s">
        <v>4</v>
      </c>
      <c r="F42" s="20" t="s">
        <v>4</v>
      </c>
      <c r="G42" s="21" t="s">
        <v>45</v>
      </c>
      <c r="H42" s="26">
        <v>2670572</v>
      </c>
      <c r="I42" s="20"/>
      <c r="J42" t="s">
        <v>5</v>
      </c>
    </row>
    <row r="43" spans="1:10" hidden="1" x14ac:dyDescent="0.25">
      <c r="A43" s="20" t="s">
        <v>246</v>
      </c>
      <c r="B43" s="23">
        <v>900990648</v>
      </c>
      <c r="C43" s="20"/>
      <c r="D43" s="20"/>
      <c r="E43" s="20"/>
      <c r="F43" s="20"/>
      <c r="G43" s="20" t="s">
        <v>247</v>
      </c>
      <c r="H43" s="26">
        <v>2873726</v>
      </c>
      <c r="I43" s="20"/>
      <c r="J43" t="s">
        <v>9</v>
      </c>
    </row>
    <row r="44" spans="1:10" hidden="1" x14ac:dyDescent="0.25">
      <c r="A44" s="1" t="s">
        <v>56</v>
      </c>
      <c r="B44" s="8">
        <v>815003414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57</v>
      </c>
      <c r="H44" s="4">
        <v>3218057166</v>
      </c>
      <c r="I44" s="1"/>
      <c r="J44" t="s">
        <v>5</v>
      </c>
    </row>
    <row r="45" spans="1:10" hidden="1" x14ac:dyDescent="0.25">
      <c r="A45" s="18" t="s">
        <v>279</v>
      </c>
      <c r="B45" s="23">
        <v>16856459</v>
      </c>
      <c r="C45" s="20" t="s">
        <v>280</v>
      </c>
      <c r="D45" s="20"/>
      <c r="E45" s="20" t="s">
        <v>281</v>
      </c>
      <c r="F45" s="20"/>
      <c r="G45" s="21" t="s">
        <v>282</v>
      </c>
      <c r="H45" s="26">
        <v>2670487</v>
      </c>
      <c r="I45" s="20"/>
      <c r="J45" t="s">
        <v>9</v>
      </c>
    </row>
    <row r="46" spans="1:10" hidden="1" x14ac:dyDescent="0.25">
      <c r="A46" s="20" t="s">
        <v>310</v>
      </c>
      <c r="B46" s="23">
        <v>860026130</v>
      </c>
      <c r="C46" s="20"/>
      <c r="D46" s="20"/>
      <c r="E46" s="20"/>
      <c r="F46" s="20"/>
      <c r="G46" s="20" t="s">
        <v>311</v>
      </c>
      <c r="H46" s="26">
        <v>3207503292</v>
      </c>
      <c r="I46" s="20"/>
      <c r="J46" t="s">
        <v>9</v>
      </c>
    </row>
    <row r="47" spans="1:10" hidden="1" x14ac:dyDescent="0.25">
      <c r="A47" s="20" t="s">
        <v>152</v>
      </c>
      <c r="B47" s="23">
        <v>860026123</v>
      </c>
      <c r="C47" s="20"/>
      <c r="D47" s="20"/>
      <c r="E47" s="20"/>
      <c r="F47" s="20"/>
      <c r="G47" s="20" t="s">
        <v>153</v>
      </c>
      <c r="H47" s="26">
        <v>2670003</v>
      </c>
      <c r="I47" s="20"/>
      <c r="J47" t="s">
        <v>9</v>
      </c>
    </row>
    <row r="48" spans="1:10" hidden="1" x14ac:dyDescent="0.25">
      <c r="A48" s="18" t="s">
        <v>195</v>
      </c>
      <c r="B48" s="23">
        <v>900433601</v>
      </c>
      <c r="C48" s="20"/>
      <c r="D48" s="20"/>
      <c r="E48" s="20"/>
      <c r="F48" s="20"/>
      <c r="G48" s="27" t="s">
        <v>196</v>
      </c>
      <c r="H48" s="26">
        <v>2855584</v>
      </c>
      <c r="I48" s="28"/>
      <c r="J48" t="s">
        <v>9</v>
      </c>
    </row>
    <row r="49" spans="1:10" hidden="1" x14ac:dyDescent="0.25">
      <c r="A49" s="21" t="s">
        <v>205</v>
      </c>
      <c r="B49" s="29"/>
      <c r="C49" s="21"/>
      <c r="D49" s="21"/>
      <c r="E49" s="21"/>
      <c r="F49" s="21"/>
      <c r="G49" s="21" t="s">
        <v>206</v>
      </c>
      <c r="H49" s="21"/>
      <c r="I49" s="20"/>
      <c r="J49" t="s">
        <v>9</v>
      </c>
    </row>
    <row r="50" spans="1:10" hidden="1" x14ac:dyDescent="0.25">
      <c r="A50" s="18" t="s">
        <v>285</v>
      </c>
      <c r="B50" s="19">
        <v>6403376</v>
      </c>
      <c r="C50" s="18" t="s">
        <v>36</v>
      </c>
      <c r="D50" s="20" t="s">
        <v>286</v>
      </c>
      <c r="E50" s="21" t="s">
        <v>239</v>
      </c>
      <c r="F50" s="21"/>
      <c r="G50" s="21" t="s">
        <v>287</v>
      </c>
      <c r="H50" s="22">
        <v>3217862287</v>
      </c>
      <c r="I50" s="20"/>
      <c r="J50" t="s">
        <v>9</v>
      </c>
    </row>
    <row r="51" spans="1:10" hidden="1" x14ac:dyDescent="0.25">
      <c r="A51" s="18" t="s">
        <v>230</v>
      </c>
      <c r="B51" s="19"/>
      <c r="C51" s="18"/>
      <c r="D51" s="18"/>
      <c r="E51" s="18"/>
      <c r="F51" s="18"/>
      <c r="G51" s="18"/>
      <c r="H51" s="17"/>
      <c r="I51" s="18"/>
      <c r="J51" t="s">
        <v>121</v>
      </c>
    </row>
    <row r="52" spans="1:10" hidden="1" x14ac:dyDescent="0.25">
      <c r="A52" s="3" t="s">
        <v>105</v>
      </c>
      <c r="B52" s="35">
        <v>901398473</v>
      </c>
      <c r="C52" s="1"/>
      <c r="D52" s="1"/>
      <c r="E52" s="1"/>
      <c r="F52" s="1"/>
      <c r="G52" s="39" t="s">
        <v>106</v>
      </c>
      <c r="H52" s="40">
        <v>3166151651</v>
      </c>
      <c r="I52" s="3"/>
      <c r="J52" t="s">
        <v>5</v>
      </c>
    </row>
    <row r="53" spans="1:10" hidden="1" x14ac:dyDescent="0.25">
      <c r="A53" s="3" t="s">
        <v>17</v>
      </c>
      <c r="B53" s="35">
        <v>94302384</v>
      </c>
      <c r="C53" s="3" t="s">
        <v>4</v>
      </c>
      <c r="D53" s="3" t="s">
        <v>4</v>
      </c>
      <c r="E53" s="3" t="s">
        <v>4</v>
      </c>
      <c r="F53" s="3" t="s">
        <v>4</v>
      </c>
      <c r="G53" s="3" t="s">
        <v>16</v>
      </c>
      <c r="H53" s="34">
        <v>3187141443</v>
      </c>
      <c r="I53" s="3" t="s">
        <v>18</v>
      </c>
      <c r="J53" t="s">
        <v>5</v>
      </c>
    </row>
    <row r="54" spans="1:10" hidden="1" x14ac:dyDescent="0.25">
      <c r="A54" s="1" t="s">
        <v>17</v>
      </c>
      <c r="B54" s="35">
        <v>94302384</v>
      </c>
      <c r="C54" s="1" t="s">
        <v>4</v>
      </c>
      <c r="D54" s="1" t="s">
        <v>4</v>
      </c>
      <c r="E54" s="1" t="s">
        <v>4</v>
      </c>
      <c r="F54" s="1" t="s">
        <v>4</v>
      </c>
      <c r="G54" s="1" t="s">
        <v>54</v>
      </c>
      <c r="H54" s="4">
        <v>3187141441</v>
      </c>
      <c r="I54" s="1" t="s">
        <v>18</v>
      </c>
      <c r="J54" t="s">
        <v>5</v>
      </c>
    </row>
    <row r="55" spans="1:10" hidden="1" x14ac:dyDescent="0.25">
      <c r="A55" s="20" t="s">
        <v>17</v>
      </c>
      <c r="B55" s="23">
        <v>94302384</v>
      </c>
      <c r="C55" s="20" t="s">
        <v>4</v>
      </c>
      <c r="D55" s="20" t="s">
        <v>4</v>
      </c>
      <c r="E55" s="20" t="s">
        <v>4</v>
      </c>
      <c r="F55" s="20" t="s">
        <v>4</v>
      </c>
      <c r="G55" s="20" t="s">
        <v>55</v>
      </c>
      <c r="H55" s="26">
        <v>3187141442</v>
      </c>
      <c r="I55" s="20" t="s">
        <v>18</v>
      </c>
      <c r="J55" t="s">
        <v>5</v>
      </c>
    </row>
    <row r="56" spans="1:10" hidden="1" x14ac:dyDescent="0.25">
      <c r="A56" s="18" t="s">
        <v>159</v>
      </c>
      <c r="B56" s="19">
        <v>800020724</v>
      </c>
      <c r="C56" s="18"/>
      <c r="D56" s="20"/>
      <c r="E56" s="21"/>
      <c r="F56" s="21"/>
      <c r="G56" s="21" t="s">
        <v>160</v>
      </c>
      <c r="H56" s="22">
        <v>3117691009</v>
      </c>
      <c r="I56" s="20"/>
      <c r="J56" t="s">
        <v>9</v>
      </c>
    </row>
    <row r="57" spans="1:10" hidden="1" x14ac:dyDescent="0.25">
      <c r="A57" s="18" t="s">
        <v>307</v>
      </c>
      <c r="B57" s="19">
        <v>830054539</v>
      </c>
      <c r="C57" s="18"/>
      <c r="D57" s="18"/>
      <c r="E57" s="18"/>
      <c r="F57" s="18"/>
      <c r="G57" s="18"/>
      <c r="H57" s="17"/>
      <c r="I57" s="18"/>
      <c r="J57" t="s">
        <v>9</v>
      </c>
    </row>
    <row r="58" spans="1:10" hidden="1" x14ac:dyDescent="0.25">
      <c r="A58" s="1" t="s">
        <v>23</v>
      </c>
      <c r="B58" s="8"/>
      <c r="C58" s="1" t="s">
        <v>4</v>
      </c>
      <c r="D58" s="1" t="s">
        <v>4</v>
      </c>
      <c r="E58" s="1" t="s">
        <v>4</v>
      </c>
      <c r="F58" s="1" t="s">
        <v>4</v>
      </c>
      <c r="G58" s="1"/>
      <c r="H58" s="4"/>
      <c r="I58" s="1"/>
      <c r="J58">
        <v>0</v>
      </c>
    </row>
    <row r="59" spans="1:10" hidden="1" x14ac:dyDescent="0.25">
      <c r="A59" s="1" t="s">
        <v>353</v>
      </c>
      <c r="B59" s="35">
        <v>4712068</v>
      </c>
      <c r="C59" s="3" t="s">
        <v>19</v>
      </c>
      <c r="D59" s="3"/>
      <c r="E59" s="3" t="s">
        <v>20</v>
      </c>
      <c r="F59" s="3"/>
      <c r="G59" s="3" t="s">
        <v>21</v>
      </c>
      <c r="H59" s="34">
        <v>3168117423</v>
      </c>
      <c r="I59" s="3"/>
      <c r="J59" t="s">
        <v>9</v>
      </c>
    </row>
    <row r="60" spans="1:10" hidden="1" x14ac:dyDescent="0.25">
      <c r="A60" s="1" t="s">
        <v>354</v>
      </c>
      <c r="B60" s="8">
        <v>43738068</v>
      </c>
      <c r="C60" s="1" t="s">
        <v>132</v>
      </c>
      <c r="D60" s="1"/>
      <c r="E60" s="1" t="s">
        <v>133</v>
      </c>
      <c r="F60" s="1"/>
      <c r="G60" s="3" t="s">
        <v>39</v>
      </c>
      <c r="H60" s="34">
        <v>3205492923</v>
      </c>
      <c r="I60" s="1"/>
      <c r="J60" t="s">
        <v>32</v>
      </c>
    </row>
    <row r="61" spans="1:10" hidden="1" x14ac:dyDescent="0.25">
      <c r="A61" s="18" t="s">
        <v>178</v>
      </c>
      <c r="B61" s="23">
        <v>901249425</v>
      </c>
      <c r="C61" s="20"/>
      <c r="D61" s="20"/>
      <c r="E61" s="20"/>
      <c r="F61" s="20"/>
      <c r="G61" s="27" t="s">
        <v>179</v>
      </c>
      <c r="H61" s="26">
        <v>3229660</v>
      </c>
      <c r="I61" s="28"/>
      <c r="J61" t="s">
        <v>9</v>
      </c>
    </row>
    <row r="62" spans="1:10" hidden="1" x14ac:dyDescent="0.25">
      <c r="A62" s="18" t="s">
        <v>119</v>
      </c>
      <c r="B62" s="19"/>
      <c r="C62" s="18"/>
      <c r="D62" s="18"/>
      <c r="E62" s="18"/>
      <c r="F62" s="18"/>
      <c r="G62" s="18" t="s">
        <v>120</v>
      </c>
      <c r="H62" s="17">
        <v>2855879</v>
      </c>
      <c r="I62" s="18"/>
      <c r="J62" t="s">
        <v>121</v>
      </c>
    </row>
    <row r="63" spans="1:10" hidden="1" x14ac:dyDescent="0.25">
      <c r="A63" s="1" t="s">
        <v>348</v>
      </c>
      <c r="B63" s="8">
        <v>1006352061</v>
      </c>
      <c r="C63" s="1" t="s">
        <v>127</v>
      </c>
      <c r="D63" s="1" t="s">
        <v>128</v>
      </c>
      <c r="E63" s="1" t="s">
        <v>129</v>
      </c>
      <c r="F63" s="1" t="s">
        <v>130</v>
      </c>
      <c r="G63" s="1" t="s">
        <v>131</v>
      </c>
      <c r="H63" s="4">
        <v>3127898693</v>
      </c>
      <c r="I63" s="1"/>
      <c r="J63" t="s">
        <v>32</v>
      </c>
    </row>
    <row r="64" spans="1:10" hidden="1" x14ac:dyDescent="0.25">
      <c r="A64" s="1" t="s">
        <v>77</v>
      </c>
      <c r="B64" s="35"/>
      <c r="C64" s="3" t="s">
        <v>79</v>
      </c>
      <c r="D64" s="3"/>
      <c r="E64" s="3"/>
      <c r="F64" s="3"/>
      <c r="G64" s="14" t="s">
        <v>78</v>
      </c>
      <c r="H64" s="34"/>
      <c r="I64" s="3"/>
      <c r="J64" t="s">
        <v>5</v>
      </c>
    </row>
    <row r="65" spans="1:10" hidden="1" x14ac:dyDescent="0.25">
      <c r="A65" s="18" t="s">
        <v>321</v>
      </c>
      <c r="B65" s="23">
        <v>901148686</v>
      </c>
      <c r="C65" s="20" t="s">
        <v>322</v>
      </c>
      <c r="D65" s="20"/>
      <c r="E65" s="20"/>
      <c r="F65" s="20"/>
      <c r="G65" s="21" t="s">
        <v>323</v>
      </c>
      <c r="H65" s="26">
        <v>3146807330</v>
      </c>
      <c r="I65" s="20"/>
      <c r="J65" t="s">
        <v>5</v>
      </c>
    </row>
    <row r="66" spans="1:10" hidden="1" x14ac:dyDescent="0.25">
      <c r="A66" s="20" t="s">
        <v>197</v>
      </c>
      <c r="B66" s="23">
        <v>901565330</v>
      </c>
      <c r="C66" s="18"/>
      <c r="D66" s="18"/>
      <c r="E66" s="18"/>
      <c r="F66" s="18"/>
      <c r="G66" s="24" t="s">
        <v>113</v>
      </c>
      <c r="H66" s="25">
        <v>3154397571</v>
      </c>
      <c r="I66" s="20"/>
      <c r="J66" t="s">
        <v>9</v>
      </c>
    </row>
    <row r="67" spans="1:10" hidden="1" x14ac:dyDescent="0.25">
      <c r="A67" s="20" t="s">
        <v>112</v>
      </c>
      <c r="B67" s="23">
        <v>901565330</v>
      </c>
      <c r="C67" s="18"/>
      <c r="D67" s="18"/>
      <c r="E67" s="18"/>
      <c r="F67" s="18"/>
      <c r="G67" s="24" t="s">
        <v>113</v>
      </c>
      <c r="H67" s="25">
        <v>3154397571</v>
      </c>
      <c r="I67" s="20"/>
      <c r="J67" t="s">
        <v>9</v>
      </c>
    </row>
    <row r="68" spans="1:10" hidden="1" x14ac:dyDescent="0.25">
      <c r="A68" s="3" t="s">
        <v>27</v>
      </c>
      <c r="B68" s="35">
        <v>900480569</v>
      </c>
      <c r="C68" s="1" t="s">
        <v>4</v>
      </c>
      <c r="D68" s="1" t="s">
        <v>4</v>
      </c>
      <c r="E68" s="1" t="s">
        <v>4</v>
      </c>
      <c r="F68" s="1" t="s">
        <v>4</v>
      </c>
      <c r="G68" s="39" t="s">
        <v>28</v>
      </c>
      <c r="H68" s="40"/>
      <c r="I68" s="3"/>
      <c r="J68" t="s">
        <v>5</v>
      </c>
    </row>
    <row r="69" spans="1:10" hidden="1" x14ac:dyDescent="0.25">
      <c r="A69" s="1" t="s">
        <v>351</v>
      </c>
      <c r="B69" s="35">
        <v>1007836613</v>
      </c>
      <c r="C69" s="3" t="s">
        <v>122</v>
      </c>
      <c r="D69" s="3"/>
      <c r="E69" s="3" t="s">
        <v>123</v>
      </c>
      <c r="F69" s="3"/>
      <c r="G69" s="3" t="s">
        <v>124</v>
      </c>
      <c r="H69" s="34">
        <v>3172844289</v>
      </c>
      <c r="I69" s="3"/>
      <c r="J69" t="s">
        <v>32</v>
      </c>
    </row>
    <row r="70" spans="1:10" hidden="1" x14ac:dyDescent="0.25">
      <c r="A70" s="1" t="str">
        <f>CONCATENATE(C70," ",D70," ",E70," ",F70)</f>
        <v>JUAN  JOSE GALLEGO BENITEZ</v>
      </c>
      <c r="B70" s="23">
        <v>1033176251</v>
      </c>
      <c r="C70" s="20" t="s">
        <v>35</v>
      </c>
      <c r="D70" s="20" t="s">
        <v>36</v>
      </c>
      <c r="E70" s="20" t="s">
        <v>37</v>
      </c>
      <c r="F70" s="20" t="s">
        <v>38</v>
      </c>
      <c r="G70" s="20" t="s">
        <v>39</v>
      </c>
      <c r="H70" s="26">
        <v>3205492923</v>
      </c>
      <c r="I70" s="20"/>
      <c r="J70" t="s">
        <v>32</v>
      </c>
    </row>
    <row r="71" spans="1:10" hidden="1" x14ac:dyDescent="0.25">
      <c r="A71" s="1" t="s">
        <v>342</v>
      </c>
      <c r="B71" s="8">
        <v>1114623181</v>
      </c>
      <c r="C71" s="1" t="s">
        <v>308</v>
      </c>
      <c r="D71" s="1" t="s">
        <v>238</v>
      </c>
      <c r="E71" s="1" t="s">
        <v>149</v>
      </c>
      <c r="F71" s="1"/>
      <c r="G71" s="1" t="s">
        <v>309</v>
      </c>
      <c r="H71" s="4">
        <v>3147587239</v>
      </c>
      <c r="I71" s="1"/>
      <c r="J71" t="s">
        <v>32</v>
      </c>
    </row>
    <row r="72" spans="1:10" hidden="1" x14ac:dyDescent="0.25">
      <c r="A72" s="1" t="str">
        <f>CONCATENATE(C72," ",D72," ",E72," ",F72)</f>
        <v xml:space="preserve">KATHALINA  RANGEL </v>
      </c>
      <c r="B72" s="19"/>
      <c r="C72" s="18" t="s">
        <v>242</v>
      </c>
      <c r="D72" s="18"/>
      <c r="E72" s="30" t="s">
        <v>243</v>
      </c>
      <c r="F72" s="30"/>
      <c r="G72" s="30"/>
      <c r="H72" s="31"/>
      <c r="I72" s="18"/>
      <c r="J72" t="s">
        <v>32</v>
      </c>
    </row>
    <row r="73" spans="1:10" hidden="1" x14ac:dyDescent="0.25">
      <c r="A73" s="1" t="str">
        <f>CONCATENATE(C73," ",D73," ",E73," ",F73)</f>
        <v xml:space="preserve">KEVIN  PADILLA </v>
      </c>
      <c r="B73" s="19">
        <v>1112231065</v>
      </c>
      <c r="C73" s="18" t="s">
        <v>231</v>
      </c>
      <c r="D73" s="18"/>
      <c r="E73" s="18" t="s">
        <v>232</v>
      </c>
      <c r="F73" s="18"/>
      <c r="G73" s="18" t="s">
        <v>233</v>
      </c>
      <c r="H73" s="17">
        <v>3207520719</v>
      </c>
      <c r="I73" s="18"/>
      <c r="J73" t="s">
        <v>32</v>
      </c>
    </row>
    <row r="74" spans="1:10" hidden="1" x14ac:dyDescent="0.25">
      <c r="A74" s="20" t="s">
        <v>248</v>
      </c>
      <c r="B74" s="23">
        <v>1113663529</v>
      </c>
      <c r="C74" s="20"/>
      <c r="D74" s="20"/>
      <c r="E74" s="20"/>
      <c r="F74" s="20"/>
      <c r="G74" s="20" t="s">
        <v>249</v>
      </c>
      <c r="H74" s="26">
        <v>3158223466</v>
      </c>
      <c r="I74" s="20"/>
      <c r="J74" t="s">
        <v>9</v>
      </c>
    </row>
    <row r="75" spans="1:10" hidden="1" x14ac:dyDescent="0.25">
      <c r="A75" s="20" t="s">
        <v>11</v>
      </c>
      <c r="B75" s="23">
        <v>1112226660</v>
      </c>
      <c r="C75" s="20" t="s">
        <v>4</v>
      </c>
      <c r="D75" s="20" t="s">
        <v>4</v>
      </c>
      <c r="E75" s="20" t="s">
        <v>4</v>
      </c>
      <c r="F75" s="20" t="s">
        <v>4</v>
      </c>
      <c r="G75" s="24" t="s">
        <v>12</v>
      </c>
      <c r="H75" s="25">
        <v>3182729196</v>
      </c>
      <c r="I75" s="20"/>
      <c r="J75" t="s">
        <v>5</v>
      </c>
    </row>
    <row r="76" spans="1:10" hidden="1" x14ac:dyDescent="0.25">
      <c r="A76" s="20" t="s">
        <v>11</v>
      </c>
      <c r="B76" s="23">
        <v>1112226661</v>
      </c>
      <c r="C76" s="20" t="s">
        <v>4</v>
      </c>
      <c r="D76" s="20" t="s">
        <v>4</v>
      </c>
      <c r="E76" s="20" t="s">
        <v>4</v>
      </c>
      <c r="F76" s="20" t="s">
        <v>4</v>
      </c>
      <c r="G76" s="24" t="s">
        <v>95</v>
      </c>
      <c r="H76" s="25">
        <v>3182729197</v>
      </c>
      <c r="I76" s="20"/>
      <c r="J76" t="s">
        <v>5</v>
      </c>
    </row>
    <row r="77" spans="1:10" hidden="1" x14ac:dyDescent="0.25">
      <c r="A77" s="18" t="s">
        <v>303</v>
      </c>
      <c r="B77" s="19">
        <v>1144199443</v>
      </c>
      <c r="C77" s="18"/>
      <c r="D77" s="20"/>
      <c r="E77" s="21"/>
      <c r="F77" s="21"/>
      <c r="G77" s="21"/>
      <c r="H77" s="22">
        <v>2691961</v>
      </c>
      <c r="I77" s="20"/>
      <c r="J77" t="s">
        <v>9</v>
      </c>
    </row>
    <row r="78" spans="1:10" hidden="1" x14ac:dyDescent="0.25">
      <c r="A78" s="18" t="s">
        <v>186</v>
      </c>
      <c r="B78" s="23">
        <v>1113978270</v>
      </c>
      <c r="C78" s="20"/>
      <c r="D78" s="20"/>
      <c r="E78" s="20"/>
      <c r="F78" s="20"/>
      <c r="G78" s="21" t="s">
        <v>187</v>
      </c>
      <c r="H78" s="26">
        <v>3215223611</v>
      </c>
      <c r="I78" s="20"/>
      <c r="J78" t="s">
        <v>5</v>
      </c>
    </row>
    <row r="79" spans="1:10" hidden="1" x14ac:dyDescent="0.25">
      <c r="A79" s="18" t="s">
        <v>186</v>
      </c>
      <c r="B79" s="23">
        <v>1113978269</v>
      </c>
      <c r="C79" s="20"/>
      <c r="D79" s="20"/>
      <c r="E79" s="20"/>
      <c r="F79" s="20"/>
      <c r="G79" s="21" t="s">
        <v>187</v>
      </c>
      <c r="H79" s="26">
        <v>3215223610</v>
      </c>
      <c r="I79" s="20"/>
      <c r="J79" t="s">
        <v>5</v>
      </c>
    </row>
    <row r="80" spans="1:10" hidden="1" x14ac:dyDescent="0.25">
      <c r="A80" s="18" t="s">
        <v>186</v>
      </c>
      <c r="B80" s="23">
        <v>1113978268</v>
      </c>
      <c r="C80" s="20"/>
      <c r="D80" s="20"/>
      <c r="E80" s="20"/>
      <c r="F80" s="20"/>
      <c r="G80" s="21" t="s">
        <v>187</v>
      </c>
      <c r="H80" s="26">
        <v>3215223609</v>
      </c>
      <c r="I80" s="20"/>
      <c r="J80" t="s">
        <v>5</v>
      </c>
    </row>
    <row r="81" spans="1:10" hidden="1" x14ac:dyDescent="0.25">
      <c r="A81" s="20" t="s">
        <v>293</v>
      </c>
      <c r="B81" s="23">
        <v>52838272</v>
      </c>
      <c r="C81" s="18"/>
      <c r="D81" s="18"/>
      <c r="E81" s="18"/>
      <c r="F81" s="18"/>
      <c r="G81" s="24"/>
      <c r="H81" s="25"/>
      <c r="I81" s="20"/>
      <c r="J81" t="s">
        <v>9</v>
      </c>
    </row>
    <row r="82" spans="1:10" hidden="1" x14ac:dyDescent="0.25">
      <c r="A82" s="18" t="s">
        <v>304</v>
      </c>
      <c r="B82" s="23">
        <v>1144204314</v>
      </c>
      <c r="C82" s="20"/>
      <c r="D82" s="20"/>
      <c r="E82" s="20"/>
      <c r="F82" s="20"/>
      <c r="G82" s="27" t="s">
        <v>305</v>
      </c>
      <c r="H82" s="26">
        <v>3116361994</v>
      </c>
      <c r="I82" s="28" t="s">
        <v>306</v>
      </c>
      <c r="J82" t="s">
        <v>9</v>
      </c>
    </row>
    <row r="83" spans="1:10" hidden="1" x14ac:dyDescent="0.25">
      <c r="A83" s="1" t="s">
        <v>346</v>
      </c>
      <c r="B83" s="8">
        <v>1113676974</v>
      </c>
      <c r="C83" s="1" t="s">
        <v>99</v>
      </c>
      <c r="D83" s="3" t="s">
        <v>100</v>
      </c>
      <c r="E83" s="14" t="s">
        <v>101</v>
      </c>
      <c r="F83" s="14" t="s">
        <v>102</v>
      </c>
      <c r="G83" s="14" t="s">
        <v>103</v>
      </c>
      <c r="H83" s="15">
        <v>3146846713</v>
      </c>
      <c r="I83" s="3"/>
      <c r="J83" t="s">
        <v>510</v>
      </c>
    </row>
    <row r="84" spans="1:10" hidden="1" x14ac:dyDescent="0.25">
      <c r="A84" s="1" t="s">
        <v>503</v>
      </c>
      <c r="B84" s="8"/>
      <c r="C84" s="1"/>
      <c r="D84" s="1"/>
      <c r="E84" s="37"/>
      <c r="F84" s="37"/>
      <c r="G84" s="37"/>
      <c r="H84" s="38">
        <v>3153855247</v>
      </c>
      <c r="I84" s="1"/>
      <c r="J84" t="s">
        <v>5</v>
      </c>
    </row>
    <row r="85" spans="1:10" hidden="1" x14ac:dyDescent="0.25">
      <c r="A85" s="1" t="s">
        <v>339</v>
      </c>
      <c r="B85" s="8">
        <v>1007616371</v>
      </c>
      <c r="C85" s="1" t="s">
        <v>29</v>
      </c>
      <c r="D85" s="1" t="s">
        <v>30</v>
      </c>
      <c r="E85" s="37" t="s">
        <v>31</v>
      </c>
      <c r="F85" s="37"/>
      <c r="G85" s="37" t="s">
        <v>66</v>
      </c>
      <c r="H85" s="38">
        <v>3168609680</v>
      </c>
      <c r="I85" s="1"/>
      <c r="J85" t="s">
        <v>32</v>
      </c>
    </row>
    <row r="86" spans="1:10" hidden="1" x14ac:dyDescent="0.25">
      <c r="A86" s="20" t="s">
        <v>250</v>
      </c>
      <c r="B86" s="23">
        <v>901540026</v>
      </c>
      <c r="C86" s="20"/>
      <c r="D86" s="20"/>
      <c r="E86" s="20"/>
      <c r="F86" s="20"/>
      <c r="G86" s="20" t="s">
        <v>251</v>
      </c>
      <c r="H86" s="26">
        <v>3117083212</v>
      </c>
      <c r="I86" s="20"/>
      <c r="J86" t="s">
        <v>9</v>
      </c>
    </row>
    <row r="87" spans="1:10" hidden="1" x14ac:dyDescent="0.25">
      <c r="A87" s="18" t="s">
        <v>145</v>
      </c>
      <c r="B87" s="23">
        <v>1118285774</v>
      </c>
      <c r="C87" s="20"/>
      <c r="D87" s="20"/>
      <c r="E87" s="20"/>
      <c r="F87" s="20"/>
      <c r="G87" s="27" t="s">
        <v>146</v>
      </c>
      <c r="H87" s="26">
        <v>3013490273</v>
      </c>
      <c r="I87" s="28"/>
      <c r="J87" t="s">
        <v>5</v>
      </c>
    </row>
    <row r="88" spans="1:10" hidden="1" x14ac:dyDescent="0.25">
      <c r="A88" s="1" t="str">
        <f>CONCATENATE(C88," ",D88," ",E88," ",F88)</f>
        <v>LUIS  A CACERES MEZA</v>
      </c>
      <c r="B88" s="19">
        <v>13254363</v>
      </c>
      <c r="C88" s="18" t="s">
        <v>107</v>
      </c>
      <c r="D88" s="18" t="s">
        <v>108</v>
      </c>
      <c r="E88" s="18" t="s">
        <v>109</v>
      </c>
      <c r="F88" s="18" t="s">
        <v>110</v>
      </c>
      <c r="G88" s="18" t="s">
        <v>111</v>
      </c>
      <c r="H88" s="17">
        <v>2549029</v>
      </c>
      <c r="I88" s="18"/>
      <c r="J88" t="s">
        <v>32</v>
      </c>
    </row>
    <row r="89" spans="1:10" hidden="1" x14ac:dyDescent="0.25">
      <c r="A89" s="1" t="str">
        <f>CONCATENATE(C89," ",D89," ",E89," ",F89)</f>
        <v>LUIS ALBERTO MUÑOZ JARAMILLO</v>
      </c>
      <c r="B89" s="19">
        <v>94470288</v>
      </c>
      <c r="C89" s="18" t="s">
        <v>147</v>
      </c>
      <c r="D89" s="20" t="s">
        <v>148</v>
      </c>
      <c r="E89" s="21" t="s">
        <v>149</v>
      </c>
      <c r="F89" s="21" t="s">
        <v>150</v>
      </c>
      <c r="G89" s="21" t="s">
        <v>151</v>
      </c>
      <c r="H89" s="22">
        <v>3217848177</v>
      </c>
      <c r="I89" s="20"/>
      <c r="J89" t="s">
        <v>32</v>
      </c>
    </row>
    <row r="90" spans="1:10" hidden="1" x14ac:dyDescent="0.25">
      <c r="A90" s="21" t="s">
        <v>134</v>
      </c>
      <c r="B90" s="29">
        <v>901271654</v>
      </c>
      <c r="C90" s="21"/>
      <c r="D90" s="21"/>
      <c r="E90" s="21"/>
      <c r="F90" s="21"/>
      <c r="G90" s="21" t="s">
        <v>135</v>
      </c>
      <c r="H90" s="17">
        <v>2844342</v>
      </c>
      <c r="I90" s="20"/>
      <c r="J90" t="s">
        <v>104</v>
      </c>
    </row>
    <row r="91" spans="1:10" hidden="1" x14ac:dyDescent="0.25">
      <c r="A91" s="18" t="s">
        <v>114</v>
      </c>
      <c r="B91" s="19">
        <v>94303748</v>
      </c>
      <c r="C91" s="18" t="s">
        <v>115</v>
      </c>
      <c r="D91" s="18" t="s">
        <v>116</v>
      </c>
      <c r="E91" s="18" t="s">
        <v>117</v>
      </c>
      <c r="F91" s="18" t="s">
        <v>63</v>
      </c>
      <c r="G91" s="18" t="s">
        <v>118</v>
      </c>
      <c r="H91" s="17">
        <v>3114099121</v>
      </c>
      <c r="I91" s="18"/>
      <c r="J91" t="s">
        <v>9</v>
      </c>
    </row>
    <row r="92" spans="1:10" hidden="1" x14ac:dyDescent="0.25">
      <c r="A92" s="18" t="s">
        <v>165</v>
      </c>
      <c r="B92" s="23"/>
      <c r="C92" s="20"/>
      <c r="D92" s="20"/>
      <c r="E92" s="20"/>
      <c r="F92" s="20"/>
      <c r="G92" s="27" t="s">
        <v>166</v>
      </c>
      <c r="H92" s="26">
        <v>3126147934</v>
      </c>
      <c r="I92" s="28"/>
      <c r="J92" t="s">
        <v>5</v>
      </c>
    </row>
    <row r="93" spans="1:10" hidden="1" x14ac:dyDescent="0.25">
      <c r="A93" s="1" t="s">
        <v>224</v>
      </c>
      <c r="B93" s="8">
        <v>14695845</v>
      </c>
      <c r="C93" s="1" t="s">
        <v>84</v>
      </c>
      <c r="D93" s="3"/>
      <c r="E93" s="14" t="s">
        <v>85</v>
      </c>
      <c r="F93" s="14" t="s">
        <v>86</v>
      </c>
      <c r="G93" s="14" t="s">
        <v>225</v>
      </c>
      <c r="H93" s="15">
        <v>3215223609</v>
      </c>
      <c r="I93" s="3"/>
      <c r="J93" t="s">
        <v>5</v>
      </c>
    </row>
    <row r="94" spans="1:10" hidden="1" x14ac:dyDescent="0.25">
      <c r="A94" s="3" t="s">
        <v>24</v>
      </c>
      <c r="B94" s="35">
        <v>815002459</v>
      </c>
      <c r="C94" s="3" t="s">
        <v>4</v>
      </c>
      <c r="D94" s="3" t="s">
        <v>4</v>
      </c>
      <c r="E94" s="3" t="s">
        <v>4</v>
      </c>
      <c r="F94" s="3" t="s">
        <v>4</v>
      </c>
      <c r="G94" s="3" t="s">
        <v>25</v>
      </c>
      <c r="H94" s="34">
        <v>3136831049</v>
      </c>
      <c r="I94" s="3"/>
      <c r="J94" t="s">
        <v>5</v>
      </c>
    </row>
    <row r="95" spans="1:10" hidden="1" x14ac:dyDescent="0.25">
      <c r="A95" s="18" t="s">
        <v>301</v>
      </c>
      <c r="B95" s="19">
        <v>811012912</v>
      </c>
      <c r="C95" s="18"/>
      <c r="D95" s="18"/>
      <c r="E95" s="18"/>
      <c r="F95" s="18"/>
      <c r="G95" s="18" t="s">
        <v>302</v>
      </c>
      <c r="H95" s="17">
        <v>4443153</v>
      </c>
      <c r="I95" s="18"/>
      <c r="J95" t="s">
        <v>9</v>
      </c>
    </row>
    <row r="96" spans="1:10" hidden="1" x14ac:dyDescent="0.25">
      <c r="A96" s="30" t="s">
        <v>188</v>
      </c>
      <c r="B96" s="32">
        <v>43795013</v>
      </c>
      <c r="C96" s="21"/>
      <c r="D96" s="21"/>
      <c r="E96" s="21"/>
      <c r="F96" s="21"/>
      <c r="G96" s="21" t="s">
        <v>189</v>
      </c>
      <c r="H96" s="22"/>
      <c r="I96" s="21"/>
      <c r="J96" t="s">
        <v>9</v>
      </c>
    </row>
    <row r="97" spans="1:10" hidden="1" x14ac:dyDescent="0.25">
      <c r="A97" s="18" t="s">
        <v>143</v>
      </c>
      <c r="B97" s="23"/>
      <c r="C97" s="20"/>
      <c r="D97" s="20"/>
      <c r="E97" s="20"/>
      <c r="F97" s="20"/>
      <c r="G97" s="27"/>
      <c r="H97" s="26"/>
      <c r="I97" s="28"/>
      <c r="J97" t="s">
        <v>144</v>
      </c>
    </row>
    <row r="98" spans="1:10" hidden="1" x14ac:dyDescent="0.25">
      <c r="A98" s="18" t="s">
        <v>291</v>
      </c>
      <c r="B98" s="19">
        <v>900663051</v>
      </c>
      <c r="C98" s="18"/>
      <c r="D98" s="18"/>
      <c r="E98" s="18"/>
      <c r="F98" s="18"/>
      <c r="G98" s="18" t="s">
        <v>292</v>
      </c>
      <c r="H98" s="17"/>
      <c r="I98" s="18"/>
      <c r="J98" t="s">
        <v>9</v>
      </c>
    </row>
    <row r="99" spans="1:10" hidden="1" x14ac:dyDescent="0.25">
      <c r="A99" s="18" t="s">
        <v>136</v>
      </c>
      <c r="B99" s="19">
        <v>43795013</v>
      </c>
      <c r="C99" s="18"/>
      <c r="D99" s="20"/>
      <c r="E99" s="21"/>
      <c r="F99" s="21"/>
      <c r="G99" s="21" t="s">
        <v>137</v>
      </c>
      <c r="H99" s="22"/>
      <c r="I99" s="20"/>
      <c r="J99" t="s">
        <v>9</v>
      </c>
    </row>
    <row r="100" spans="1:10" hidden="1" x14ac:dyDescent="0.25">
      <c r="A100" s="1" t="s">
        <v>326</v>
      </c>
      <c r="B100" s="8"/>
      <c r="C100" s="1"/>
      <c r="D100" s="3"/>
      <c r="E100" s="14"/>
      <c r="F100" s="14"/>
      <c r="G100" s="14"/>
      <c r="H100" s="15"/>
      <c r="I100" s="3"/>
      <c r="J100" t="s">
        <v>9</v>
      </c>
    </row>
    <row r="101" spans="1:10" hidden="1" x14ac:dyDescent="0.25">
      <c r="A101" s="20" t="s">
        <v>181</v>
      </c>
      <c r="B101" s="23">
        <v>29677837</v>
      </c>
      <c r="C101" s="20"/>
      <c r="D101" s="20"/>
      <c r="E101" s="20"/>
      <c r="F101" s="20"/>
      <c r="G101" s="20" t="s">
        <v>182</v>
      </c>
      <c r="H101" s="26">
        <v>3113249509</v>
      </c>
      <c r="I101" s="20"/>
      <c r="J101" t="s">
        <v>9</v>
      </c>
    </row>
    <row r="102" spans="1:10" hidden="1" x14ac:dyDescent="0.25">
      <c r="A102" s="3" t="s">
        <v>58</v>
      </c>
      <c r="B102" s="35">
        <v>890500726</v>
      </c>
      <c r="C102" s="3" t="s">
        <v>4</v>
      </c>
      <c r="D102" s="3" t="s">
        <v>4</v>
      </c>
      <c r="E102" s="3" t="s">
        <v>4</v>
      </c>
      <c r="F102" s="3" t="s">
        <v>4</v>
      </c>
      <c r="G102" s="3"/>
      <c r="H102" s="34">
        <v>3208899901</v>
      </c>
      <c r="I102" s="3"/>
      <c r="J102" t="s">
        <v>256</v>
      </c>
    </row>
    <row r="103" spans="1:10" hidden="1" x14ac:dyDescent="0.25">
      <c r="A103" s="18" t="s">
        <v>96</v>
      </c>
      <c r="B103" s="19">
        <v>6384305</v>
      </c>
      <c r="C103" s="18"/>
      <c r="D103" s="20"/>
      <c r="E103" s="21"/>
      <c r="F103" s="21"/>
      <c r="G103" s="21" t="s">
        <v>97</v>
      </c>
      <c r="H103" s="22">
        <v>3005547057</v>
      </c>
      <c r="I103" s="20"/>
      <c r="J103" t="s">
        <v>5</v>
      </c>
    </row>
    <row r="104" spans="1:10" hidden="1" x14ac:dyDescent="0.25">
      <c r="A104" s="18" t="s">
        <v>318</v>
      </c>
      <c r="B104" s="19">
        <v>1112218100</v>
      </c>
      <c r="C104" s="18"/>
      <c r="D104" s="18"/>
      <c r="E104" s="18"/>
      <c r="F104" s="18"/>
      <c r="G104" s="18" t="s">
        <v>319</v>
      </c>
      <c r="H104" s="17">
        <v>3127154920</v>
      </c>
      <c r="I104" s="18"/>
      <c r="J104" t="s">
        <v>9</v>
      </c>
    </row>
    <row r="105" spans="1:10" hidden="1" x14ac:dyDescent="0.25">
      <c r="A105" s="20" t="s">
        <v>266</v>
      </c>
      <c r="B105" s="23">
        <v>43795792</v>
      </c>
      <c r="C105" s="20" t="s">
        <v>67</v>
      </c>
      <c r="D105" s="20" t="s">
        <v>267</v>
      </c>
      <c r="E105" s="20" t="s">
        <v>268</v>
      </c>
      <c r="F105" s="20"/>
      <c r="G105" s="20" t="s">
        <v>269</v>
      </c>
      <c r="H105" s="26"/>
      <c r="I105" s="20"/>
      <c r="J105" t="s">
        <v>9</v>
      </c>
    </row>
    <row r="106" spans="1:10" hidden="1" x14ac:dyDescent="0.25">
      <c r="A106" s="18" t="s">
        <v>161</v>
      </c>
      <c r="B106" s="23">
        <v>29701653</v>
      </c>
      <c r="C106" s="20"/>
      <c r="D106" s="20"/>
      <c r="E106" s="20"/>
      <c r="F106" s="20"/>
      <c r="G106" s="27" t="s">
        <v>162</v>
      </c>
      <c r="H106" s="26"/>
      <c r="I106" s="28"/>
      <c r="J106" t="s">
        <v>9</v>
      </c>
    </row>
    <row r="107" spans="1:10" hidden="1" x14ac:dyDescent="0.25">
      <c r="A107" s="1" t="s">
        <v>41</v>
      </c>
      <c r="B107" s="35">
        <v>66886718</v>
      </c>
      <c r="C107" s="3" t="s">
        <v>67</v>
      </c>
      <c r="D107" s="3" t="s">
        <v>68</v>
      </c>
      <c r="E107" s="3" t="s">
        <v>69</v>
      </c>
      <c r="F107" s="3" t="s">
        <v>70</v>
      </c>
      <c r="G107" s="36" t="s">
        <v>42</v>
      </c>
      <c r="H107" s="34">
        <v>2673706</v>
      </c>
      <c r="I107" s="6" t="s">
        <v>71</v>
      </c>
      <c r="J107" t="s">
        <v>43</v>
      </c>
    </row>
    <row r="108" spans="1:10" hidden="1" x14ac:dyDescent="0.25">
      <c r="A108" s="18" t="s">
        <v>277</v>
      </c>
      <c r="B108" s="23">
        <v>66929932</v>
      </c>
      <c r="C108" s="20"/>
      <c r="D108" s="20"/>
      <c r="E108" s="20"/>
      <c r="F108" s="20"/>
      <c r="G108" s="21" t="s">
        <v>278</v>
      </c>
      <c r="H108" s="26">
        <v>3187620379</v>
      </c>
      <c r="I108" s="20"/>
      <c r="J108" t="s">
        <v>43</v>
      </c>
    </row>
    <row r="109" spans="1:10" hidden="1" x14ac:dyDescent="0.25">
      <c r="A109" s="18" t="s">
        <v>312</v>
      </c>
      <c r="B109" s="23">
        <v>6414098</v>
      </c>
      <c r="C109" s="20"/>
      <c r="D109" s="20"/>
      <c r="E109" s="20"/>
      <c r="F109" s="20"/>
      <c r="G109" s="27"/>
      <c r="H109" s="26">
        <v>3207655988</v>
      </c>
      <c r="I109" s="28"/>
      <c r="J109" t="s">
        <v>9</v>
      </c>
    </row>
    <row r="110" spans="1:10" hidden="1" x14ac:dyDescent="0.25">
      <c r="A110" s="3" t="s">
        <v>33</v>
      </c>
      <c r="B110" s="35">
        <v>29362230</v>
      </c>
      <c r="C110" s="3" t="s">
        <v>4</v>
      </c>
      <c r="D110" s="3" t="s">
        <v>4</v>
      </c>
      <c r="E110" s="3" t="s">
        <v>4</v>
      </c>
      <c r="F110" s="3" t="s">
        <v>4</v>
      </c>
      <c r="G110" s="3" t="s">
        <v>34</v>
      </c>
      <c r="H110" s="34">
        <v>3162775466</v>
      </c>
      <c r="I110" s="3"/>
      <c r="J110" t="s">
        <v>5</v>
      </c>
    </row>
    <row r="111" spans="1:10" hidden="1" x14ac:dyDescent="0.25">
      <c r="A111" s="1" t="s">
        <v>283</v>
      </c>
      <c r="B111" s="8">
        <v>66929745</v>
      </c>
      <c r="C111" s="1" t="s">
        <v>497</v>
      </c>
      <c r="D111" s="3"/>
      <c r="E111" s="14"/>
      <c r="F111" s="14"/>
      <c r="G111" s="14" t="s">
        <v>294</v>
      </c>
      <c r="H111" s="15">
        <v>3017199935</v>
      </c>
      <c r="I111" s="3"/>
      <c r="J111" t="s">
        <v>5</v>
      </c>
    </row>
    <row r="112" spans="1:10" hidden="1" x14ac:dyDescent="0.25">
      <c r="A112" s="6" t="s">
        <v>10</v>
      </c>
      <c r="B112" s="8">
        <v>66931449</v>
      </c>
      <c r="C112" s="3" t="s">
        <v>4</v>
      </c>
      <c r="D112" s="3" t="s">
        <v>4</v>
      </c>
      <c r="E112" s="3" t="s">
        <v>4</v>
      </c>
      <c r="F112" s="3" t="s">
        <v>4</v>
      </c>
      <c r="G112" s="36" t="s">
        <v>22</v>
      </c>
      <c r="H112" s="41">
        <v>2672346</v>
      </c>
      <c r="I112" s="1" t="s">
        <v>4</v>
      </c>
      <c r="J112" t="s">
        <v>5</v>
      </c>
    </row>
    <row r="113" spans="1:10" hidden="1" x14ac:dyDescent="0.25">
      <c r="A113" s="1" t="s">
        <v>257</v>
      </c>
      <c r="B113" s="8">
        <v>901158397</v>
      </c>
      <c r="C113" s="1"/>
      <c r="D113" s="1"/>
      <c r="E113" s="1"/>
      <c r="F113" s="1"/>
      <c r="G113" s="1" t="s">
        <v>258</v>
      </c>
      <c r="H113" s="4">
        <v>3108368823</v>
      </c>
      <c r="I113" s="1"/>
      <c r="J113" t="s">
        <v>5</v>
      </c>
    </row>
    <row r="114" spans="1:10" hidden="1" x14ac:dyDescent="0.25">
      <c r="A114" s="1" t="str">
        <f>CONCATENATE(C114," ",D114," ",E114," ",F114)</f>
        <v>RICHARD LYMICH VARGAS MARTINEZ</v>
      </c>
      <c r="B114" s="23">
        <v>1114620347</v>
      </c>
      <c r="C114" s="20" t="s">
        <v>210</v>
      </c>
      <c r="D114" s="20" t="s">
        <v>211</v>
      </c>
      <c r="E114" s="20" t="s">
        <v>129</v>
      </c>
      <c r="F114" s="20" t="s">
        <v>212</v>
      </c>
      <c r="G114" s="20" t="s">
        <v>213</v>
      </c>
      <c r="H114" s="26">
        <v>3024273704</v>
      </c>
      <c r="I114" s="20"/>
      <c r="J114" t="s">
        <v>32</v>
      </c>
    </row>
    <row r="115" spans="1:10" hidden="1" x14ac:dyDescent="0.25">
      <c r="A115" s="3" t="s">
        <v>83</v>
      </c>
      <c r="B115" s="35">
        <v>1112230545</v>
      </c>
      <c r="C115" s="3"/>
      <c r="D115" s="3"/>
      <c r="E115" s="3"/>
      <c r="F115" s="3"/>
      <c r="G115" s="3"/>
      <c r="H115" s="34">
        <v>3107292255</v>
      </c>
      <c r="I115" s="3" t="s">
        <v>4</v>
      </c>
      <c r="J115" t="s">
        <v>5</v>
      </c>
    </row>
    <row r="116" spans="1:10" hidden="1" x14ac:dyDescent="0.25">
      <c r="A116" s="21" t="s">
        <v>163</v>
      </c>
      <c r="B116" s="32">
        <v>900458942</v>
      </c>
      <c r="C116" s="21"/>
      <c r="D116" s="21"/>
      <c r="E116" s="21"/>
      <c r="F116" s="21"/>
      <c r="G116" s="29" t="s">
        <v>164</v>
      </c>
      <c r="H116" s="33">
        <v>2810023</v>
      </c>
      <c r="I116" s="21" t="s">
        <v>4</v>
      </c>
      <c r="J116" t="s">
        <v>5</v>
      </c>
    </row>
    <row r="117" spans="1:10" hidden="1" x14ac:dyDescent="0.25">
      <c r="A117" s="20" t="s">
        <v>252</v>
      </c>
      <c r="B117" s="23">
        <v>14698856</v>
      </c>
      <c r="C117" s="18" t="s">
        <v>253</v>
      </c>
      <c r="D117" s="18"/>
      <c r="E117" s="18" t="s">
        <v>208</v>
      </c>
      <c r="F117" s="18" t="s">
        <v>254</v>
      </c>
      <c r="G117" s="24" t="s">
        <v>255</v>
      </c>
      <c r="H117" s="25">
        <v>2729253</v>
      </c>
      <c r="I117" s="20" t="s">
        <v>4</v>
      </c>
      <c r="J117" t="s">
        <v>5</v>
      </c>
    </row>
    <row r="118" spans="1:10" hidden="1" x14ac:dyDescent="0.25">
      <c r="A118" s="1" t="str">
        <f>CONCATENATE(C118," ",D118," ",E118," ",F118)</f>
        <v>SAMUEL   RENDON RODRIGUEZ</v>
      </c>
      <c r="B118" s="19">
        <v>1112218591</v>
      </c>
      <c r="C118" s="18" t="s">
        <v>270</v>
      </c>
      <c r="D118" s="18"/>
      <c r="E118" s="18" t="s">
        <v>271</v>
      </c>
      <c r="F118" s="18" t="s">
        <v>272</v>
      </c>
      <c r="G118" s="18" t="s">
        <v>273</v>
      </c>
      <c r="H118" s="17">
        <v>3107302619</v>
      </c>
      <c r="I118" s="18"/>
      <c r="J118" t="s">
        <v>32</v>
      </c>
    </row>
    <row r="119" spans="1:10" hidden="1" x14ac:dyDescent="0.25">
      <c r="A119" s="20" t="s">
        <v>274</v>
      </c>
      <c r="B119" s="23">
        <v>890903407</v>
      </c>
      <c r="C119" s="20"/>
      <c r="D119" s="20"/>
      <c r="E119" s="20"/>
      <c r="F119" s="20"/>
      <c r="G119" s="28" t="s">
        <v>275</v>
      </c>
      <c r="H119" s="28">
        <v>2602100</v>
      </c>
      <c r="I119" s="20"/>
      <c r="J119" t="s">
        <v>276</v>
      </c>
    </row>
    <row r="120" spans="1:10" hidden="1" x14ac:dyDescent="0.25">
      <c r="A120" s="1" t="s">
        <v>59</v>
      </c>
      <c r="B120" s="8">
        <v>890399032</v>
      </c>
      <c r="C120" s="1" t="s">
        <v>4</v>
      </c>
      <c r="D120" s="1" t="s">
        <v>4</v>
      </c>
      <c r="E120" s="1" t="s">
        <v>4</v>
      </c>
      <c r="F120" s="1" t="s">
        <v>4</v>
      </c>
      <c r="G120" s="1"/>
      <c r="H120" s="4"/>
      <c r="I120" s="1"/>
      <c r="J120" t="s">
        <v>46</v>
      </c>
    </row>
    <row r="121" spans="1:10" hidden="1" x14ac:dyDescent="0.25">
      <c r="A121" s="18" t="s">
        <v>320</v>
      </c>
      <c r="B121" s="19">
        <v>800242106</v>
      </c>
      <c r="C121" s="18"/>
      <c r="D121" s="18"/>
      <c r="E121" s="18"/>
      <c r="F121" s="18"/>
      <c r="G121" s="18"/>
      <c r="H121" s="17"/>
      <c r="I121" s="18"/>
      <c r="J121" t="s">
        <v>9</v>
      </c>
    </row>
    <row r="122" spans="1:10" hidden="1" x14ac:dyDescent="0.25">
      <c r="A122" s="20" t="s">
        <v>168</v>
      </c>
      <c r="B122" s="23">
        <v>1045022354</v>
      </c>
      <c r="C122" s="18"/>
      <c r="D122" s="18"/>
      <c r="E122" s="18"/>
      <c r="F122" s="18"/>
      <c r="G122" s="24" t="s">
        <v>169</v>
      </c>
      <c r="H122" s="25"/>
      <c r="I122" s="20"/>
      <c r="J122" t="s">
        <v>9</v>
      </c>
    </row>
    <row r="123" spans="1:10" x14ac:dyDescent="0.25">
      <c r="A123" s="18" t="s">
        <v>190</v>
      </c>
      <c r="B123" s="23">
        <v>890107487</v>
      </c>
      <c r="C123" s="20"/>
      <c r="D123" s="20"/>
      <c r="E123" s="20"/>
      <c r="F123" s="20"/>
      <c r="G123" s="21" t="s">
        <v>191</v>
      </c>
      <c r="H123" s="26">
        <v>28077100</v>
      </c>
      <c r="I123" s="20"/>
      <c r="J123" t="s">
        <v>5</v>
      </c>
    </row>
    <row r="124" spans="1:10" hidden="1" x14ac:dyDescent="0.25">
      <c r="A124" s="44" t="s">
        <v>52</v>
      </c>
      <c r="B124" s="43">
        <v>901561683</v>
      </c>
      <c r="C124" s="1" t="s">
        <v>4</v>
      </c>
      <c r="D124" s="1" t="s">
        <v>4</v>
      </c>
      <c r="E124" s="1" t="s">
        <v>4</v>
      </c>
      <c r="F124" s="1" t="s">
        <v>4</v>
      </c>
      <c r="G124" s="44" t="s">
        <v>53</v>
      </c>
      <c r="H124" s="37">
        <v>2691367</v>
      </c>
      <c r="I124" s="37"/>
      <c r="J124" t="s">
        <v>9</v>
      </c>
    </row>
    <row r="125" spans="1:10" hidden="1" x14ac:dyDescent="0.25">
      <c r="A125" s="1" t="str">
        <f>CONCATENATE(C125," ",D125," ",E125," ",F125)</f>
        <v xml:space="preserve">TERESA  MONTOYA </v>
      </c>
      <c r="B125" s="19">
        <v>66930158</v>
      </c>
      <c r="C125" s="18" t="s">
        <v>90</v>
      </c>
      <c r="D125" s="18"/>
      <c r="E125" s="18" t="s">
        <v>91</v>
      </c>
      <c r="F125" s="18"/>
      <c r="G125" s="18" t="s">
        <v>98</v>
      </c>
      <c r="H125" s="17">
        <v>3143380544</v>
      </c>
      <c r="I125" s="18"/>
      <c r="J125" t="s">
        <v>32</v>
      </c>
    </row>
    <row r="126" spans="1:10" hidden="1" x14ac:dyDescent="0.25">
      <c r="A126" s="18" t="s">
        <v>184</v>
      </c>
      <c r="B126" s="19">
        <v>901168930</v>
      </c>
      <c r="C126" s="18"/>
      <c r="D126" s="20"/>
      <c r="E126" s="21"/>
      <c r="F126" s="21"/>
      <c r="G126" s="21" t="s">
        <v>185</v>
      </c>
      <c r="H126" s="22">
        <v>2691903</v>
      </c>
      <c r="I126" s="20"/>
      <c r="J126" t="s">
        <v>9</v>
      </c>
    </row>
    <row r="127" spans="1:10" hidden="1" x14ac:dyDescent="0.25">
      <c r="A127" s="18" t="s">
        <v>192</v>
      </c>
      <c r="B127" s="23">
        <v>890301067</v>
      </c>
      <c r="C127" s="20"/>
      <c r="D127" s="20"/>
      <c r="E127" s="20"/>
      <c r="F127" s="20"/>
      <c r="G127" s="21" t="s">
        <v>193</v>
      </c>
      <c r="H127" s="26">
        <v>4853888</v>
      </c>
      <c r="I127" s="20"/>
      <c r="J127" t="s">
        <v>9</v>
      </c>
    </row>
    <row r="128" spans="1:10" hidden="1" x14ac:dyDescent="0.25">
      <c r="A128" s="1" t="str">
        <f>CONCATENATE(C128," ",D128," ",E128," ",F128)</f>
        <v>VALENTINA ALEJANDRA ECHEVERRY FAJARDO</v>
      </c>
      <c r="B128" s="19">
        <v>1113684567</v>
      </c>
      <c r="C128" s="18" t="s">
        <v>234</v>
      </c>
      <c r="D128" s="18" t="s">
        <v>215</v>
      </c>
      <c r="E128" s="18" t="s">
        <v>235</v>
      </c>
      <c r="F128" s="18" t="s">
        <v>236</v>
      </c>
      <c r="G128" s="18" t="s">
        <v>237</v>
      </c>
      <c r="H128" s="17">
        <v>3116902022</v>
      </c>
      <c r="I128" s="18"/>
      <c r="J128" t="s">
        <v>32</v>
      </c>
    </row>
    <row r="129" spans="1:10" hidden="1" x14ac:dyDescent="0.25">
      <c r="A129" s="1" t="str">
        <f>CONCATENATE(C129," ",D129," ",E129," ",F129)</f>
        <v xml:space="preserve">VALERIA  DIAZ </v>
      </c>
      <c r="B129" s="19">
        <v>1006332238</v>
      </c>
      <c r="C129" s="18" t="s">
        <v>244</v>
      </c>
      <c r="D129" s="18"/>
      <c r="E129" s="30" t="s">
        <v>245</v>
      </c>
      <c r="F129" s="30"/>
      <c r="G129" s="30"/>
      <c r="H129" s="31"/>
      <c r="I129" s="18"/>
      <c r="J129" t="s">
        <v>32</v>
      </c>
    </row>
    <row r="130" spans="1:10" hidden="1" x14ac:dyDescent="0.25">
      <c r="A130" s="1" t="s">
        <v>284</v>
      </c>
      <c r="B130" s="8"/>
      <c r="C130" s="1"/>
      <c r="D130" s="1"/>
      <c r="E130" s="1"/>
      <c r="F130" s="1"/>
      <c r="G130" s="1"/>
      <c r="H130" s="4"/>
      <c r="I130" s="1"/>
      <c r="J130" t="s">
        <v>5</v>
      </c>
    </row>
    <row r="131" spans="1:10" hidden="1" x14ac:dyDescent="0.25">
      <c r="A131" s="1" t="s">
        <v>352</v>
      </c>
      <c r="B131" s="8">
        <v>1112226821</v>
      </c>
      <c r="C131" s="1" t="s">
        <v>47</v>
      </c>
      <c r="D131" s="1" t="s">
        <v>26</v>
      </c>
      <c r="E131" s="37" t="s">
        <v>48</v>
      </c>
      <c r="F131" s="37" t="s">
        <v>49</v>
      </c>
      <c r="G131" s="37" t="s">
        <v>50</v>
      </c>
      <c r="H131" s="38">
        <v>3176043151</v>
      </c>
      <c r="I131" s="45" t="s">
        <v>51</v>
      </c>
      <c r="J131" t="s">
        <v>32</v>
      </c>
    </row>
    <row r="132" spans="1:10" hidden="1" x14ac:dyDescent="0.25">
      <c r="A132" s="18"/>
      <c r="B132" s="19">
        <v>1007888118</v>
      </c>
      <c r="C132" s="18" t="s">
        <v>288</v>
      </c>
      <c r="D132" s="20" t="s">
        <v>234</v>
      </c>
      <c r="E132" s="21" t="s">
        <v>289</v>
      </c>
      <c r="F132" s="21"/>
      <c r="G132" s="21" t="s">
        <v>290</v>
      </c>
      <c r="H132" s="22">
        <v>3178357065</v>
      </c>
      <c r="I132" s="20"/>
      <c r="J132" t="s">
        <v>32</v>
      </c>
    </row>
    <row r="133" spans="1:10" hidden="1" x14ac:dyDescent="0.25">
      <c r="A133" s="20" t="s">
        <v>365</v>
      </c>
      <c r="B133" s="23">
        <v>1114622143</v>
      </c>
      <c r="C133" s="20" t="s">
        <v>366</v>
      </c>
      <c r="E133" t="s">
        <v>272</v>
      </c>
      <c r="F133" t="s">
        <v>367</v>
      </c>
      <c r="G133" t="s">
        <v>368</v>
      </c>
      <c r="H133">
        <v>3235242724</v>
      </c>
      <c r="J133" t="s">
        <v>32</v>
      </c>
    </row>
    <row r="134" spans="1:10" hidden="1" x14ac:dyDescent="0.25">
      <c r="A134" s="20" t="s">
        <v>369</v>
      </c>
      <c r="B134" s="23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32</v>
      </c>
    </row>
    <row r="135" spans="1:10" hidden="1" x14ac:dyDescent="0.25">
      <c r="A135" s="20" t="s">
        <v>370</v>
      </c>
      <c r="B135" s="23">
        <v>1006219308</v>
      </c>
      <c r="C135" s="20" t="s">
        <v>371</v>
      </c>
      <c r="D135" t="s">
        <v>372</v>
      </c>
      <c r="E135" t="s">
        <v>272</v>
      </c>
      <c r="F135" t="s">
        <v>373</v>
      </c>
      <c r="G135" t="s">
        <v>374</v>
      </c>
      <c r="H135">
        <v>0</v>
      </c>
      <c r="I135">
        <v>0</v>
      </c>
      <c r="J135" t="s">
        <v>32</v>
      </c>
    </row>
    <row r="136" spans="1:10" hidden="1" x14ac:dyDescent="0.25">
      <c r="A136" t="s">
        <v>375</v>
      </c>
      <c r="B136">
        <v>901149874</v>
      </c>
      <c r="H136">
        <v>3107946528</v>
      </c>
      <c r="J136" t="s">
        <v>9</v>
      </c>
    </row>
    <row r="137" spans="1:10" hidden="1" x14ac:dyDescent="0.25">
      <c r="A137" t="s">
        <v>376</v>
      </c>
      <c r="B137">
        <v>13386551</v>
      </c>
    </row>
    <row r="138" spans="1:10" hidden="1" x14ac:dyDescent="0.25">
      <c r="A138" t="s">
        <v>377</v>
      </c>
      <c r="B138">
        <v>8600137717</v>
      </c>
      <c r="G138" t="s">
        <v>378</v>
      </c>
      <c r="H138">
        <v>5949999</v>
      </c>
      <c r="J138" t="s">
        <v>379</v>
      </c>
    </row>
    <row r="139" spans="1:10" hidden="1" x14ac:dyDescent="0.25">
      <c r="A139" t="s">
        <v>381</v>
      </c>
      <c r="B139">
        <v>8909009431</v>
      </c>
      <c r="G139" t="s">
        <v>382</v>
      </c>
      <c r="H139">
        <v>60180001114</v>
      </c>
      <c r="I139" s="67" t="s">
        <v>383</v>
      </c>
      <c r="J139" t="s">
        <v>379</v>
      </c>
    </row>
    <row r="140" spans="1:10" hidden="1" x14ac:dyDescent="0.25">
      <c r="A140" t="s">
        <v>384</v>
      </c>
      <c r="J140" t="s">
        <v>5</v>
      </c>
    </row>
    <row r="141" spans="1:10" hidden="1" x14ac:dyDescent="0.25">
      <c r="A141" t="s">
        <v>385</v>
      </c>
      <c r="B141">
        <v>9017363446</v>
      </c>
      <c r="C141" t="s">
        <v>386</v>
      </c>
      <c r="E141" t="s">
        <v>239</v>
      </c>
      <c r="G141" t="s">
        <v>387</v>
      </c>
      <c r="H141">
        <v>3017939209</v>
      </c>
      <c r="I141" s="68" t="s">
        <v>388</v>
      </c>
      <c r="J141" t="s">
        <v>5</v>
      </c>
    </row>
    <row r="142" spans="1:10" hidden="1" x14ac:dyDescent="0.25">
      <c r="A142" t="s">
        <v>389</v>
      </c>
      <c r="H142">
        <v>3172223240</v>
      </c>
      <c r="J142" t="s">
        <v>5</v>
      </c>
    </row>
    <row r="143" spans="1:10" hidden="1" x14ac:dyDescent="0.25">
      <c r="A143" t="s">
        <v>390</v>
      </c>
      <c r="B143">
        <v>8150048801</v>
      </c>
      <c r="C143" t="s">
        <v>391</v>
      </c>
      <c r="D143" t="s">
        <v>315</v>
      </c>
      <c r="G143" t="s">
        <v>392</v>
      </c>
      <c r="H143">
        <v>3228469553</v>
      </c>
      <c r="J143" t="s">
        <v>5</v>
      </c>
    </row>
    <row r="144" spans="1:10" hidden="1" x14ac:dyDescent="0.25">
      <c r="A144" s="1" t="s">
        <v>393</v>
      </c>
      <c r="B144">
        <v>8903990328</v>
      </c>
      <c r="C144" t="s">
        <v>386</v>
      </c>
      <c r="E144" t="s">
        <v>272</v>
      </c>
      <c r="J144" t="s">
        <v>46</v>
      </c>
    </row>
    <row r="145" spans="1:10" hidden="1" x14ac:dyDescent="0.25">
      <c r="A145" t="s">
        <v>394</v>
      </c>
      <c r="B145">
        <v>0</v>
      </c>
      <c r="E145" t="s">
        <v>395</v>
      </c>
      <c r="G145" t="s">
        <v>396</v>
      </c>
      <c r="H145">
        <v>3146565116</v>
      </c>
      <c r="J145" t="s">
        <v>379</v>
      </c>
    </row>
    <row r="146" spans="1:10" hidden="1" x14ac:dyDescent="0.25">
      <c r="A146" t="s">
        <v>397</v>
      </c>
      <c r="B146">
        <v>8150024592</v>
      </c>
      <c r="C146" t="s">
        <v>398</v>
      </c>
      <c r="E146" t="s">
        <v>239</v>
      </c>
      <c r="G146" t="s">
        <v>55</v>
      </c>
      <c r="H146">
        <v>2834030</v>
      </c>
      <c r="J146" t="s">
        <v>379</v>
      </c>
    </row>
    <row r="147" spans="1:10" hidden="1" x14ac:dyDescent="0.25">
      <c r="A147" t="s">
        <v>399</v>
      </c>
      <c r="B147">
        <v>1114311126</v>
      </c>
      <c r="C147" t="s">
        <v>400</v>
      </c>
      <c r="D147" t="s">
        <v>401</v>
      </c>
      <c r="E147" t="s">
        <v>402</v>
      </c>
      <c r="F147" t="s">
        <v>403</v>
      </c>
      <c r="G147" t="s">
        <v>404</v>
      </c>
      <c r="H147">
        <v>3126574517</v>
      </c>
      <c r="J147" t="s">
        <v>32</v>
      </c>
    </row>
    <row r="148" spans="1:10" hidden="1" x14ac:dyDescent="0.25">
      <c r="A148" t="s">
        <v>502</v>
      </c>
      <c r="B148">
        <v>1112221179</v>
      </c>
      <c r="C148" t="s">
        <v>405</v>
      </c>
      <c r="D148" t="s">
        <v>406</v>
      </c>
      <c r="E148" t="s">
        <v>407</v>
      </c>
      <c r="F148" t="s">
        <v>408</v>
      </c>
      <c r="G148" t="s">
        <v>409</v>
      </c>
      <c r="H148">
        <v>3168820972</v>
      </c>
      <c r="J148" t="s">
        <v>32</v>
      </c>
    </row>
    <row r="149" spans="1:10" hidden="1" x14ac:dyDescent="0.25">
      <c r="A149" t="s">
        <v>519</v>
      </c>
      <c r="B149">
        <v>18652153</v>
      </c>
      <c r="C149" t="s">
        <v>410</v>
      </c>
      <c r="D149" t="s">
        <v>411</v>
      </c>
      <c r="E149" t="s">
        <v>272</v>
      </c>
      <c r="F149" t="s">
        <v>412</v>
      </c>
      <c r="G149" t="s">
        <v>413</v>
      </c>
      <c r="H149">
        <v>3249778826</v>
      </c>
      <c r="J149" t="s">
        <v>32</v>
      </c>
    </row>
    <row r="150" spans="1:10" hidden="1" x14ac:dyDescent="0.25">
      <c r="A150" t="s">
        <v>414</v>
      </c>
      <c r="B150" t="s">
        <v>415</v>
      </c>
      <c r="C150" t="s">
        <v>36</v>
      </c>
      <c r="E150" t="s">
        <v>416</v>
      </c>
      <c r="F150" t="s">
        <v>417</v>
      </c>
      <c r="G150" s="67" t="s">
        <v>419</v>
      </c>
      <c r="I150" s="67" t="s">
        <v>418</v>
      </c>
      <c r="J150" t="s">
        <v>420</v>
      </c>
    </row>
    <row r="151" spans="1:10" hidden="1" x14ac:dyDescent="0.25">
      <c r="A151" s="3" t="s">
        <v>421</v>
      </c>
      <c r="B151" t="s">
        <v>422</v>
      </c>
      <c r="C151" t="s">
        <v>424</v>
      </c>
      <c r="D151" t="s">
        <v>425</v>
      </c>
      <c r="E151" t="s">
        <v>426</v>
      </c>
      <c r="F151" t="s">
        <v>427</v>
      </c>
      <c r="G151" t="s">
        <v>423</v>
      </c>
      <c r="H151">
        <v>3183597562</v>
      </c>
      <c r="J151" t="s">
        <v>9</v>
      </c>
    </row>
    <row r="152" spans="1:10" hidden="1" x14ac:dyDescent="0.25">
      <c r="A152" t="s">
        <v>428</v>
      </c>
      <c r="B152">
        <v>29706077</v>
      </c>
      <c r="G152" t="s">
        <v>429</v>
      </c>
      <c r="H152">
        <v>3136385877</v>
      </c>
      <c r="J152" t="s">
        <v>9</v>
      </c>
    </row>
    <row r="153" spans="1:10" hidden="1" x14ac:dyDescent="0.25">
      <c r="A153" t="s">
        <v>430</v>
      </c>
      <c r="B153">
        <v>9009432434</v>
      </c>
      <c r="G153" t="s">
        <v>431</v>
      </c>
      <c r="J153" t="s">
        <v>9</v>
      </c>
    </row>
    <row r="154" spans="1:10" hidden="1" x14ac:dyDescent="0.25">
      <c r="A154" t="s">
        <v>432</v>
      </c>
      <c r="B154">
        <v>11122205106</v>
      </c>
      <c r="C154" t="s">
        <v>433</v>
      </c>
      <c r="E154" t="s">
        <v>434</v>
      </c>
      <c r="J154" t="s">
        <v>9</v>
      </c>
    </row>
    <row r="155" spans="1:10" x14ac:dyDescent="0.25">
      <c r="A155" s="18" t="s">
        <v>435</v>
      </c>
      <c r="B155" s="23">
        <v>805028041</v>
      </c>
      <c r="C155" s="20" t="s">
        <v>244</v>
      </c>
      <c r="E155" s="20" t="s">
        <v>436</v>
      </c>
      <c r="F155" s="20" t="s">
        <v>437</v>
      </c>
      <c r="G155" s="20" t="s">
        <v>438</v>
      </c>
      <c r="H155" s="26">
        <v>4850175</v>
      </c>
      <c r="J155" s="20" t="s">
        <v>9</v>
      </c>
    </row>
    <row r="156" spans="1:10" hidden="1" x14ac:dyDescent="0.25">
      <c r="A156" t="s">
        <v>439</v>
      </c>
      <c r="B156">
        <v>1045024805</v>
      </c>
    </row>
    <row r="157" spans="1:10" hidden="1" x14ac:dyDescent="0.25">
      <c r="A157" t="s">
        <v>440</v>
      </c>
      <c r="B157" t="s">
        <v>441</v>
      </c>
      <c r="G157" t="s">
        <v>442</v>
      </c>
      <c r="H157">
        <v>8825005</v>
      </c>
      <c r="J157" t="s">
        <v>443</v>
      </c>
    </row>
    <row r="158" spans="1:10" hidden="1" x14ac:dyDescent="0.25">
      <c r="A158" t="s">
        <v>444</v>
      </c>
      <c r="B158" t="s">
        <v>445</v>
      </c>
      <c r="C158" t="s">
        <v>447</v>
      </c>
      <c r="G158" t="s">
        <v>446</v>
      </c>
      <c r="H158">
        <v>8899830</v>
      </c>
      <c r="J158" t="s">
        <v>443</v>
      </c>
    </row>
    <row r="159" spans="1:10" hidden="1" x14ac:dyDescent="0.25">
      <c r="A159" t="s">
        <v>448</v>
      </c>
      <c r="B159">
        <v>1114621928</v>
      </c>
      <c r="C159" t="s">
        <v>449</v>
      </c>
      <c r="E159" t="s">
        <v>450</v>
      </c>
      <c r="F159" t="s">
        <v>426</v>
      </c>
      <c r="G159" t="s">
        <v>451</v>
      </c>
      <c r="H159">
        <v>3146396721</v>
      </c>
      <c r="J159" t="s">
        <v>32</v>
      </c>
    </row>
    <row r="160" spans="1:10" hidden="1" x14ac:dyDescent="0.25">
      <c r="A160" t="s">
        <v>452</v>
      </c>
      <c r="B160">
        <v>1112225506</v>
      </c>
      <c r="C160" t="s">
        <v>424</v>
      </c>
      <c r="D160" t="s">
        <v>453</v>
      </c>
      <c r="E160" t="s">
        <v>216</v>
      </c>
      <c r="F160" t="s">
        <v>217</v>
      </c>
      <c r="G160" t="s">
        <v>218</v>
      </c>
      <c r="H160">
        <v>3206061853</v>
      </c>
      <c r="J160" t="s">
        <v>32</v>
      </c>
    </row>
    <row r="161" spans="1:10" hidden="1" x14ac:dyDescent="0.25">
      <c r="A161" t="s">
        <v>454</v>
      </c>
      <c r="B161" t="s">
        <v>455</v>
      </c>
      <c r="C161" t="s">
        <v>456</v>
      </c>
      <c r="E161" t="s">
        <v>130</v>
      </c>
      <c r="G161" t="s">
        <v>457</v>
      </c>
      <c r="H161">
        <v>32151355878</v>
      </c>
      <c r="J161" t="s">
        <v>443</v>
      </c>
    </row>
    <row r="162" spans="1:10" hidden="1" x14ac:dyDescent="0.25">
      <c r="A162" t="s">
        <v>458</v>
      </c>
      <c r="B162" s="69">
        <v>1114620218</v>
      </c>
      <c r="C162" t="s">
        <v>459</v>
      </c>
      <c r="D162" t="s">
        <v>4</v>
      </c>
      <c r="E162" t="s">
        <v>460</v>
      </c>
      <c r="F162" t="s">
        <v>461</v>
      </c>
      <c r="G162" t="s">
        <v>462</v>
      </c>
      <c r="H162">
        <v>3224972144</v>
      </c>
      <c r="J162" t="s">
        <v>32</v>
      </c>
    </row>
    <row r="163" spans="1:10" hidden="1" x14ac:dyDescent="0.25">
      <c r="A163" t="s">
        <v>463</v>
      </c>
      <c r="B163" s="69">
        <v>1114622088</v>
      </c>
      <c r="C163" t="s">
        <v>464</v>
      </c>
      <c r="D163" t="s">
        <v>465</v>
      </c>
      <c r="E163" t="s">
        <v>466</v>
      </c>
      <c r="F163" t="s">
        <v>467</v>
      </c>
      <c r="G163" t="s">
        <v>468</v>
      </c>
      <c r="H163">
        <v>3165787361</v>
      </c>
      <c r="J163" t="s">
        <v>32</v>
      </c>
    </row>
    <row r="164" spans="1:10" hidden="1" x14ac:dyDescent="0.25">
      <c r="A164" t="s">
        <v>469</v>
      </c>
      <c r="B164" s="69">
        <v>1006216897</v>
      </c>
      <c r="C164" t="s">
        <v>36</v>
      </c>
      <c r="D164" t="s">
        <v>470</v>
      </c>
      <c r="E164" t="s">
        <v>471</v>
      </c>
      <c r="F164" t="s">
        <v>472</v>
      </c>
      <c r="G164" t="s">
        <v>473</v>
      </c>
      <c r="H164">
        <v>3148828370</v>
      </c>
      <c r="J164" t="s">
        <v>32</v>
      </c>
    </row>
    <row r="165" spans="1:10" hidden="1" x14ac:dyDescent="0.25">
      <c r="A165" t="s">
        <v>474</v>
      </c>
      <c r="B165" s="69">
        <v>1114623352</v>
      </c>
      <c r="C165" t="s">
        <v>35</v>
      </c>
      <c r="D165" t="s">
        <v>470</v>
      </c>
      <c r="E165" t="s">
        <v>367</v>
      </c>
      <c r="F165" t="s">
        <v>475</v>
      </c>
      <c r="G165" t="s">
        <v>476</v>
      </c>
      <c r="H165">
        <v>3182626617</v>
      </c>
      <c r="J165" t="s">
        <v>32</v>
      </c>
    </row>
    <row r="166" spans="1:10" hidden="1" x14ac:dyDescent="0.25">
      <c r="A166" t="s">
        <v>477</v>
      </c>
      <c r="B166" s="69">
        <v>1114621399</v>
      </c>
      <c r="C166" t="s">
        <v>259</v>
      </c>
      <c r="E166" t="s">
        <v>478</v>
      </c>
      <c r="F166" t="s">
        <v>479</v>
      </c>
      <c r="G166" t="s">
        <v>480</v>
      </c>
      <c r="H166">
        <v>3184962916</v>
      </c>
      <c r="J166" t="s">
        <v>32</v>
      </c>
    </row>
    <row r="167" spans="1:10" hidden="1" x14ac:dyDescent="0.25">
      <c r="A167" t="s">
        <v>481</v>
      </c>
      <c r="B167" t="s">
        <v>482</v>
      </c>
      <c r="G167" t="s">
        <v>483</v>
      </c>
      <c r="H167">
        <v>3185757013</v>
      </c>
      <c r="J167" t="s">
        <v>443</v>
      </c>
    </row>
    <row r="168" spans="1:10" hidden="1" x14ac:dyDescent="0.25">
      <c r="A168" t="s">
        <v>484</v>
      </c>
      <c r="B168" t="s">
        <v>485</v>
      </c>
      <c r="C168" t="s">
        <v>486</v>
      </c>
      <c r="E168" t="s">
        <v>487</v>
      </c>
      <c r="F168" t="s">
        <v>488</v>
      </c>
      <c r="G168" t="s">
        <v>489</v>
      </c>
      <c r="H168" t="s">
        <v>490</v>
      </c>
      <c r="J168" t="s">
        <v>443</v>
      </c>
    </row>
    <row r="169" spans="1:10" hidden="1" x14ac:dyDescent="0.25">
      <c r="A169" t="s">
        <v>491</v>
      </c>
      <c r="B169" s="69">
        <v>66885350</v>
      </c>
      <c r="C169" t="s">
        <v>492</v>
      </c>
      <c r="D169" t="s">
        <v>493</v>
      </c>
      <c r="E169" t="s">
        <v>494</v>
      </c>
      <c r="F169" t="s">
        <v>63</v>
      </c>
      <c r="G169" t="s">
        <v>495</v>
      </c>
      <c r="H169" t="s">
        <v>496</v>
      </c>
      <c r="J169" t="s">
        <v>443</v>
      </c>
    </row>
    <row r="170" spans="1:10" hidden="1" x14ac:dyDescent="0.25">
      <c r="A170" t="s">
        <v>498</v>
      </c>
      <c r="B170" t="s">
        <v>499</v>
      </c>
      <c r="G170" t="s">
        <v>500</v>
      </c>
      <c r="H170">
        <v>3176469822</v>
      </c>
      <c r="J170" t="s">
        <v>501</v>
      </c>
    </row>
    <row r="171" spans="1:10" hidden="1" x14ac:dyDescent="0.25">
      <c r="A171" t="s">
        <v>502</v>
      </c>
      <c r="B171" s="69">
        <v>1112221179</v>
      </c>
      <c r="C171" t="s">
        <v>405</v>
      </c>
      <c r="D171" t="s">
        <v>406</v>
      </c>
      <c r="E171" t="s">
        <v>407</v>
      </c>
      <c r="F171" t="s">
        <v>408</v>
      </c>
      <c r="G171" t="s">
        <v>409</v>
      </c>
      <c r="H171">
        <v>3168820972</v>
      </c>
      <c r="J171" t="s">
        <v>32</v>
      </c>
    </row>
    <row r="172" spans="1:10" hidden="1" x14ac:dyDescent="0.25">
      <c r="A172" t="s">
        <v>504</v>
      </c>
      <c r="B172" t="s">
        <v>505</v>
      </c>
      <c r="C172" t="s">
        <v>506</v>
      </c>
      <c r="D172" t="s">
        <v>507</v>
      </c>
      <c r="E172" t="s">
        <v>508</v>
      </c>
      <c r="G172" t="s">
        <v>509</v>
      </c>
      <c r="H172">
        <v>3175151692</v>
      </c>
      <c r="J172" t="s">
        <v>443</v>
      </c>
    </row>
    <row r="173" spans="1:10" hidden="1" x14ac:dyDescent="0.25">
      <c r="A173" t="s">
        <v>511</v>
      </c>
      <c r="B173" s="69">
        <v>29530093</v>
      </c>
      <c r="C173" t="s">
        <v>512</v>
      </c>
      <c r="D173" t="s">
        <v>513</v>
      </c>
      <c r="E173" t="s">
        <v>514</v>
      </c>
      <c r="F173" t="s">
        <v>515</v>
      </c>
      <c r="G173" t="s">
        <v>516</v>
      </c>
      <c r="H173">
        <v>3217261359</v>
      </c>
      <c r="J173" t="s">
        <v>32</v>
      </c>
    </row>
    <row r="174" spans="1:10" hidden="1" x14ac:dyDescent="0.25">
      <c r="A174" t="s">
        <v>517</v>
      </c>
      <c r="J174" t="s">
        <v>443</v>
      </c>
    </row>
    <row r="175" spans="1:10" hidden="1" x14ac:dyDescent="0.25">
      <c r="A175" t="str">
        <f>'[2]BASE DE DATOS'!A141</f>
        <v>DISTRIBUIDORA ZADAY SAS</v>
      </c>
      <c r="B175">
        <f>'[2]BASE DE DATOS'!B141</f>
        <v>9017363446</v>
      </c>
      <c r="C175" t="str">
        <f>'[2]BASE DE DATOS'!C141</f>
        <v>JORGE</v>
      </c>
      <c r="D175">
        <f>'[2]BASE DE DATOS'!D141</f>
        <v>0</v>
      </c>
      <c r="E175" t="str">
        <f>'[2]BASE DE DATOS'!E141</f>
        <v>MOSQUERA</v>
      </c>
      <c r="F175">
        <f>'[2]BASE DE DATOS'!F141</f>
        <v>0</v>
      </c>
      <c r="G175" t="str">
        <f>'[2]BASE DE DATOS'!G141</f>
        <v>MANZANA T CASA 17 MARIA 2</v>
      </c>
      <c r="H175">
        <f>'[2]BASE DE DATOS'!H141</f>
        <v>3017939209</v>
      </c>
      <c r="I175" t="str">
        <f>'[2]BASE DE DATOS'!I141</f>
        <v>reporte@seitem.com</v>
      </c>
      <c r="J175" t="str">
        <f>'[2]BASE DE DATOS'!J141</f>
        <v>COSTO</v>
      </c>
    </row>
    <row r="176" spans="1:10" hidden="1" x14ac:dyDescent="0.25">
      <c r="A176" t="s">
        <v>518</v>
      </c>
    </row>
    <row r="177" spans="1:10" hidden="1" x14ac:dyDescent="0.25">
      <c r="A177" t="s">
        <v>520</v>
      </c>
      <c r="B177">
        <v>669323978</v>
      </c>
      <c r="G177" t="s">
        <v>521</v>
      </c>
      <c r="H177">
        <v>3104591438</v>
      </c>
    </row>
    <row r="178" spans="1:10" hidden="1" x14ac:dyDescent="0.25">
      <c r="A178" t="s">
        <v>522</v>
      </c>
      <c r="B178">
        <v>1114623744</v>
      </c>
      <c r="C178" t="s">
        <v>523</v>
      </c>
      <c r="D178" t="s">
        <v>524</v>
      </c>
      <c r="E178" t="s">
        <v>525</v>
      </c>
      <c r="F178" t="s">
        <v>526</v>
      </c>
      <c r="J178" t="s">
        <v>527</v>
      </c>
    </row>
    <row r="179" spans="1:10" hidden="1" x14ac:dyDescent="0.25">
      <c r="A179" t="s">
        <v>528</v>
      </c>
      <c r="B179" s="69">
        <v>1090096266</v>
      </c>
      <c r="C179" t="s">
        <v>529</v>
      </c>
      <c r="E179" t="s">
        <v>530</v>
      </c>
      <c r="F179" t="s">
        <v>531</v>
      </c>
      <c r="G179" t="s">
        <v>532</v>
      </c>
      <c r="H179">
        <v>3155015204</v>
      </c>
      <c r="I179">
        <v>0</v>
      </c>
      <c r="J179" t="s">
        <v>32</v>
      </c>
    </row>
    <row r="180" spans="1:10" hidden="1" x14ac:dyDescent="0.25">
      <c r="A180" t="s">
        <v>533</v>
      </c>
      <c r="B180" s="69">
        <v>1086278955</v>
      </c>
      <c r="C180" t="s">
        <v>534</v>
      </c>
      <c r="D180" t="s">
        <v>535</v>
      </c>
      <c r="E180" t="s">
        <v>221</v>
      </c>
      <c r="F180" t="s">
        <v>536</v>
      </c>
      <c r="G180" t="s">
        <v>537</v>
      </c>
      <c r="H180">
        <v>3214754145</v>
      </c>
      <c r="I180">
        <v>0</v>
      </c>
      <c r="J180" t="s">
        <v>32</v>
      </c>
    </row>
    <row r="181" spans="1:10" hidden="1" x14ac:dyDescent="0.25">
      <c r="A181" t="s">
        <v>538</v>
      </c>
      <c r="B181" t="s">
        <v>539</v>
      </c>
      <c r="C181" t="s">
        <v>147</v>
      </c>
      <c r="D181" t="s">
        <v>540</v>
      </c>
      <c r="E181" t="s">
        <v>129</v>
      </c>
      <c r="G181" t="s">
        <v>541</v>
      </c>
      <c r="H181">
        <v>314002268</v>
      </c>
      <c r="J181" t="s">
        <v>9</v>
      </c>
    </row>
    <row r="182" spans="1:10" hidden="1" x14ac:dyDescent="0.25"/>
    <row r="183" spans="1:10" hidden="1" x14ac:dyDescent="0.25">
      <c r="A183" t="s">
        <v>546</v>
      </c>
      <c r="B183" s="69">
        <v>1114620468</v>
      </c>
      <c r="C183" t="s">
        <v>547</v>
      </c>
      <c r="E183" t="s">
        <v>217</v>
      </c>
      <c r="F183" t="s">
        <v>548</v>
      </c>
      <c r="G183" t="s">
        <v>549</v>
      </c>
      <c r="H183">
        <v>3145776261</v>
      </c>
      <c r="J183" t="s">
        <v>527</v>
      </c>
    </row>
    <row r="184" spans="1:10" hidden="1" x14ac:dyDescent="0.25">
      <c r="A184" t="s">
        <v>550</v>
      </c>
      <c r="B184" t="s">
        <v>551</v>
      </c>
      <c r="G184" t="s">
        <v>552</v>
      </c>
      <c r="H184">
        <v>3235847500</v>
      </c>
      <c r="J184" t="s">
        <v>9</v>
      </c>
    </row>
    <row r="185" spans="1:10" hidden="1" x14ac:dyDescent="0.25">
      <c r="A185" t="s">
        <v>553</v>
      </c>
      <c r="B185" t="s">
        <v>554</v>
      </c>
      <c r="G185" t="s">
        <v>555</v>
      </c>
      <c r="H185">
        <v>3168399366</v>
      </c>
      <c r="I185" s="67" t="s">
        <v>556</v>
      </c>
    </row>
    <row r="186" spans="1:10" hidden="1" x14ac:dyDescent="0.25">
      <c r="A186" t="s">
        <v>557</v>
      </c>
      <c r="B186" t="s">
        <v>558</v>
      </c>
      <c r="C186" t="s">
        <v>155</v>
      </c>
      <c r="E186" t="s">
        <v>559</v>
      </c>
      <c r="G186" t="s">
        <v>560</v>
      </c>
      <c r="H186">
        <v>3144304855</v>
      </c>
      <c r="J186" t="s">
        <v>9</v>
      </c>
    </row>
    <row r="187" spans="1:10" hidden="1" x14ac:dyDescent="0.25">
      <c r="A187" t="s">
        <v>561</v>
      </c>
      <c r="H187">
        <v>2670037</v>
      </c>
      <c r="J187" t="s">
        <v>9</v>
      </c>
    </row>
    <row r="188" spans="1:10" hidden="1" x14ac:dyDescent="0.25">
      <c r="A188" t="s">
        <v>562</v>
      </c>
      <c r="B188">
        <v>8909006089</v>
      </c>
    </row>
  </sheetData>
  <autoFilter ref="A1:I188">
    <filterColumn colId="0">
      <filters>
        <filter val="SUPERTIENDAS CAÑAVERAL S.A.S"/>
        <filter val="SUPERTIENDAS Y DROGUERIAS OLIMPICA"/>
      </filters>
    </filterColumn>
    <sortState ref="A84:I84">
      <sortCondition ref="A1:A171"/>
    </sortState>
  </autoFilter>
  <hyperlinks>
    <hyperlink ref="I139" r:id="rId1"/>
    <hyperlink ref="I150" r:id="rId2"/>
    <hyperlink ref="I185" r:id="rId3"/>
  </hyperlinks>
  <pageMargins left="0.7" right="0.7" top="0.75" bottom="0.75" header="0.3" footer="0.3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MARZO</vt:lpstr>
      <vt:lpstr>INGRESOS</vt:lpstr>
      <vt:lpstr>BASE DE DATOS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inversiones SH</dc:creator>
  <cp:lastModifiedBy>inversiones SH</cp:lastModifiedBy>
  <cp:lastPrinted>2023-05-10T20:08:16Z</cp:lastPrinted>
  <dcterms:created xsi:type="dcterms:W3CDTF">2022-03-12T21:50:11Z</dcterms:created>
  <dcterms:modified xsi:type="dcterms:W3CDTF">2025-04-07T23:08:58Z</dcterms:modified>
</cp:coreProperties>
</file>